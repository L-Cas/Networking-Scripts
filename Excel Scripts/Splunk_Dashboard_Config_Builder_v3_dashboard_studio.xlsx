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9c1678d89f4c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4912ab184f014408"/>
    <x:sheet xmlns:r="http://schemas.openxmlformats.org/officeDocument/2006/relationships" name="Dashboard Config" sheetId="2" r:id="R45aea59c46374cb0"/>
    <x:sheet xmlns:r="http://schemas.openxmlformats.org/officeDocument/2006/relationships" name="Base Searches" sheetId="4" r:id="R7fe85fe5e64c4990"/>
    <x:sheet xmlns:r="http://schemas.openxmlformats.org/officeDocument/2006/relationships" name="Searches" sheetId="5" r:id="R4a62dbb6860f40ff"/>
    <x:sheet xmlns:r="http://schemas.openxmlformats.org/officeDocument/2006/relationships" name="Dashboard Pack" sheetId="6" r:id="R946752e6a1234fc3"/>
    <x:sheet xmlns:r="http://schemas.openxmlformats.org/officeDocument/2006/relationships" name="Generator" sheetId="7" r:id="R0d985fbf77b94165"/>
    <x:sheet xmlns:r="http://schemas.openxmlformats.org/officeDocument/2006/relationships" name="NOCs" sheetId="8" r:id="R3662b61d27ac4384"/>
    <x:sheet xmlns:r="http://schemas.openxmlformats.org/officeDocument/2006/relationships" name="Locations" sheetId="9" r:id="R48d9cb88bf1e474a"/>
    <x:sheet xmlns:r="http://schemas.openxmlformats.org/officeDocument/2006/relationships" name="Scope Rules" sheetId="10" r:id="R396e7d85c57749f6"/>
    <x:sheet xmlns:r="http://schemas.openxmlformats.org/officeDocument/2006/relationships" name="Scope Lookup Export" sheetId="11" r:id="R2187721daf474ac9"/>
    <x:sheet xmlns:r="http://schemas.openxmlformats.org/officeDocument/2006/relationships" name="Studio JSON" sheetId="12" r:id="Reb018c72a60b41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9">
    <x:font>
      <x:sz val="11"/>
      <x:name val="Carlito"/>
    </x:font>
    <x:font>
      <x:b/>
      <x:sz val="15"/>
      <x:color rgb="FFFFFFFF"/>
      <x:name val="Carlito"/>
    </x:font>
    <x:font>
      <x:i/>
      <x:sz val="11"/>
      <x:color rgb="FF666666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i/>
      <x:sz val="11"/>
      <x:color rgb="FF1F1F1F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i/>
      <x:sz val="11"/>
      <x:color rgb="FFFFFFFF"/>
      <x:name val="Carlito"/>
    </x:font>
    <x:font>
      <x:i/>
      <x:sz val="11"/>
      <x:color rgb="FF475569"/>
      <x:name val="Carlito"/>
    </x:font>
    <x:font>
      <x:b/>
      <x:sz val="14"/>
      <x:color rgb="FFFFFFFF"/>
      <x:name val="Carlito"/>
    </x:font>
    <x:font>
      <x:b/>
      <x:sz val="11"/>
      <x:color rgb="FF111827"/>
      <x:name val="Carlito"/>
    </x:font>
    <x:font>
      <x:sz val="11"/>
      <x:color rgb="FF111827"/>
      <x:name val="Carlito"/>
    </x:font>
    <x:font>
      <x:b/>
      <x:i/>
      <x:sz val="11"/>
      <x:color rgb="FF111827"/>
      <x:name val="Carlito"/>
    </x:font>
    <x:font>
      <x:i/>
      <x:sz val="11"/>
      <x:color rgb="FF111827"/>
      <x:name val="Carlito"/>
    </x:font>
    <x:font>
      <x:sz val="11"/>
      <x:color rgb="FF1F1F1F"/>
      <x:name val="Carlito"/>
    </x:font>
    <x:font>
      <x:sz val="9"/>
      <x:name val="Consolas"/>
    </x:font>
    <x:font>
      <x:b/>
      <x:sz val="9"/>
      <x:color rgb="FFFFFFFF"/>
      <x:name val="Consolas"/>
    </x:font>
  </x:fonts>
  <x:fills count="2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4F6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7FBFF"/>
      </x:patternFill>
    </x:fill>
    <x:fill>
      <x:patternFill patternType="solid">
        <x:fgColor rgb="FF5B9BD5"/>
      </x:patternFill>
    </x:fill>
    <x:fill>
      <x:patternFill patternType="solid">
        <x:fgColor rgb="FFA61C00"/>
      </x:patternFill>
    </x:fill>
    <x:fill>
      <x:patternFill patternType="solid">
        <x:fgColor rgb="FFF2F2F2"/>
      </x:patternFill>
    </x:fill>
    <x:fill>
      <x:patternFill patternType="solid">
        <x:fgColor rgb="FFE2E8F0"/>
      </x:patternFill>
    </x:fill>
    <x:fill>
      <x:patternFill patternType="solid">
        <x:fgColor rgb="FF475569"/>
      </x:patternFill>
    </x:fill>
    <x:fill>
      <x:patternFill patternType="solid">
        <x:fgColor rgb="FF4472C4"/>
      </x:patternFill>
    </x:fill>
    <x:fill>
      <x:patternFill patternType="solid">
        <x:fgColor rgb="FFF8FAFC"/>
      </x:patternFill>
    </x:fill>
    <x:fill>
      <x:patternFill patternType="solid">
        <x:fgColor rgb="FF44546A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0"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horizontal="center" wrapText="1"/>
    </x:xf>
    <x:xf numFmtId="0" fontId="5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0" fillId="13" borderId="0" xfId="0" applyNumberFormat="1" applyFont="1" applyFill="1" applyBorder="1"/>
    <x:xf numFmtId="0" fontId="0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vertical="center"/>
    </x:xf>
    <x:xf numFmtId="0" fontId="2" fillId="1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13" borderId="0" xfId="0" applyNumberFormat="1" applyFont="1" applyFill="1" applyBorder="1" applyAlignment="1">
      <x:alignment vertical="center" wrapText="1"/>
    </x:xf>
    <x:xf numFmtId="0" fontId="3" fillId="15" borderId="0" xfId="0" applyNumberFormat="1" applyFont="1" applyFill="1" applyBorder="1" applyAlignment="1">
      <x:alignment vertical="center"/>
    </x:xf>
    <x:xf numFmtId="0" fontId="5" fillId="15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wrapText="1"/>
    </x:xf>
    <x:xf numFmtId="0" fontId="1" fillId="16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3" fillId="17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 applyAlignment="1">
      <x:alignment vertical="top" wrapText="1"/>
    </x:xf>
    <x:xf numFmtId="0" fontId="3" fillId="17" borderId="0" xfId="0" applyNumberFormat="1" applyFont="1" applyFill="1" applyBorder="1" applyAlignment="1">
      <x:alignment vertical="center" wrapText="1"/>
    </x:xf>
    <x:xf numFmtId="0" fontId="3" fillId="17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0" fillId="17" borderId="0" xfId="0" applyNumberFormat="1" applyFont="1" applyFill="1" applyBorder="1" applyAlignment="1">
      <x:alignment wrapText="1"/>
    </x:xf>
    <x:xf numFmtId="0" fontId="6" fillId="17" borderId="0" xfId="0" applyNumberFormat="1" applyFont="1" applyFill="1" applyBorder="1" applyAlignment="1">
      <x:alignment vertical="center" wrapText="1"/>
    </x:xf>
    <x:xf numFmtId="0" fontId="2" fillId="17" borderId="0" xfId="0" applyNumberFormat="1" applyFont="1" applyFill="1" applyBorder="1" applyAlignment="1">
      <x:alignment vertical="top" wrapText="1"/>
    </x:xf>
    <x:xf numFmtId="0" fontId="6" fillId="17" borderId="0" xfId="0" applyNumberFormat="1" applyFont="1" applyFill="1" applyBorder="1" applyAlignment="1">
      <x:alignment vertical="top" wrapText="1"/>
    </x:xf>
    <x:xf numFmtId="0" fontId="2" fillId="15" borderId="0" xfId="0" applyNumberFormat="1" applyFont="1" applyFill="1" applyBorder="1" applyAlignment="1">
      <x:alignment wrapText="1"/>
    </x:xf>
    <x:xf numFmtId="0" fontId="9" fillId="15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10" fillId="18" borderId="0" xfId="0" applyNumberFormat="1" applyFont="1" applyFill="1" applyBorder="1"/>
    <x:xf numFmtId="0" fontId="10" fillId="18" borderId="0" xfId="0" applyNumberFormat="1" applyFont="1" applyFill="1" applyBorder="1" applyAlignment="1">
      <x:alignment wrapText="1"/>
    </x:xf>
    <x:xf numFmtId="0" fontId="10" fillId="19" borderId="0" xfId="0" applyNumberFormat="1" applyFont="1" applyFill="1" applyBorder="1" applyAlignment="1">
      <x:alignment wrapText="1"/>
    </x:xf>
    <x:xf numFmtId="0" fontId="9" fillId="19" borderId="0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vertical="center"/>
    </x:xf>
    <x:xf numFmtId="0" fontId="5" fillId="20" borderId="0" xfId="0" applyNumberFormat="1" applyFont="1" applyFill="1" applyBorder="1" applyAlignment="1">
      <x:alignment horizontal="center" vertical="center" wrapText="1"/>
    </x:xf>
    <x:xf numFmtId="0" fontId="11" fillId="9" xfId="0" applyNumberFormat="1" applyFont="1" applyFill="1" applyBorder="0" applyAlignment="1">
      <x:alignment vertical="center"/>
    </x:xf>
    <x:xf numFmtId="0" fontId="8" fillId="10" xfId="0" applyNumberFormat="1" applyFont="1" applyFill="1" applyBorder="0" applyAlignment="1">
      <x:alignment vertical="top" wrapText="1"/>
    </x:xf>
    <x:xf numFmtId="0" fontId="0" fillId="0" xfId="0" applyNumberFormat="1" applyFont="1" applyFill="1" applyBorder="0"/>
    <x:xf numFmtId="0" fontId="5" fillId="20" xfId="0" applyNumberFormat="1" applyFont="1" applyFill="1" applyBorder="0" applyAlignment="1">
      <x:alignment horizontal="center" vertical="center" wrapText="1"/>
    </x:xf>
    <x:xf numFmtId="0" fontId="0" fillId="14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9" fillId="15" borderId="0" xfId="0" applyNumberFormat="1" applyFont="1" applyFill="1" applyBorder="1" applyAlignment="1">
      <x:alignment vertical="center" wrapText="1"/>
    </x:xf>
    <x:xf numFmtId="0" fontId="3" fillId="21" borderId="0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 applyAlignment="1">
      <x:alignment vertical="top" wrapText="1"/>
    </x:xf>
    <x:xf numFmtId="0" fontId="12" fillId="21" borderId="0" xfId="0" applyNumberFormat="1" applyFont="1" applyFill="1" applyBorder="1" applyAlignment="1">
      <x:alignment vertical="top" wrapText="1"/>
    </x:xf>
    <x:xf numFmtId="0" fontId="13" fillId="21" borderId="0" xfId="0" applyNumberFormat="1" applyFont="1" applyFill="1" applyBorder="1" applyAlignment="1">
      <x:alignment vertical="top" wrapText="1"/>
    </x:xf>
    <x:xf numFmtId="0" fontId="6" fillId="21" borderId="0" xfId="0" applyNumberFormat="1" applyFont="1" applyFill="1" applyBorder="1" applyAlignment="1">
      <x:alignment vertical="top" wrapText="1"/>
    </x:xf>
    <x:xf numFmtId="0" fontId="2" fillId="21" borderId="0" xfId="0" applyNumberFormat="1" applyFont="1" applyFill="1" applyBorder="1" applyAlignment="1">
      <x:alignment vertical="top" wrapText="1"/>
    </x:xf>
    <x:xf numFmtId="0" fontId="14" fillId="21" borderId="0" xfId="0" applyNumberFormat="1" applyFont="1" applyFill="1" applyBorder="1" applyAlignment="1">
      <x:alignment vertical="top" wrapText="1"/>
    </x:xf>
    <x:xf numFmtId="0" fontId="15" fillId="21" borderId="0" xfId="0" applyNumberFormat="1" applyFont="1" applyFill="1" applyBorder="1" applyAlignment="1">
      <x:alignment vertical="top" wrapText="1"/>
    </x:xf>
    <x:xf numFmtId="0" fontId="5" fillId="11" borderId="3" xfId="0" applyNumberFormat="1" applyFont="1" applyFill="1" applyBorder="1" applyAlignment="1">
      <x:alignment horizontal="center" vertical="center" wrapText="1"/>
    </x:xf>
    <x:xf numFmtId="0" fontId="5" fillId="11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12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wrapText="1"/>
    </x:xf>
    <x:xf numFmtId="0" fontId="0" fillId="12" borderId="8" xfId="0" applyNumberFormat="1" applyFont="1" applyFill="1" applyBorder="1" applyAlignment="1">
      <x:alignment wrapText="1"/>
    </x:xf>
    <x:xf numFmtId="0" fontId="5" fillId="11" borderId="9" xfId="0" applyNumberFormat="1" applyFont="1" applyFill="1" applyBorder="1" applyAlignment="1">
      <x:alignment horizontal="center" vertical="center" wrapText="1"/>
    </x:xf>
    <x:xf numFmtId="0" fontId="0" fillId="13" xfId="0" applyNumberFormat="1" applyFont="1" applyFill="1" applyBorder="0" applyAlignment="1">
      <x:alignment vertical="top" wrapText="1"/>
    </x:xf>
    <x:xf numFmtId="0" fontId="2" fillId="3" borderId="6" xfId="0" applyNumberFormat="1" applyFont="1" applyFill="1" applyBorder="1" applyAlignment="1">
      <x:alignment wrapText="1"/>
    </x:xf>
    <x:xf numFmtId="0" fontId="0" fillId="13" xfId="0" applyNumberFormat="1" applyFont="1" applyFill="1" applyBorder="0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13" xfId="0" applyNumberFormat="1" applyFont="1" applyFill="1" applyBorder="0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top" wrapText="1"/>
    </x:xf>
    <x:xf numFmtId="0" fontId="0" fillId="13" borderId="2" xfId="0" applyNumberFormat="1" applyFont="1" applyFill="1" applyBorder="1" applyAlignment="1">
      <x:alignment vertical="top" wrapText="1"/>
    </x:xf>
    <x:xf numFmtId="0" fontId="0" fillId="8" borderId="8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0" fontId="8" fillId="4" xfId="0" applyNumberFormat="1" applyFont="1" applyFill="1" applyBorder="0" applyAlignment="1">
      <x:alignment vertical="top" wrapText="1"/>
    </x:xf>
    <x:xf numFmtId="0" fontId="9" fillId="6" borderId="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5" fillId="22" borderId="0" xfId="0" applyNumberFormat="1" applyFont="1" applyFill="1" applyBorder="1"/>
    <x:xf numFmtId="0" fontId="5" fillId="22" borderId="0" xfId="0" applyNumberFormat="1" applyFont="1" applyFill="1" applyBorder="1" applyAlignment="1">
      <x:alignment wrapText="1"/>
    </x:xf>
    <x:xf numFmtId="0" fontId="5" fillId="2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7" borderId="0" xfId="0" applyNumberFormat="1" applyFont="1" applyFill="1" applyBorder="1" applyAlignment="1">
      <x:alignment wrapText="1"/>
    </x:xf>
    <x:xf numFmtId="0" fontId="7" fillId="23" borderId="0" xfId="0" applyNumberFormat="1" applyFont="1" applyFill="1" applyBorder="1" applyAlignment="1">
      <x:alignment vertical="center"/>
    </x:xf>
    <x:xf numFmtId="0" fontId="11" fillId="23" borderId="0" xfId="0" applyNumberFormat="1" applyFont="1" applyFill="1" applyBorder="1" applyAlignment="1">
      <x:alignment vertical="center"/>
    </x:xf>
    <x:xf numFmtId="0" fontId="5" fillId="24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center" wrapText="1"/>
    </x:xf>
    <x:xf numFmtId="0" fontId="0" fillId="25" borderId="0" xfId="0" applyNumberFormat="1" applyFont="1" applyFill="1" applyBorder="1"/>
    <x:xf numFmtId="0" fontId="7" fillId="25" borderId="0" xfId="0" applyNumberFormat="1" applyFont="1" applyFill="1" applyBorder="1"/>
    <x:xf numFmtId="0" fontId="7" fillId="25" borderId="0" xfId="0" applyNumberFormat="1" applyFont="1" applyFill="1" applyBorder="1" applyAlignment="1">
      <x:alignment vertical="center"/>
    </x:xf>
    <x:xf numFmtId="0" fontId="0" fillId="26" borderId="0" xfId="0" applyNumberFormat="1" applyFont="1" applyFill="1" applyBorder="1"/>
    <x:xf numFmtId="0" fontId="16" fillId="26" borderId="0" xfId="0" applyNumberFormat="1" applyFont="1" applyFill="1" applyBorder="1"/>
    <x:xf numFmtId="0" fontId="16" fillId="26" borderId="0" xfId="0" applyNumberFormat="1" applyFont="1" applyFill="1" applyBorder="1" applyAlignment="1">
      <x:alignment wrapText="1"/>
    </x:xf>
    <x:xf numFmtId="0" fontId="16" fillId="26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/>
    <x:xf numFmtId="0" fontId="5" fillId="27" borderId="0" xfId="0" applyNumberFormat="1" applyFont="1" applyFill="1" applyBorder="1"/>
    <x:xf numFmtId="0" fontId="5" fillId="27" borderId="0" xfId="0" applyNumberFormat="1" applyFont="1" applyFill="1" applyBorder="1" applyAlignment="1">
      <x:alignment vertical="center"/>
    </x:xf>
    <x:xf numFmtId="0" fontId="17" fillId="0" borderId="0" xfId="0" applyNumberFormat="1" applyFont="1" applyFill="1" applyBorder="1"/>
    <x:xf numFmtId="0" fontId="18" fillId="27" borderId="0" xfId="0" applyNumberFormat="1" applyFont="1" applyFill="1" applyBorder="1" applyAlignment="1">
      <x:alignment vertical="center"/>
    </x:xf>
    <x:xf numFmtId="0" fontId="17" fillId="0" borderId="0" xfId="0" applyNumberFormat="1" applyFont="1" applyFill="1" applyBorder="1" applyAlignment="1">
      <x:alignment wrapText="1"/>
    </x:xf>
    <x:xf numFmtId="0" fontId="18" fillId="27" borderId="0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 applyAlignment="1">
      <x:alignment vertical="top" wrapText="1"/>
    </x:xf>
    <x:xf numFmtId="0" fontId="18" fillId="27" borderId="0" xfId="0" applyNumberFormat="1" applyFont="1" applyFill="1" applyBorder="1" applyAlignment="1">
      <x:alignment vertical="top" wrapText="1"/>
    </x:xf>
    <x:xf numFmtId="0" fontId="7" fillId="25" borderId="0" xfId="0" applyNumberFormat="1" applyFont="1" applyFill="1" applyBorder="1" applyAlignment="1">
      <x:alignment vertical="center" wrapText="1"/>
    </x:xf>
    <x:xf numFmtId="0" fontId="5" fillId="2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7"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i/>
      </x:font>
      <x:fill>
        <x:patternFill>
          <x:bgColor rgb="FFEAF3F8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b/>
        <x:color rgb="FFB91C1C"/>
      </x:font>
      <x:fill>
        <x:patternFill>
          <x:bgColor rgb="FFFCE8E6"/>
        </x:patternFill>
      </x:fill>
    </x:dxf>
    <x:dxf>
      <x:font>
        <x:b/>
        <x:color rgb="FF2E7D32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03fc58c82f4261" /><Relationship Type="http://schemas.openxmlformats.org/officeDocument/2006/relationships/theme" Target="/xl/theme/theme1.xml" Id="Rece41ce808814e81" /><Relationship Type="http://schemas.openxmlformats.org/officeDocument/2006/relationships/sharedStrings" Target="/xl/sharedStrings.xml" Id="R5e855d1ccb4b4d3c" /><Relationship Type="http://schemas.openxmlformats.org/officeDocument/2006/relationships/worksheet" Target="/xl/worksheets/sheet1.xml" Id="R4912ab184f014408" /><Relationship Type="http://schemas.openxmlformats.org/officeDocument/2006/relationships/worksheet" Target="/xl/worksheets/sheet2.xml" Id="R45aea59c46374cb0" /><Relationship Type="http://schemas.openxmlformats.org/officeDocument/2006/relationships/worksheet" Target="/xl/worksheets/sheet3.xml" Id="R7fe85fe5e64c4990" /><Relationship Type="http://schemas.openxmlformats.org/officeDocument/2006/relationships/worksheet" Target="/xl/worksheets/sheet4.xml" Id="R4a62dbb6860f40ff" /><Relationship Type="http://schemas.openxmlformats.org/officeDocument/2006/relationships/worksheet" Target="/xl/worksheets/sheet5.xml" Id="R946752e6a1234fc3" /><Relationship Type="http://schemas.openxmlformats.org/officeDocument/2006/relationships/worksheet" Target="/xl/worksheets/sheet6.xml" Id="R0d985fbf77b94165" /><Relationship Type="http://schemas.openxmlformats.org/officeDocument/2006/relationships/worksheet" Target="/xl/worksheets/sheet7.xml" Id="R3662b61d27ac4384" /><Relationship Type="http://schemas.openxmlformats.org/officeDocument/2006/relationships/worksheet" Target="/xl/worksheets/sheet8.xml" Id="R48d9cb88bf1e474a" /><Relationship Type="http://schemas.openxmlformats.org/officeDocument/2006/relationships/worksheet" Target="/xl/worksheets/sheet9.xml" Id="R396e7d85c57749f6" /><Relationship Type="http://schemas.openxmlformats.org/officeDocument/2006/relationships/worksheet" Target="/xl/worksheets/sheet10.xml" Id="R2187721daf474ac9" /><Relationship Type="http://schemas.openxmlformats.org/officeDocument/2006/relationships/worksheet" Target="/xl/worksheets/sheet11.xml" Id="Reb018c72a60b4183" /></Relationships>
</file>

<file path=xl/tables/table1.xml><?xml version="1.0" encoding="utf-8"?>
<x:table xmlns:x="http://schemas.openxmlformats.org/spreadsheetml/2006/main" id="1" name="NOCsTbl" displayName="NOCsTbl" ref="A4:J44" headerRowCount="1" totalsRowCount="0" totalsRowShown="0">
  <x:tableColumns count="10">
    <x:tableColumn id="1" name="Use?"/>
    <x:tableColumn id="2" name="NOC ID"/>
    <x:tableColumn id="3" name="Display Name"/>
    <x:tableColumn id="4" name="Default Location ID (optional)"/>
    <x:tableColumn id="5" name="Auto Scope"/>
    <x:tableColumn id="6" name="NOC Input Item"/>
    <x:tableColumn id="7" name="All Locations Scope Item"/>
    <x:tableColumn id="8" name="Location Count"/>
    <x:tableColumn id="9" name="Status"/>
    <x:tableColumn id="1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LocationsTbl" displayName="LocationsTbl" ref="A4:L64" headerRowCount="1" totalsRowCount="0" totalsRowShown="0">
  <x:tableColumns count="12">
    <x:tableColumn id="1" name="Use?"/>
    <x:tableColumn id="2" name="NOC ID"/>
    <x:tableColumn id="3" name="Location ID"/>
    <x:tableColumn id="4" name="Display Name"/>
    <x:tableColumn id="5" name="Sort"/>
    <x:tableColumn id="6" name="Auto Scope"/>
    <x:tableColumn id="7" name="Scope Token Item"/>
    <x:tableColumn id="8" name="Rule Count"/>
    <x:tableColumn id="9" name="Status"/>
    <x:tableColumn id="10" name="Notes"/>
    <x:tableColumn id="11" name="NOC Key (helper)"/>
    <x:tableColumn id="12" name="NOC Scope Accumulator (helper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opeRulesTbl" displayName="ScopeRulesTbl" ref="A4:K104" headerRowCount="1" totalsRowCount="0" totalsRowShown="0">
  <x:tableColumns count="11">
    <x:tableColumn id="1" name="Use?"/>
    <x:tableColumn id="2" name="Location ID"/>
    <x:tableColumn id="3" name="Rule Type"/>
    <x:tableColumn id="4" name="Field"/>
    <x:tableColumn id="5" name="Operator"/>
    <x:tableColumn id="6" name="Match / Raw Expression"/>
    <x:tableColumn id="7" name="Rule Fragment"/>
    <x:tableColumn id="8" name="Status"/>
    <x:tableColumn id="9" name="Notes"/>
    <x:tableColumn id="10" name="Rule Key (helper)"/>
    <x:tableColumn id="11" name="Scope Accumulator (helper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.xml" Id="Re7caf045b741441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2.xml" Id="Re154a34154854a1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3.xml" Id="R5d7f2d31ee74428e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44" hidden="0" customWidth="1"/>
    <x:col min="4" max="4" width="4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88" t="str">
        <x:v>Splunk Dashboard Config Builder v3</x:v>
      </x:c>
      <x:c r="B1" s="88"/>
      <x:c r="C1" s="88"/>
      <x:c r="D1" s="88"/>
      <x:c r="E1" s="4"/>
      <x:c r="F1" s="4"/>
      <x:c r="G1" s="4"/>
      <x:c r="H1" s="4"/>
    </x:row>
    <x:row r="2">
      <x:c r="A2" s="71" t="str">
        <x:v>Normalized V3: NOCs → Locations → Scope Rules. Searches are maintained once, locations are maintained once, and every dashboard base consumes the same generated $scope$ token.</x:v>
      </x:c>
      <x:c r="B2" s="71"/>
      <x:c r="C2" s="71"/>
      <x:c r="D2" s="71"/>
      <x:c r="E2" s="10"/>
      <x:c r="F2" s="10"/>
      <x:c r="G2" s="10"/>
      <x:c r="H2" s="10"/>
    </x:row>
    <x:row r="3">
      <x:c r="A3" s="10"/>
      <x:c r="B3" s="10"/>
      <x:c r="C3" s="10"/>
      <x:c r="D3" s="10"/>
      <x:c r="E3" s="10"/>
      <x:c r="F3" s="10"/>
      <x:c r="G3" s="10"/>
      <x:c r="H3" s="10"/>
    </x:row>
    <x:row r="4">
      <x:c r="A4" s="24"/>
      <x:c r="B4" s="24"/>
      <x:c r="C4" s="24"/>
      <x:c r="D4" s="24"/>
    </x:row>
    <x:row r="5">
      <x:c r="A5" s="97" t="str">
        <x:v>Everyday workflow</x:v>
      </x:c>
      <x:c r="B5" s="97"/>
      <x:c r="C5" s="97"/>
      <x:c r="D5" s="97"/>
      <x:c r="E5" s="16"/>
      <x:c r="F5" s="16"/>
      <x:c r="G5" s="16"/>
      <x:c r="H5" s="16"/>
    </x:row>
    <x:row r="6">
      <x:c r="A6" s="98" t="str">
        <x:v>1</x:v>
      </x:c>
      <x:c r="B6" s="24" t="str">
        <x:v>Add / edit a NOC</x:v>
      </x:c>
      <x:c r="C6" s="24" t="str">
        <x:v>NOCs</x:v>
      </x:c>
      <x:c r="D6" s="24" t="str">
        <x:v>Stable parent ID and display name. A NOC can own any number of Locations.</x:v>
      </x:c>
    </x:row>
    <x:row r="7">
      <x:c r="A7" s="98" t="str">
        <x:v>2</x:v>
      </x:c>
      <x:c r="B7" s="24" t="str">
        <x:v>Add / edit a Location</x:v>
      </x:c>
      <x:c r="C7" s="24" t="str">
        <x:v>Locations</x:v>
      </x:c>
      <x:c r="D7" s="24" t="str">
        <x:v>One row per selectable location. Different NOCs can have 4, 8, or any other number of locations.</x:v>
      </x:c>
    </x:row>
    <x:row r="8">
      <x:c r="A8" s="98" t="str">
        <x:v>3</x:v>
      </x:c>
      <x:c r="B8" s="24" t="str">
        <x:v>Add membership rules</x:v>
      </x:c>
      <x:c r="C8" s="24" t="str">
        <x:v>Scope Rules</x:v>
      </x:c>
      <x:c r="D8" s="24" t="str">
        <x:v>Assign host/IP/prefix or raw SPL rules to the Location. Auto Scope is generated from the rules.</x:v>
      </x:c>
    </x:row>
    <x:row r="9">
      <x:c r="A9" s="98" t="str">
        <x:v>4</x:v>
      </x:c>
      <x:c r="B9" s="24" t="str">
        <x:v>Refresh the Splunk lookup</x:v>
      </x:c>
      <x:c r="C9" s="24" t="str">
        <x:v>Scope Lookup Export</x:v>
      </x:c>
      <x:c r="D9" s="24" t="str">
        <x:v>Save this sheet as the configured CSV and replace the Splunk lookup. No dashboard rewrite is needed.</x:v>
      </x:c>
    </x:row>
    <x:row r="10">
      <x:c r="A10" s="98" t="str">
        <x:v>5</x:v>
      </x:c>
      <x:c r="B10" s="24" t="str">
        <x:v>Maintain event families</x:v>
      </x:c>
      <x:c r="C10" s="24" t="str">
        <x:v>Base Searches</x:v>
      </x:c>
      <x:c r="D10" s="24" t="str">
        <x:v>Only add a base when the event family/volume profile is materially different.</x:v>
      </x:c>
    </x:row>
    <x:row r="11">
      <x:c r="A11" s="24" t="str">
        <x:v>6</x:v>
      </x:c>
      <x:c r="B11" s="24" t="str">
        <x:v>Add panel/helper searches</x:v>
      </x:c>
      <x:c r="C11" s="24" t="str">
        <x:v>Searches</x:v>
      </x:c>
      <x:c r="D11" s="24" t="str">
        <x:v>Choose Parent Base; optionally choose a Parent Search for shared parsing/prep.</x:v>
      </x:c>
    </x:row>
    <x:row r="12">
      <x:c r="A12" s="89" t="str">
        <x:v>7</x:v>
      </x:c>
      <x:c r="B12" s="89" t="str">
        <x:v>Copy deployment config</x:v>
      </x:c>
      <x:c r="C12" s="89" t="str">
        <x:v>Dashboard Pack</x:v>
      </x:c>
      <x:c r="D12" s="89" t="str">
        <x:v>NOC/Location input SPL, base data sources, chain data sources, token names, and time bindings.</x:v>
      </x:c>
      <x:c r="E12" s="16"/>
      <x:c r="F12" s="16"/>
      <x:c r="G12" s="16"/>
      <x:c r="H12" s="16"/>
    </x:row>
    <x:row r="13">
      <x:c r="A13" s="24" t="str">
        <x:v>8</x:v>
      </x:c>
      <x:c r="B13" s="24" t="str">
        <x:v>Validate / troubleshoot</x:v>
      </x:c>
      <x:c r="C13" s="24" t="str">
        <x:v>Generator</x:v>
      </x:c>
      <x:c r="D13" s="24" t="str">
        <x:v>Pick NOC / Main Location → managed Site / Location → Search. The second dropdown is filtered by the first.</x:v>
      </x:c>
    </x:row>
    <x:row r="14">
      <x:c r="A14" s="24"/>
      <x:c r="B14" s="24"/>
      <x:c r="C14" s="24"/>
      <x:c r="D14" s="24"/>
    </x:row>
    <x:row r="15">
      <x:c r="A15" s="24"/>
      <x:c r="B15" s="24"/>
      <x:c r="C15" s="24"/>
      <x:c r="D15" s="24"/>
    </x:row>
    <x:row r="16">
      <x:c r="A16" s="95" t="str">
        <x:v>Architecture we are locking in</x:v>
      </x:c>
      <x:c r="B16" s="95"/>
      <x:c r="C16" s="95"/>
      <x:c r="D16" s="95"/>
    </x:row>
    <x:row r="17">
      <x:c r="A17" s="24" t="str">
        <x:v>Dashboard input 1</x:v>
      </x:c>
      <x:c r="B17" s="24" t="str">
        <x:v>NOC / Main Location dropdown → $noc$</x:v>
      </x:c>
      <x:c r="C17" s="24" t="str">
        <x:v>Parent selector populated from the scope lookup.</x:v>
      </x:c>
      <x:c r="D17" s="24"/>
    </x:row>
    <x:row r="18">
      <x:c r="A18" s="24" t="str">
        <x:v>↓</x:v>
      </x:c>
      <x:c r="B18" s="24" t="str">
        <x:v>↓</x:v>
      </x:c>
      <x:c r="C18" s="24" t="str">
        <x:v>↓</x:v>
      </x:c>
      <x:c r="D18" s="24"/>
    </x:row>
    <x:row r="19">
      <x:c r="A19" s="24" t="str">
        <x:v>Dashboard input 2</x:v>
      </x:c>
      <x:c r="B19" s="24" t="str">
        <x:v>Cascading managed Site / Location dropdown → $scope$</x:v>
      </x:c>
      <x:c r="C19" s="24" t="str">
        <x:v>Only child locations owned by the selected NOC are shown.</x:v>
      </x:c>
      <x:c r="D19" s="24"/>
    </x:row>
    <x:row r="20">
      <x:c r="A20" s="24" t="str">
        <x:v>+</x:v>
      </x:c>
      <x:c r="B20" s="24" t="str">
        <x:v>Global time → $global_time$</x:v>
      </x:c>
      <x:c r="C20" s="24" t="str">
        <x:v>Dashboard Studio controls earliest/latest globally.</x:v>
      </x:c>
      <x:c r="D20" s="24"/>
    </x:row>
    <x:row r="21">
      <x:c r="A21" s="89" t="str">
        <x:v>↓</x:v>
      </x:c>
      <x:c r="B21" s="89" t="str">
        <x:v>↓</x:v>
      </x:c>
      <x:c r="C21" s="89" t="str">
        <x:v>↓</x:v>
      </x:c>
      <x:c r="D21" s="89"/>
      <x:c r="E21" s="16"/>
      <x:c r="F21" s="16"/>
      <x:c r="G21" s="16"/>
      <x:c r="H21" s="16"/>
    </x:row>
    <x:row r="22">
      <x:c r="A22" s="99" t="str">
        <x:v>Base families</x:v>
      </x:c>
      <x:c r="B22" s="24" t="str">
        <x:v>Interface / L2 / L3-Routing / Physical / Access / Operations</x:v>
      </x:c>
      <x:c r="C22" s="24" t="str">
        <x:v>Every raw-event base applies $scope$ before chain searches.</x:v>
      </x:c>
      <x:c r="D22" s="24"/>
    </x:row>
    <x:row r="23">
      <x:c r="A23" s="99" t="str">
        <x:v>↓</x:v>
      </x:c>
      <x:c r="B23" s="24" t="str">
        <x:v>↓</x:v>
      </x:c>
      <x:c r="C23" s="24" t="str">
        <x:v>↓</x:v>
      </x:c>
      <x:c r="D23" s="24"/>
    </x:row>
    <x:row r="24">
      <x:c r="A24" s="99" t="str">
        <x:v>Optional helper chain</x:v>
      </x:c>
      <x:c r="B24" s="24" t="str">
        <x:v>Example: Interface Parsed Fields</x:v>
      </x:c>
      <x:c r="C24" s="24" t="str">
        <x:v>Use only when multiple child searches reuse meaningful parsing.</x:v>
      </x:c>
      <x:c r="D24" s="24"/>
    </x:row>
    <x:row r="25">
      <x:c r="A25" s="99" t="str">
        <x:v>↓</x:v>
      </x:c>
      <x:c r="B25" s="24" t="str">
        <x:v>↓</x:v>
      </x:c>
      <x:c r="C25" s="24" t="str">
        <x:v>↓</x:v>
      </x:c>
      <x:c r="D25" s="24"/>
    </x:row>
    <x:row r="26">
      <x:c r="A26" s="99" t="str">
        <x:v>Panel chains</x:v>
      </x:c>
      <x:c r="B26" s="24" t="str">
        <x:v>Flaps / MAC movement / OSPF / Fiber / Auth / etc.</x:v>
      </x:c>
      <x:c r="C26" s="24" t="str">
        <x:v>Specific panel logic stays small and reusable.</x:v>
      </x:c>
      <x:c r="D26" s="24"/>
    </x:row>
    <x:row r="27">
      <x:c r="A27" s="99"/>
      <x:c r="B27" s="24"/>
      <x:c r="C27" s="24"/>
      <x:c r="D27" s="24"/>
    </x:row>
    <x:row r="28">
      <x:c r="A28" s="99"/>
      <x:c r="B28" s="24"/>
      <x:c r="C28" s="24"/>
      <x:c r="D28" s="24"/>
    </x:row>
    <x:row r="29">
      <x:c r="A29" s="95" t="str">
        <x:v>Scale / maintenance guardrails</x:v>
      </x:c>
      <x:c r="B29" s="95"/>
      <x:c r="C29" s="95"/>
      <x:c r="D29" s="95"/>
    </x:row>
    <x:row r="30">
      <x:c r="A30" s="89" t="str">
        <x:v>Single source of truth</x:v>
      </x:c>
      <x:c r="B30" s="89" t="str">
        <x:v>Add NOCs/Locations/Rules in Excel, not separately in every dashboard.</x:v>
      </x:c>
      <x:c r="C30" s="89" t="str">
        <x:v>The CSV lookup lets the dashboard discover new scopes dynamically.</x:v>
      </x:c>
      <x:c r="D30" s="89"/>
      <x:c r="E30" s="16"/>
      <x:c r="F30" s="16"/>
      <x:c r="G30" s="16"/>
      <x:c r="H30" s="16"/>
    </x:row>
    <x:row r="31">
      <x:c r="A31" s="85" t="str">
        <x:v>Variable location counts</x:v>
      </x:c>
      <x:c r="B31" s="24" t="str">
        <x:v>No Location 1–8 columns exist.</x:v>
      </x:c>
      <x:c r="C31" s="24" t="str">
        <x:v>Rows/tables expand, so one NOC can have 4 locations and another 8+.</x:v>
      </x:c>
      <x:c r="D31" s="24"/>
    </x:row>
    <x:row r="32">
      <x:c r="A32" s="85" t="str">
        <x:v>Base filtering</x:v>
      </x:c>
      <x:c r="B32" s="24" t="str">
        <x:v>Put $scope$ in every raw-event base.</x:v>
      </x:c>
      <x:c r="C32" s="24" t="str">
        <x:v>Do not retrieve all sites and filter location only in a child chain.</x:v>
      </x:c>
      <x:c r="D32" s="24"/>
    </x:row>
    <x:row r="33">
      <x:c r="A33" s="85" t="str">
        <x:v>IP scale</x:v>
      </x:c>
      <x:c r="B33" s="24" t="str">
        <x:v>Prefer safe prefixes/ranges when possible.</x:v>
      </x:c>
      <x:c r="C33" s="24" t="str">
        <x:v>If a site truly needs individual IPs, add rule rows; no schema change is required.</x:v>
      </x:c>
      <x:c r="D33" s="24"/>
    </x:row>
    <x:row r="34">
      <x:c r="A34" s="24" t="str">
        <x:v>Child selection</x:v>
      </x:c>
      <x:c r="B34" s="24" t="str">
        <x:v>V3 uses one managed Site / Location at a time.</x:v>
      </x:c>
      <x:c r="C34" s="24" t="str">
        <x:v>Host/IP filtering is always sourced from that selected child location.</x:v>
      </x:c>
      <x:c r="D34" s="24"/>
    </x:row>
    <x:row r="35">
      <x:c r="A35" s="24" t="str">
        <x:v>Parent changes</x:v>
      </x:c>
      <x:c r="B35" s="24" t="str">
        <x:v>Reselect the Site / Location after changing the NOC.</x:v>
      </x:c>
      <x:c r="C35" s="24" t="str">
        <x:v>Excel validates the child against the new parent so stale selections cannot produce a valid scope.</x:v>
      </x:c>
      <x:c r="D35" s="24"/>
    </x:row>
    <x:row r="36">
      <x:c r="A36" s="24" t="str">
        <x:v>Time</x:v>
      </x:c>
      <x:c r="B36" s="24" t="str">
        <x:v>Dashboard uses $global_time$; Generator can use a fixed debug override.</x:v>
      </x:c>
      <x:c r="C36" s="24" t="str">
        <x:v>Keep fixed windows out of deployed dashboard bases.</x:v>
      </x:c>
      <x:c r="D36" s="24"/>
    </x:row>
    <x:row r="37">
      <x:c r="A37" s="24" t="str">
        <x:v>Base volume</x:v>
      </x:c>
      <x:c r="B37" s="24" t="str">
        <x:v>Test representative busy scopes/time windows.</x:v>
      </x:c>
      <x:c r="C37" s="24" t="str">
        <x:v>Non-transforming bases that become too broad should be split/reduced.</x:v>
      </x:c>
      <x:c r="D37" s="24"/>
    </x:row>
    <x:row r="38">
      <x:c r="A38" s="24" t="str">
        <x:v>Excel compatibility</x:v>
      </x:c>
      <x:c r="B38" s="24" t="str">
        <x:v>Auto-scope formulas use classic INDEX/MATCH/COUNTIFS logic.</x:v>
      </x:c>
      <x:c r="C38" s="24" t="str">
        <x:v>No XLOOKUP is required in the NOC → Location → Scope Rules path.</x:v>
      </x:c>
      <x:c r="D38" s="24"/>
    </x:row>
    <x:row r="39">
      <x:c r="A39" s="24"/>
      <x:c r="B39" s="24"/>
      <x:c r="C39" s="24"/>
      <x:c r="D39" s="24"/>
    </x:row>
    <x:row r="40">
      <x:c r="A40" s="95" t="str">
        <x:v>Splunk documentation used for the V3 input design</x:v>
      </x:c>
      <x:c r="B40" s="95"/>
      <x:c r="C40" s="95"/>
      <x:c r="D40" s="95"/>
    </x:row>
    <x:row r="41">
      <x:c r="A41" s="24" t="str">
        <x:v>Dropdown / multiselect + cascading inputs</x:v>
      </x:c>
      <x:c r="B41" s="24" t="str">
        <x:v>https://help.splunk.com/en/splunk-enterprise/create-dashboards-and-reports/dashboard-studio/10.4/make-dashboards-dynamic-and-interactive/inputs/dropdown-and-multiselect</x:v>
      </x:c>
      <x:c r="C41" s="24"/>
      <x:c r="D41" s="24"/>
    </x:row>
    <x:row r="42">
      <x:c r="A42" s="24" t="str">
        <x:v>Input configuration options</x:v>
      </x:c>
      <x:c r="B42" s="24" t="str">
        <x:v>https://help.splunk.com/en/splunk-enterprise/create-dashboards-and-reports/dashboard-studio/10.4/configuration-options-reference/input-configuration-options</x:v>
      </x:c>
      <x:c r="C42" s="24"/>
      <x:c r="D42" s="24"/>
    </x:row>
    <x:row r="43">
      <x:c r="A43" s="24" t="str">
        <x:v>Chain searches / base searches</x:v>
      </x:c>
      <x:c r="B43" s="24" t="str">
        <x:v>https://help.splunk.com/en/splunk-enterprise/create-dashboards-and-reports/dashboard-studio/10.4/use-data-sources/chain-searches-together-with-a-base-search-and-chain-searches</x:v>
      </x:c>
      <x:c r="C43" s="24"/>
      <x:c r="D43" s="24"/>
    </x:row>
    <x:row r="44">
      <x:c r="A44" s="24"/>
      <x:c r="B44" s="24"/>
      <x:c r="C44" s="24"/>
      <x:c r="D44" s="24"/>
    </x:row>
    <x:row r="45">
      <x:c r="A45" s="24"/>
      <x:c r="B45" s="24"/>
      <x:c r="C45" s="24"/>
      <x:c r="D45" s="24"/>
    </x:row>
    <x:row r="50">
      <x:c r="Z50" s="173"/>
    </x:row>
    <x:row r="51">
      <x:c r="Z51"/>
    </x:row>
    <x:row r="52">
      <x:c r="Z52"/>
    </x:row>
    <x:row r="53">
      <x:c r="Z53"/>
    </x:row>
  </x:sheetData>
  <x:mergeCells>
    <x:mergeCell ref="A1:H1"/>
    <x:mergeCell ref="A2:H3"/>
    <x:mergeCell ref="A5:H5"/>
    <x:mergeCell ref="A12:H12"/>
    <x:mergeCell ref="A21:H21"/>
    <x:mergeCell ref="A30:H30"/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4" hidden="0" customWidth="1"/>
    <x:col min="4" max="4" width="28" hidden="0" customWidth="1"/>
    <x:col min="5" max="5" width="58" hidden="0" customWidth="1"/>
    <x:col min="6" max="6" width="38" hidden="0" customWidth="1"/>
  </x:cols>
  <x:sheetData>
    <x:row r="1">
      <x:c r="A1" s="88" t="str">
        <x:v>Dashboard Configuration</x:v>
      </x:c>
      <x:c r="B1" s="88"/>
      <x:c r="C1" s="88"/>
      <x:c r="D1" s="88"/>
      <x:c r="E1" s="88"/>
      <x:c r="F1" s="88"/>
    </x:row>
    <x:row r="2">
      <x:c r="A2" s="71" t="str">
        <x:v>V3 scope model: NOC dropdown → cascading Location dropdown → one $scope$ token consumed by every raw-event base. Search families/chains stay independent of site/location maintenance.</x:v>
      </x:c>
      <x:c r="B2" s="71"/>
      <x:c r="C2" s="71"/>
      <x:c r="D2" s="71"/>
      <x:c r="E2" s="71"/>
      <x:c r="F2" s="71"/>
    </x:row>
    <x:row r="3">
      <x:c r="A3" s="24"/>
      <x:c r="B3" s="24"/>
      <x:c r="C3" s="24"/>
      <x:c r="D3" s="24"/>
      <x:c r="E3" s="24"/>
      <x:c r="F3" s="24"/>
    </x:row>
    <x:row r="4">
      <x:c r="A4" s="76" t="str">
        <x:v>Setting</x:v>
      </x:c>
      <x:c r="B4" s="76" t="str">
        <x:v>Value</x:v>
      </x:c>
      <x:c r="C4" s="24"/>
      <x:c r="D4" s="76" t="str">
        <x:v>Generated deployment value</x:v>
      </x:c>
      <x:c r="E4" s="76" t="str">
        <x:v>Value</x:v>
      </x:c>
      <x:c r="F4" s="76" t="str">
        <x:v>Notes</x:v>
      </x:c>
    </x:row>
    <x:row r="5">
      <x:c r="A5" s="85" t="str">
        <x:v>Base search</x:v>
      </x:c>
      <x:c r="B5" s="84" t="str">
        <x:v>index="network_eo" sourcetype="cisco:ios"</x:v>
      </x:c>
      <x:c r="C5" s="24"/>
      <x:c r="D5" s="85" t="str">
        <x:v>NOC input data source ID</x:v>
      </x:c>
      <x:c r="E5" s="86" t="str">
        <x:v>ds_input_noc</x:v>
      </x:c>
      <x:c r="F5" s="10" t="str">
        <x:v>Dynamic dropdown source.</x:v>
      </x:c>
    </x:row>
    <x:row r="6">
      <x:c r="A6" s="85" t="str">
        <x:v>Scope membership source</x:v>
      </x:c>
      <x:c r="B6" s="84" t="str">
        <x:v>Scope Rules</x:v>
      </x:c>
      <x:c r="C6" s="24"/>
      <x:c r="D6" s="85" t="str">
        <x:v>Location input data source ID</x:v>
      </x:c>
      <x:c r="E6" s="86" t="str">
        <x:v>ds_input_location</x:v>
      </x:c>
      <x:c r="F6" s="10" t="str">
        <x:v>Filter this source with the NOC token and enable cascading reset.</x:v>
      </x:c>
    </x:row>
    <x:row r="7">
      <x:c r="A7" s="85" t="str">
        <x:v>Scope rule fields</x:v>
      </x:c>
      <x:c r="B7" s="84" t="str">
        <x:v>Any Splunk field (host, source, sourcetype, IP field, etc.)</x:v>
      </x:c>
      <x:c r="C7" s="24"/>
      <x:c r="D7" s="85" t="str">
        <x:v>NOC token</x:v>
      </x:c>
      <x:c r="E7" s="80" t="str">
        <x:v>$noc$</x:v>
      </x:c>
      <x:c r="F7" s="24" t="str">
        <x:v>Parent selection.</x:v>
      </x:c>
    </x:row>
    <x:row r="8">
      <x:c r="A8" s="85" t="str">
        <x:v>Scope token name</x:v>
      </x:c>
      <x:c r="B8" s="84" t="str">
        <x:v>scope</x:v>
      </x:c>
      <x:c r="C8" s="24"/>
      <x:c r="D8" s="89" t="str">
        <x:v>Scope token</x:v>
      </x:c>
      <x:c r="E8" s="90" t="str">
        <x:v>$scope$</x:v>
      </x:c>
      <x:c r="F8" s="89" t="str">
        <x:v>Location dropdown value; base searches consume this directly.</x:v>
      </x:c>
    </x:row>
    <x:row r="9">
      <x:c r="A9" s="85" t="str">
        <x:v>Global time token name</x:v>
      </x:c>
      <x:c r="B9" s="84" t="str">
        <x:v>global_time</x:v>
      </x:c>
      <x:c r="C9" s="24"/>
      <x:c r="D9" s="85" t="str">
        <x:v>NOC input SPL</x:v>
      </x:c>
      <x:c r="E9" s="80" t="str">
        <x:f>"| inputlookup "&amp;$B$11&amp;CHAR(10)&amp;"| where len(noc_id)&gt;0"&amp;CHAR(10)&amp;"| stats first(noc_label) as label by noc_id"&amp;CHAR(10)&amp;"| rename noc_id as value"&amp;CHAR(10)&amp;"| sort 0 label"&amp;CHAR(10)&amp;"| table label value"</x:f>
        <x:v>| inputlookup network_dashboard_scope.csv
| where len(noc_id)&gt;0
| stats first(noc_label) as label by noc_id
| rename noc_id as value
| sort 0 label
| table label value</x:v>
      </x:c>
      <x:c r="F9" s="24" t="str">
        <x:v>Populates label/value from the lookup.</x:v>
      </x:c>
    </x:row>
    <x:row r="10">
      <x:c r="A10" s="85" t="str">
        <x:v>NOC token name</x:v>
      </x:c>
      <x:c r="B10" s="84" t="str">
        <x:v>noc</x:v>
      </x:c>
      <x:c r="C10" s="24"/>
      <x:c r="D10" s="85" t="str">
        <x:v>Location input SPL</x:v>
      </x:c>
      <x:c r="E10" s="80" t="str">
        <x:v>| inputlookup network_dashboard_scope.csv
| search noc_id="$noc$" record_type="LOCATION" status="OK"
| sort 0 scope_sort scope_label
| rename scope_label as label scope_value as value
| table label value location_id</x:v>
      </x:c>
      <x:c r="F10" s="24" t="str">
        <x:v>Returns only managed child Locations for the selected NOC.</x:v>
      </x:c>
    </x:row>
    <x:row r="11">
      <x:c r="A11" s="85" t="str">
        <x:v>Scope lookup file</x:v>
      </x:c>
      <x:c r="B11" s="84" t="str">
        <x:v>network_dashboard_scope.csv</x:v>
      </x:c>
      <x:c r="C11" s="24"/>
      <x:c r="D11" s="85" t="str">
        <x:v>Cascading Location input</x:v>
      </x:c>
      <x:c r="E11" s="80" t="str">
        <x:v>true</x:v>
      </x:c>
      <x:c r="F11" s="24" t="str">
        <x:v>Set isCascadingInput=true so a NOC change resets stale Location selection.</x:v>
      </x:c>
    </x:row>
    <x:row r="12">
      <x:c r="A12" s="85" t="str">
        <x:v>Default dashboard time</x:v>
      </x:c>
      <x:c r="B12" s="84" t="str">
        <x:v>-24h@h,now</x:v>
      </x:c>
      <x:c r="C12" s="24"/>
      <x:c r="D12" s="85" t="str">
        <x:v>Earliest token</x:v>
      </x:c>
      <x:c r="E12" s="80" t="str">
        <x:f>"$"&amp;$B$9&amp;".earliest$"</x:f>
        <x:v>$global_time.earliest$</x:v>
      </x:c>
      <x:c r="F12" s="24" t="str">
        <x:v>Use on dashboard search queryParameters.</x:v>
      </x:c>
    </x:row>
    <x:row r="13">
      <x:c r="A13" s="85" t="str">
        <x:v>Debug time mode</x:v>
      </x:c>
      <x:c r="B13" s="79" t="str">
        <x:v>Search UI / Dashboard</x:v>
      </x:c>
      <x:c r="C13" s="24"/>
      <x:c r="D13" s="85" t="str">
        <x:v>Latest token</x:v>
      </x:c>
      <x:c r="E13" s="80" t="str">
        <x:f>"$"&amp;$B$9&amp;".latest$"</x:f>
        <x:v>$global_time.latest$</x:v>
      </x:c>
      <x:c r="F13" s="24" t="str">
        <x:v>Use on dashboard search queryParameters.</x:v>
      </x:c>
    </x:row>
    <x:row r="14">
      <x:c r="A14" s="85" t="str">
        <x:v>Debug fixed window</x:v>
      </x:c>
      <x:c r="B14" s="79" t="str">
        <x:v>4h</x:v>
      </x:c>
      <x:c r="C14" s="24"/>
      <x:c r="D14" s="24"/>
      <x:c r="E14" s="24"/>
      <x:c r="F14" s="24"/>
    </x:row>
    <x:row r="15">
      <x:c r="A15" s="85" t="str">
        <x:v>Location input mode</x:v>
      </x:c>
      <x:c r="B15" s="79" t="str">
        <x:v>Dropdown — one managed Location</x:v>
      </x:c>
      <x:c r="C15" s="24"/>
      <x:c r="D15" s="24"/>
      <x:c r="E15" s="24"/>
      <x:c r="F15" s="24"/>
    </x:row>
    <x:row r="16">
      <x:c r="A16" s="24"/>
      <x:c r="B16" s="24"/>
      <x:c r="C16" s="24"/>
      <x:c r="D16" s="24"/>
      <x:c r="E16" s="24"/>
      <x:c r="F16" s="24"/>
    </x:row>
    <x:row r="17">
      <x:c r="A17" s="24"/>
      <x:c r="B17" s="24"/>
      <x:c r="C17" s="24"/>
      <x:c r="D17" s="24"/>
      <x:c r="E17" s="24"/>
      <x:c r="F17" s="24"/>
    </x:row>
    <x:row r="18">
      <x:c r="A18" s="24"/>
      <x:c r="B18" s="24"/>
      <x:c r="C18" s="24"/>
      <x:c r="D18" s="24"/>
      <x:c r="E18" s="24"/>
      <x:c r="F18" s="24"/>
    </x:row>
    <x:row r="19">
      <x:c r="A19" s="24"/>
      <x:c r="B19" s="24"/>
      <x:c r="C19" s="24"/>
      <x:c r="D19" s="24"/>
      <x:c r="E19" s="24"/>
      <x:c r="F19" s="24"/>
    </x:row>
    <x:row r="20">
      <x:c r="A20" s="24"/>
      <x:c r="B20" s="24"/>
      <x:c r="C20" s="24"/>
      <x:c r="D20" s="24"/>
      <x:c r="E20" s="24"/>
      <x:c r="F20" s="24"/>
    </x:row>
  </x:sheetData>
  <x:mergeCells>
    <x:mergeCell ref="A1:F1"/>
    <x:mergeCell ref="A2:F2"/>
    <x:mergeCell ref="D8:F8"/>
  </x:mergeCells>
  <x:dataValidations count="4">
    <x:dataValidation type="list" sqref="B11">
      <x:formula1>"Search UI / Dashboard,Fixed Override"</x:formula1>
    </x:dataValidation>
    <x:dataValidation type="list" sqref="B12">
      <x:formula1>"15m,30m,1h,2h,4h,8h,12h,24h,48h,3d,7d,14d,30d"</x:formula1>
    </x:dataValidation>
    <x:dataValidation type="list" sqref="B13">
      <x:formula1>"Search UI / Dashboard,Fixed Override"</x:formula1>
    </x:dataValidation>
    <x:dataValidation type="list" sqref="B14">
      <x:formula1>"15m,1h,4h,24h,7d"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24" hidden="0" customWidth="1"/>
    <x:col min="4" max="4" width="16" hidden="0" customWidth="1"/>
    <x:col min="5" max="5" width="24" hidden="0" customWidth="1"/>
    <x:col min="6" max="6" width="58" hidden="0" customWidth="1"/>
    <x:col min="7" max="7" width="42" hidden="0" customWidth="1"/>
    <x:col min="8" max="8" width="34" hidden="0" customWidth="1"/>
    <x:col min="9" max="9" width="72" hidden="0" customWidth="1"/>
    <x:col min="10" max="10" width="50" hidden="0" customWidth="1"/>
    <x:col min="11" max="11" width="44" hidden="0" customWidth="1"/>
  </x:cols>
  <x:sheetData>
    <x:row r="1">
      <x:c r="A1" s="52" t="str">
        <x:v>Base Search Library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>
      <x:c r="A2" s="10" t="str">
        <x:v>Base searches are event-family collectors, not final panels. Every dashboard base receives $scope$ plus the Dashboard Studio global time range. Keep families narrow; adding a NOC/Location never requires copying or editing base searches.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5" ht="34" customHeight="1">
      <x:c r="A5" s="34" t="str">
        <x:v>Use?</x:v>
      </x:c>
      <x:c r="B5" s="34" t="str">
        <x:v>Base ID</x:v>
      </x:c>
      <x:c r="C5" s="34" t="str">
        <x:v>Base Name</x:v>
      </x:c>
      <x:c r="D5" s="34" t="str">
        <x:v>Category</x:v>
      </x:c>
      <x:c r="E5" s="34" t="str">
        <x:v>Data Source ID</x:v>
      </x:c>
      <x:c r="F5" s="34" t="str">
        <x:v>Event Filter</x:v>
      </x:c>
      <x:c r="G5" s="34" t="str">
        <x:v>Base Prep SPL</x:v>
      </x:c>
      <x:c r="H5" s="34" t="str">
        <x:v>Fields Kept</x:v>
      </x:c>
      <x:c r="I5" s="34" t="str">
        <x:v>Dashboard Query</x:v>
      </x:c>
      <x:c r="J5" s="34" t="str">
        <x:v>Volume / Design Note</x:v>
      </x:c>
      <x:c r="K5" s="34" t="str">
        <x:v>Notes</x:v>
      </x:c>
    </x:row>
    <x:row r="6">
      <x:c r="A6" s="42" t="str">
        <x:v>Yes</x:v>
      </x:c>
      <x:c r="B6" s="42" t="str">
        <x:v>B_INTERFACE</x:v>
      </x:c>
      <x:c r="C6" s="42" t="str">
        <x:v>Interface State</x:v>
      </x:c>
      <x:c r="D6" s="42" t="str">
        <x:v>Interfaces</x:v>
      </x:c>
      <x:c r="E6" s="42" t="str">
        <x:v>ds_base_interface</x:v>
      </x:c>
      <x:c r="F6" s="42" t="str">
        <x:v>("%LINK-3-UPDOWN" OR "%LINEPROTO-5-UPDOWN" OR "%PM-4-ERR_DISABLE")</x:v>
      </x:c>
      <x:c r="G6" s="42" t="str">
        <x:v>| fields _time host source sourcetype _raw</x:v>
      </x:c>
      <x:c r="H6" s="42" t="str">
        <x:v>_time host source sourcetype _raw</x:v>
      </x:c>
      <x:c r="I6" s="48" t="str">
        <x:f>IF(OR($A6&lt;&gt;"Yes",$B6=""),"",'Dashboard Config'!$B$5&amp;CHAR(10)&amp;"$"&amp;'Dashboard Config'!$B$8&amp;"$"&amp;IF($F6&lt;&gt;"",CHAR(10)&amp;$F6,"")&amp;IF($G6&lt;&gt;"",CHAR(10)&amp;$G6,""))</x:f>
        <x:v>index="network_eo" sourcetype="cisco:ios"
$scope$
("%LINK-3-UPDOWN" OR "%LINEPROTO-5-UPDOWN" OR "%PM-4-ERR_DISABLE")
| fields _time host source sourcetype _raw</x:v>
      </x:c>
      <x:c r="J6" s="10" t="str">
        <x:v>High-volume family. Keep site + dashboard time narrow; parsing is moved to a helper chain.</x:v>
      </x:c>
      <x:c r="K6" s="10" t="str">
        <x:v>Link/line-protocol/err-disable only.</x:v>
      </x:c>
    </x:row>
    <x:row r="7">
      <x:c r="A7" s="42" t="str">
        <x:v>Yes</x:v>
      </x:c>
      <x:c r="B7" s="42" t="str">
        <x:v>B_L2</x:v>
      </x:c>
      <x:c r="C7" s="42" t="str">
        <x:v>Layer 2 Control</x:v>
      </x:c>
      <x:c r="D7" s="42" t="str">
        <x:v>Layer 2</x:v>
      </x:c>
      <x:c r="E7" s="42" t="str">
        <x:v>ds_base_l2</x:v>
      </x:c>
      <x:c r="F7" s="42" t="str">
        <x:v>("%SW_MATM-4-MACFLAP_NOTIF" OR "%SPANTREE-" OR "%UDLD-" OR "%EC-" OR "%LACP-" OR "%PAGP-")</x:v>
      </x:c>
      <x:c r="G7" s="42" t="str">
        <x:v>| fields _time host source sourcetype _raw</x:v>
      </x:c>
      <x:c r="H7" s="42" t="str">
        <x:v>_time host source sourcetype _raw</x:v>
      </x:c>
      <x:c r="I7" s="48" t="str">
        <x:f>IF(OR($A7&lt;&gt;"Yes",$B7=""),"",'Dashboard Config'!$B$5&amp;CHAR(10)&amp;"$"&amp;'Dashboard Config'!$B$8&amp;"$"&amp;IF($F7&lt;&gt;"",CHAR(10)&amp;$F7,"")&amp;IF($G7&lt;&gt;"",CHAR(10)&amp;$G7,""))</x:f>
        <x:v>index="network_eo" sourcetype="cisco:ios"
$scope$
("%SW_MATM-4-MACFLAP_NOTIF" OR "%SPANTREE-" OR "%UDLD-" OR "%EC-" OR "%LACP-" OR "%PAGP-")
| fields _time host source sourcetype _raw</x:v>
      </x:c>
      <x:c r="J7" s="10" t="str">
        <x:v>Lumps related control-plane L2 events while avoiding general switch syslog.</x:v>
      </x:c>
      <x:c r="K7" s="10" t="str">
        <x:v>MAC movement, STP, UDLD, EtherChannel.</x:v>
      </x:c>
    </x:row>
    <x:row r="8">
      <x:c r="A8" s="42" t="str">
        <x:v>Yes</x:v>
      </x:c>
      <x:c r="B8" s="42" t="str">
        <x:v>B_L3</x:v>
      </x:c>
      <x:c r="C8" s="42" t="str">
        <x:v>Routing / Layer 3</x:v>
      </x:c>
      <x:c r="D8" s="42" t="str">
        <x:v>Routing</x:v>
      </x:c>
      <x:c r="E8" s="42" t="str">
        <x:v>ds_base_l3</x:v>
      </x:c>
      <x:c r="F8" s="42" t="str">
        <x:v>("%OSPF-" OR "%BGP-" OR "%HSRP-" OR "%GLBP-" OR "%BFD-" OR "Duplicate address" OR "%IP-4-DUPADDR")</x:v>
      </x:c>
      <x:c r="G8" s="42" t="str">
        <x:v>| fields _time host source sourcetype _raw</x:v>
      </x:c>
      <x:c r="H8" s="42" t="str">
        <x:v>_time host source sourcetype _raw</x:v>
      </x:c>
      <x:c r="I8" s="48" t="str">
        <x:f>IF(OR($A8&lt;&gt;"Yes",$B8=""),"",'Dashboard Config'!$B$5&amp;CHAR(10)&amp;"$"&amp;'Dashboard Config'!$B$8&amp;"$"&amp;IF($F8&lt;&gt;"",CHAR(10)&amp;$F8,"")&amp;IF($G8&lt;&gt;"",CHAR(10)&amp;$G8,""))</x:f>
        <x:v>index="network_eo" sourcetype="cisco:ios"
$scope$
("%OSPF-" OR "%BGP-" OR "%HSRP-" OR "%GLBP-" OR "%BFD-" OR "Duplicate address" OR "%IP-4-DUPADDR")
| fields _time host source sourcetype _raw</x:v>
      </x:c>
      <x:c r="J8" s="10" t="str">
        <x:v>Routing and duplicate-IP events are typically much lower volume than interface state.</x:v>
      </x:c>
      <x:c r="K8" s="10" t="str">
        <x:v>Add routing protocols here only when they share the same troubleshooting pages.</x:v>
      </x:c>
    </x:row>
    <x:row r="9">
      <x:c r="A9" s="42" t="str">
        <x:v>Yes</x:v>
      </x:c>
      <x:c r="B9" s="42" t="str">
        <x:v>B_PHYSICAL</x:v>
      </x:c>
      <x:c r="C9" s="42" t="str">
        <x:v>Physical / Hardware</x:v>
      </x:c>
      <x:c r="D9" s="42" t="str">
        <x:v>Physical</x:v>
      </x:c>
      <x:c r="E9" s="42" t="str">
        <x:v>ds_base_physical</x:v>
      </x:c>
      <x:c r="F9" s="42" t="str">
        <x:v>("%SFF8472-" OR "%PLATFORM_ENV-" OR "%ENVIRONMENT-" OR "%FAN-" OR "%POWER-" OR "%STACKMGR-" OR "%STACKWISE-")</x:v>
      </x:c>
      <x:c r="G9" s="42" t="str">
        <x:v>| fields _time host source sourcetype _raw</x:v>
      </x:c>
      <x:c r="H9" s="42" t="str">
        <x:v>_time host source sourcetype _raw</x:v>
      </x:c>
      <x:c r="I9" s="48" t="str">
        <x:f>IF(OR($A9&lt;&gt;"Yes",$B9=""),"",'Dashboard Config'!$B$5&amp;CHAR(10)&amp;"$"&amp;'Dashboard Config'!$B$8&amp;"$"&amp;IF($F9&lt;&gt;"",CHAR(10)&amp;$F9,"")&amp;IF($G9&lt;&gt;"",CHAR(10)&amp;$G9,""))</x:f>
        <x:v>index="network_eo" sourcetype="cisco:ios"
$scope$
("%SFF8472-" OR "%PLATFORM_ENV-" OR "%ENVIRONMENT-" OR "%FAN-" OR "%POWER-" OR "%STACKMGR-" OR "%STACKWISE-")
| fields _time host source sourcetype _raw</x:v>
      </x:c>
      <x:c r="J9" s="10" t="str">
        <x:v>Low/medium volume family; good for optics, stack and environment panels.</x:v>
      </x:c>
      <x:c r="K9" s="10" t="str">
        <x:v>Continuous DOM/CRC metrics still require telemetry/SNMP/CLI ingestion.</x:v>
      </x:c>
    </x:row>
    <x:row r="10">
      <x:c r="A10" s="42" t="str">
        <x:v>Yes</x:v>
      </x:c>
      <x:c r="B10" s="42" t="str">
        <x:v>B_ACCESS</x:v>
      </x:c>
      <x:c r="C10" s="42" t="str">
        <x:v>Access / Authentication</x:v>
      </x:c>
      <x:c r="D10" s="42" t="str">
        <x:v>Access</x:v>
      </x:c>
      <x:c r="E10" s="42" t="str">
        <x:v>ds_base_access</x:v>
      </x:c>
      <x:c r="F10" s="42" t="str">
        <x:v>("%DOT1X-" OR "%MAB-" OR "%SESSION_MGR-" OR "%AUTHMGR-" OR "%ILPOWER-")</x:v>
      </x:c>
      <x:c r="G10" s="42" t="str">
        <x:v>| fields _time host source sourcetype _raw</x:v>
      </x:c>
      <x:c r="H10" s="42" t="str">
        <x:v>_time host source sourcetype _raw</x:v>
      </x:c>
      <x:c r="I10" s="48" t="str">
        <x:f>IF(OR($A10&lt;&gt;"Yes",$B10=""),"",'Dashboard Config'!$B$5&amp;CHAR(10)&amp;"$"&amp;'Dashboard Config'!$B$8&amp;"$"&amp;IF($F10&lt;&gt;"",CHAR(10)&amp;$F10,"")&amp;IF($G10&lt;&gt;"",CHAR(10)&amp;$G10,""))</x:f>
        <x:v>index="network_eo" sourcetype="cisco:ios"
$scope$
("%DOT1X-" OR "%MAB-" OR "%SESSION_MGR-" OR "%AUTHMGR-" OR "%ILPOWER-")
| fields _time host source sourcetype _raw</x:v>
      </x:c>
      <x:c r="J10" s="10" t="str">
        <x:v>Can become noisy in access-heavy environments. Split authentication from PoE later only if volume warrants it.</x:v>
      </x:c>
      <x:c r="K10" s="10" t="str">
        <x:v>802.1X/MAB/session manager/inline power.</x:v>
      </x:c>
    </x:row>
    <x:row r="11">
      <x:c r="A11" s="42" t="str">
        <x:v>Yes</x:v>
      </x:c>
      <x:c r="B11" s="42" t="str">
        <x:v>B_OPERATIONS</x:v>
      </x:c>
      <x:c r="C11" s="42" t="str">
        <x:v>Operations</x:v>
      </x:c>
      <x:c r="D11" s="42" t="str">
        <x:v>Operations</x:v>
      </x:c>
      <x:c r="E11" s="42" t="str">
        <x:v>ds_base_operations</x:v>
      </x:c>
      <x:c r="F11" s="42" t="str">
        <x:v>("%SYS-5-CONFIG_I" OR "%SYS-5-RELOAD" OR "%SYS-5-RESTART" OR "%LOGIN-" OR "%SSH-" OR "%AAA-")</x:v>
      </x:c>
      <x:c r="G11" s="42" t="str">
        <x:v>| fields _time host source sourcetype _raw</x:v>
      </x:c>
      <x:c r="H11" s="42" t="str">
        <x:v>_time host source sourcetype _raw</x:v>
      </x:c>
      <x:c r="I11" s="48" t="str">
        <x:f>IF(OR($A11&lt;&gt;"Yes",$B11=""),"",'Dashboard Config'!$B$5&amp;CHAR(10)&amp;"$"&amp;'Dashboard Config'!$B$8&amp;"$"&amp;IF($F11&lt;&gt;"",CHAR(10)&amp;$F11,"")&amp;IF($G11&lt;&gt;"",CHAR(10)&amp;$G11,""))</x:f>
        <x:v>index="network_eo" sourcetype="cisco:ios"
$scope$
("%SYS-5-CONFIG_I" OR "%SYS-5-RELOAD" OR "%SYS-5-RESTART" OR "%LOGIN-" OR "%SSH-" OR "%AAA-")
| fields _time host source sourcetype _raw</x:v>
      </x:c>
      <x:c r="J11" s="10" t="str">
        <x:v>Keep broad auth noise out unless the operations tab actually needs it.</x:v>
      </x:c>
      <x:c r="K11" s="10" t="str">
        <x:v>Configuration, reload and administrative access events.</x:v>
      </x:c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8" t="str">
        <x:f>IF(OR($A12&lt;&gt;"Yes",$B12=""),"",'Dashboard Config'!$B$5&amp;CHAR(10)&amp;"$"&amp;'Dashboard Config'!$B$8&amp;"$"&amp;IF($F12&lt;&gt;"",CHAR(10)&amp;$F12,"")&amp;IF($G12&lt;&gt;"",CHAR(10)&amp;$G12,""))</x:f>
      </x:c>
      <x:c r="J12" s="10"/>
      <x:c r="K12" s="10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8" t="str">
        <x:f>IF(OR($A13&lt;&gt;"Yes",$B13=""),"",'Dashboard Config'!$B$5&amp;CHAR(10)&amp;"$"&amp;'Dashboard Config'!$B$8&amp;"$"&amp;IF($F13&lt;&gt;"",CHAR(10)&amp;$F13,"")&amp;IF($G13&lt;&gt;"",CHAR(10)&amp;$G13,""))</x:f>
      </x:c>
      <x:c r="J13" s="10"/>
      <x:c r="K13" s="10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8" t="str">
        <x:f>IF(OR($A14&lt;&gt;"Yes",$B14=""),"",'Dashboard Config'!$B$5&amp;CHAR(10)&amp;"$"&amp;'Dashboard Config'!$B$8&amp;"$"&amp;IF($F14&lt;&gt;"",CHAR(10)&amp;$F14,"")&amp;IF($G14&lt;&gt;"",CHAR(10)&amp;$G14,""))</x:f>
      </x:c>
      <x:c r="J14" s="10"/>
      <x:c r="K14" s="10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8" t="str">
        <x:f>IF(OR($A15&lt;&gt;"Yes",$B15=""),"",'Dashboard Config'!$B$5&amp;CHAR(10)&amp;"$"&amp;'Dashboard Config'!$B$8&amp;"$"&amp;IF($F15&lt;&gt;"",CHAR(10)&amp;$F15,"")&amp;IF($G15&lt;&gt;"",CHAR(10)&amp;$G15,""))</x:f>
      </x:c>
      <x:c r="J15" s="10"/>
      <x:c r="K15" s="10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8" t="str">
        <x:f>IF(OR($A16&lt;&gt;"Yes",$B16=""),"",'Dashboard Config'!$B$5&amp;CHAR(10)&amp;"$"&amp;'Dashboard Config'!$B$8&amp;"$"&amp;IF($F16&lt;&gt;"",CHAR(10)&amp;$F16,"")&amp;IF($G16&lt;&gt;"",CHAR(10)&amp;$G16,""))</x:f>
      </x:c>
      <x:c r="J16" s="10"/>
      <x:c r="K16" s="10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8" t="str">
        <x:f>IF(OR($A17&lt;&gt;"Yes",$B17=""),"",'Dashboard Config'!$B$5&amp;CHAR(10)&amp;"$"&amp;'Dashboard Config'!$B$8&amp;"$"&amp;IF($F17&lt;&gt;"",CHAR(10)&amp;$F17,"")&amp;IF($G17&lt;&gt;"",CHAR(10)&amp;$G17,""))</x:f>
      </x:c>
      <x:c r="J17" s="10"/>
      <x:c r="K17" s="10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8" t="str">
        <x:f>IF(OR($A18&lt;&gt;"Yes",$B18=""),"",'Dashboard Config'!$B$5&amp;CHAR(10)&amp;"$"&amp;'Dashboard Config'!$B$8&amp;"$"&amp;IF($F18&lt;&gt;"",CHAR(10)&amp;$F18,"")&amp;IF($G18&lt;&gt;"",CHAR(10)&amp;$G18,""))</x:f>
      </x:c>
      <x:c r="J18" s="10"/>
      <x:c r="K18" s="10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8" t="str">
        <x:f>IF(OR($A19&lt;&gt;"Yes",$B19=""),"",'Dashboard Config'!$B$5&amp;CHAR(10)&amp;"$"&amp;'Dashboard Config'!$B$8&amp;"$"&amp;IF($F19&lt;&gt;"",CHAR(10)&amp;$F19,"")&amp;IF($G19&lt;&gt;"",CHAR(10)&amp;$G19,""))</x:f>
      </x:c>
      <x:c r="J19" s="10"/>
      <x:c r="K19" s="10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8" t="str">
        <x:f>IF(OR($A20&lt;&gt;"Yes",$B20=""),"",'Dashboard Config'!$B$5&amp;CHAR(10)&amp;"$"&amp;'Dashboard Config'!$B$8&amp;"$"&amp;IF($F20&lt;&gt;"",CHAR(10)&amp;$F20,"")&amp;IF($G20&lt;&gt;"",CHAR(10)&amp;$G20,""))</x:f>
      </x:c>
      <x:c r="J20" s="10"/>
      <x:c r="K20" s="10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8" t="str">
        <x:f>IF(OR($A21&lt;&gt;"Yes",$B21=""),"",'Dashboard Config'!$B$5&amp;CHAR(10)&amp;"$"&amp;'Dashboard Config'!$B$8&amp;"$"&amp;IF($F21&lt;&gt;"",CHAR(10)&amp;$F21,"")&amp;IF($G21&lt;&gt;"",CHAR(10)&amp;$G21,""))</x:f>
      </x:c>
      <x:c r="J21" s="10"/>
      <x:c r="K21" s="10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8" t="str">
        <x:f>IF(OR($A22&lt;&gt;"Yes",$B22=""),"",'Dashboard Config'!$B$5&amp;CHAR(10)&amp;"$"&amp;'Dashboard Config'!$B$8&amp;"$"&amp;IF($F22&lt;&gt;"",CHAR(10)&amp;$F22,"")&amp;IF($G22&lt;&gt;"",CHAR(10)&amp;$G22,""))</x:f>
      </x:c>
      <x:c r="J22" s="10"/>
      <x:c r="K22" s="10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8" t="str">
        <x:f>IF(OR($A23&lt;&gt;"Yes",$B23=""),"",'Dashboard Config'!$B$5&amp;CHAR(10)&amp;"$"&amp;'Dashboard Config'!$B$8&amp;"$"&amp;IF($F23&lt;&gt;"",CHAR(10)&amp;$F23,"")&amp;IF($G23&lt;&gt;"",CHAR(10)&amp;$G23,""))</x:f>
      </x:c>
      <x:c r="J23" s="10"/>
      <x:c r="K23" s="10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8" t="str">
        <x:f>IF(OR($A24&lt;&gt;"Yes",$B24=""),"",'Dashboard Config'!$B$5&amp;CHAR(10)&amp;"$"&amp;'Dashboard Config'!$B$8&amp;"$"&amp;IF($F24&lt;&gt;"",CHAR(10)&amp;$F24,"")&amp;IF($G24&lt;&gt;"",CHAR(10)&amp;$G24,""))</x:f>
      </x:c>
      <x:c r="J24" s="10"/>
      <x:c r="K24" s="10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8" t="str">
        <x:f>IF(OR($A25&lt;&gt;"Yes",$B25=""),"",'Dashboard Config'!$B$5&amp;CHAR(10)&amp;"$"&amp;'Dashboard Config'!$B$8&amp;"$"&amp;IF($F25&lt;&gt;"",CHAR(10)&amp;$F25,"")&amp;IF($G25&lt;&gt;"",CHAR(10)&amp;$G25,""))</x:f>
      </x:c>
      <x:c r="J25" s="10"/>
      <x:c r="K25" s="10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8" t="str">
        <x:f>IF(OR($A26&lt;&gt;"Yes",$B26=""),"",'Dashboard Config'!$B$5&amp;CHAR(10)&amp;"$"&amp;'Dashboard Config'!$B$8&amp;"$"&amp;IF($F26&lt;&gt;"",CHAR(10)&amp;$F26,"")&amp;IF($G26&lt;&gt;"",CHAR(10)&amp;$G26,""))</x:f>
      </x:c>
      <x:c r="J26" s="10"/>
      <x:c r="K26" s="10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8" t="str">
        <x:f>IF(OR($A27&lt;&gt;"Yes",$B27=""),"",'Dashboard Config'!$B$5&amp;CHAR(10)&amp;"$"&amp;'Dashboard Config'!$B$8&amp;"$"&amp;IF($F27&lt;&gt;"",CHAR(10)&amp;$F27,"")&amp;IF($G27&lt;&gt;"",CHAR(10)&amp;$G27,""))</x:f>
      </x:c>
      <x:c r="J27" s="10"/>
      <x:c r="K27" s="10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8" t="str">
        <x:f>IF(OR($A28&lt;&gt;"Yes",$B28=""),"",'Dashboard Config'!$B$5&amp;CHAR(10)&amp;"$"&amp;'Dashboard Config'!$B$8&amp;"$"&amp;IF($F28&lt;&gt;"",CHAR(10)&amp;$F28,"")&amp;IF($G28&lt;&gt;"",CHAR(10)&amp;$G28,""))</x:f>
      </x:c>
      <x:c r="J28" s="10"/>
      <x:c r="K28" s="10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8" t="str">
        <x:f>IF(OR($A29&lt;&gt;"Yes",$B29=""),"",'Dashboard Config'!$B$5&amp;CHAR(10)&amp;"$"&amp;'Dashboard Config'!$B$8&amp;"$"&amp;IF($F29&lt;&gt;"",CHAR(10)&amp;$F29,"")&amp;IF($G29&lt;&gt;"",CHAR(10)&amp;$G29,""))</x:f>
      </x:c>
      <x:c r="J29" s="10"/>
      <x:c r="K29" s="10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8" t="str">
        <x:f>IF(OR($A30&lt;&gt;"Yes",$B30=""),"",'Dashboard Config'!$B$5&amp;CHAR(10)&amp;"$"&amp;'Dashboard Config'!$B$8&amp;"$"&amp;IF($F30&lt;&gt;"",CHAR(10)&amp;$F30,"")&amp;IF($G30&lt;&gt;"",CHAR(10)&amp;$G30,""))</x:f>
      </x:c>
      <x:c r="J30" s="10"/>
      <x:c r="K30" s="10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8" t="str">
        <x:f>IF(OR($A31&lt;&gt;"Yes",$B31=""),"",'Dashboard Config'!$B$5&amp;CHAR(10)&amp;"$"&amp;'Dashboard Config'!$B$8&amp;"$"&amp;IF($F31&lt;&gt;"",CHAR(10)&amp;$F31,"")&amp;IF($G31&lt;&gt;"",CHAR(10)&amp;$G31,""))</x:f>
      </x:c>
      <x:c r="J31" s="10"/>
      <x:c r="K31" s="10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8" t="str">
        <x:f>IF(OR($A32&lt;&gt;"Yes",$B32=""),"",'Dashboard Config'!$B$5&amp;CHAR(10)&amp;"$"&amp;'Dashboard Config'!$B$8&amp;"$"&amp;IF($F32&lt;&gt;"",CHAR(10)&amp;$F32,"")&amp;IF($G32&lt;&gt;"",CHAR(10)&amp;$G32,""))</x:f>
      </x:c>
      <x:c r="J32" s="10"/>
      <x:c r="K32" s="10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8" t="str">
        <x:f>IF(OR($A33&lt;&gt;"Yes",$B33=""),"",'Dashboard Config'!$B$5&amp;CHAR(10)&amp;"$"&amp;'Dashboard Config'!$B$8&amp;"$"&amp;IF($F33&lt;&gt;"",CHAR(10)&amp;$F33,"")&amp;IF($G33&lt;&gt;"",CHAR(10)&amp;$G33,""))</x:f>
      </x:c>
      <x:c r="J33" s="10"/>
      <x:c r="K33" s="10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8" t="str">
        <x:f>IF(OR($A34&lt;&gt;"Yes",$B34=""),"",'Dashboard Config'!$B$5&amp;CHAR(10)&amp;"$"&amp;'Dashboard Config'!$B$8&amp;"$"&amp;IF($F34&lt;&gt;"",CHAR(10)&amp;$F34,"")&amp;IF($G34&lt;&gt;"",CHAR(10)&amp;$G34,""))</x:f>
      </x:c>
      <x:c r="J34" s="10"/>
      <x:c r="K34" s="10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8" t="str">
        <x:f>IF(OR($A35&lt;&gt;"Yes",$B35=""),"",'Dashboard Config'!$B$5&amp;CHAR(10)&amp;"$"&amp;'Dashboard Config'!$B$8&amp;"$"&amp;IF($F35&lt;&gt;"",CHAR(10)&amp;$F35,"")&amp;IF($G35&lt;&gt;"",CHAR(10)&amp;$G35,""))</x:f>
      </x:c>
      <x:c r="J35" s="10"/>
      <x:c r="K35" s="10"/>
    </x:row>
  </x:sheetData>
  <x:mergeCells>
    <x:mergeCell ref="A1:K1"/>
    <x:mergeCell ref="A2:K3"/>
  </x:mergeCells>
  <x:conditionalFormatting sqref="A6:A35">
    <x:cfRule type="expression" dxfId="1" priority="1">
      <x:formula>A6="Yes"</x:formula>
    </x:cfRule>
  </x:conditionalFormatting>
  <x:dataValidations count="1">
    <x:dataValidation type="list" sqref="A6:A35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30" hidden="0" customWidth="1"/>
    <x:col min="4" max="4" width="12" hidden="0" customWidth="1"/>
    <x:col min="5" max="5" width="16" hidden="0" customWidth="1"/>
    <x:col min="6" max="6" width="16" hidden="0" customWidth="1"/>
    <x:col min="7" max="7" width="22" hidden="0" customWidth="1"/>
    <x:col min="8" max="8" width="44" hidden="0" customWidth="1"/>
    <x:col min="9" max="9" width="52" hidden="0" customWidth="1"/>
    <x:col min="10" max="10" width="62" hidden="0" customWidth="1"/>
    <x:col min="11" max="11" width="10" hidden="0" customWidth="1"/>
    <x:col min="12" max="12" width="24" hidden="0" customWidth="1"/>
    <x:col min="13" max="13" width="10" hidden="0" customWidth="1"/>
    <x:col min="14" max="14" width="22" hidden="0" customWidth="1"/>
    <x:col min="15" max="15" width="24" hidden="0" customWidth="1"/>
    <x:col min="16" max="16" width="26" hidden="0" customWidth="1"/>
    <x:col min="17" max="17" width="72" hidden="0" customWidth="1"/>
    <x:col min="18" max="18" width="72" hidden="0" customWidth="1"/>
  </x:cols>
  <x:sheetData>
    <x:row r="1">
      <x:c r="A1" s="52" t="str">
        <x:v>Search / Chain Library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</x:row>
    <x:row r="2">
      <x:c r="A2" s="10" t="str">
        <x:v>To add a panel/search: give it a stable Search ID, choose Parent Base, and enter the remaining SPL. Parent Search is optional and creates a second chain level for reusable parsing. Helper searches are data sources with no visualization. Count settings automatically create a count version without duplicating the search.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</x:row>
    <x:row r="5" ht="38" customHeight="1">
      <x:c r="A5" s="34" t="str">
        <x:v>Use?</x:v>
      </x:c>
      <x:c r="B5" s="34" t="str">
        <x:v>Search ID</x:v>
      </x:c>
      <x:c r="C5" s="34" t="str">
        <x:v>Search Name</x:v>
      </x:c>
      <x:c r="D5" s="34" t="str">
        <x:v>Role</x:v>
      </x:c>
      <x:c r="E5" s="34" t="str">
        <x:v>Category</x:v>
      </x:c>
      <x:c r="F5" s="34" t="str">
        <x:v>Parent Base</x:v>
      </x:c>
      <x:c r="G5" s="34" t="str">
        <x:v>Parent Search (optional)</x:v>
      </x:c>
      <x:c r="H5" s="34" t="str">
        <x:v>Filter Expression</x:v>
      </x:c>
      <x:c r="I5" s="34" t="str">
        <x:v>Prep SPL</x:v>
      </x:c>
      <x:c r="J5" s="34" t="str">
        <x:v>Detail SPL</x:v>
      </x:c>
      <x:c r="K5" s="34" t="str">
        <x:v>Count?</x:v>
      </x:c>
      <x:c r="L5" s="34" t="str">
        <x:v>Count By</x:v>
      </x:c>
      <x:c r="M5" s="34" t="str">
        <x:v>Count Min</x:v>
      </x:c>
      <x:c r="N5" s="34" t="str">
        <x:v>Suggested Viz</x:v>
      </x:c>
      <x:c r="O5" s="34" t="str">
        <x:v>Data Source ID</x:v>
      </x:c>
      <x:c r="P5" s="34" t="str">
        <x:v>Parent Data Source</x:v>
      </x:c>
      <x:c r="Q5" s="34" t="str">
        <x:v>Chain SPL</x:v>
      </x:c>
      <x:c r="R5" s="34" t="str">
        <x:v>Count Chain SPL</x:v>
      </x:c>
    </x:row>
    <x:row r="6">
      <x:c r="A6" s="42" t="str">
        <x:v>Yes</x:v>
      </x:c>
      <x:c r="B6" s="42" t="str">
        <x:v>S_IFACE_PARSE</x:v>
      </x:c>
      <x:c r="C6" s="42" t="str">
        <x:v>Interface Parsed Fields</x:v>
      </x:c>
      <x:c r="D6" s="42" t="str">
        <x:v>Helper</x:v>
      </x:c>
      <x:c r="E6" s="42" t="str">
        <x:v>Interfaces</x:v>
      </x:c>
      <x:c r="F6" s="42" t="str">
        <x:v>B_INTERFACE</x:v>
      </x:c>
      <x:c r="G6" s="42" t="str"/>
      <x:c r="H6" s="42" t="str"/>
      <x:c r="I6" s="42" t="str">
        <x:v>| rex field=_raw "(?i)(?:Interface|Line protocol on Interface)\s+(?&lt;interface&gt;[^,]+),\s+changed state to\s+(?&lt;state&gt;up|down)"</x:v>
      </x:c>
      <x:c r="J6" s="42" t="str"/>
      <x:c r="K6" s="42" t="str">
        <x:v>No</x:v>
      </x:c>
      <x:c r="L6" s="42" t="str"/>
      <x:c r="M6" s="42" t="str"/>
      <x:c r="N6" s="42" t="str">
        <x:v>Helper</x:v>
      </x:c>
      <x:c r="O6" s="42" t="str">
        <x:v>ds_iface_parse</x:v>
      </x:c>
      <x:c r="P6" s="48" t="str">
        <x:f>IF($A6&lt;&gt;"Yes","",IF($G6&lt;&gt;"",IFERROR(INDEX($O$6:$O$205,MATCH($G6,$B$6:$B$205,0)),"PARENT SEARCH NOT FOUND"),IFERROR(INDEX('Base Searches'!$E$6:$E$35,MATCH($F6,'Base Searches'!$B$6:$B$35,0)),"BASE NOT FOUND")))</x:f>
        <x:v>ds_base_interface</x:v>
      </x:c>
      <x:c r="Q6" s="48" t="str">
        <x:f>IF(OR($A6&lt;&gt;"Yes",$B6=""),"",IF($H6&lt;&gt;"","| search "&amp;$H6,"")&amp;IF($I6&lt;&gt;"",IF($H6&lt;&gt;"",CHAR(10),"")&amp;$I6,"")&amp;IF($J6&lt;&gt;"",IF(OR($H6&lt;&gt;"",$I6&lt;&gt;""),CHAR(10),"")&amp;$J6,""))</x:f>
        <x:v>| rex field=_raw "(?i)(?:Interface|Line protocol on Interface)\s+(?&lt;interface&gt;[^,]+),\s+changed state to\s+(?&lt;state&gt;up|down)"</x:v>
      </x:c>
      <x:c r="R6" s="48" t="str">
        <x:f>IF(OR($A6&lt;&gt;"Yes",$B6=""),"",IF($K6&lt;&gt;"Yes","Count disabled",IF($H6&lt;&gt;"","| search "&amp;$H6,"")&amp;IF($I6&lt;&gt;"",IF($H6&lt;&gt;"",CHAR(10),"")&amp;$I6,"")&amp;IF(OR($H6&lt;&gt;"",$I6&lt;&gt;""),CHAR(10),"")&amp;"| stats count as count"&amp;IF($L6&lt;&gt;""," by "&amp;$L6,"")&amp;IF($M6&lt;&gt;"",CHAR(10)&amp;"| where count &gt;= "&amp;$M6,"")&amp;CHAR(10)&amp;"| sort - count"))</x:f>
        <x:v>Count disabled</x:v>
      </x:c>
    </x:row>
    <x:row r="7">
      <x:c r="A7" s="42" t="str">
        <x:v>Yes</x:v>
      </x:c>
      <x:c r="B7" s="42" t="str">
        <x:v>S_IFACE_DETAIL</x:v>
      </x:c>
      <x:c r="C7" s="42" t="str">
        <x:v>Interface Up / Down</x:v>
      </x:c>
      <x:c r="D7" s="42" t="str">
        <x:v>Panel</x:v>
      </x:c>
      <x:c r="E7" s="42" t="str">
        <x:v>Interfaces</x:v>
      </x:c>
      <x:c r="F7" s="42" t="str">
        <x:v>B_INTERFACE</x:v>
      </x:c>
      <x:c r="G7" s="42" t="str">
        <x:v>S_IFACE_PARSE</x:v>
      </x:c>
      <x:c r="H7" s="42" t="str">
        <x:v>interface=*</x:v>
      </x:c>
      <x:c r="I7" s="42" t="str"/>
      <x:c r="J7" s="42" t="str">
        <x:v>| table _time host interface state _raw | sort - _time</x:v>
      </x:c>
      <x:c r="K7" s="42" t="str">
        <x:v>Yes</x:v>
      </x:c>
      <x:c r="L7" s="42" t="str">
        <x:v>host interface state</x:v>
      </x:c>
      <x:c r="M7" s="42" t="str">
        <x:v>1</x:v>
      </x:c>
      <x:c r="N7" s="42" t="str">
        <x:v>Table</x:v>
      </x:c>
      <x:c r="O7" s="42" t="str">
        <x:v>ds_iface_detail</x:v>
      </x:c>
      <x:c r="P7" s="48" t="str">
        <x:f>IF($A7&lt;&gt;"Yes","",IF($G7&lt;&gt;"",IFERROR(INDEX($O$6:$O$205,MATCH($G7,$B$6:$B$205,0)),"PARENT SEARCH NOT FOUND"),IFERROR(INDEX('Base Searches'!$E$6:$E$35,MATCH($F7,'Base Searches'!$B$6:$B$35,0)),"BASE NOT FOUND")))</x:f>
        <x:v>ds_iface_parse</x:v>
      </x:c>
      <x:c r="Q7" s="48" t="str">
        <x:f>IF(OR($A7&lt;&gt;"Yes",$B7=""),"",IF($H7&lt;&gt;"","| search "&amp;$H7,"")&amp;IF($I7&lt;&gt;"",IF($H7&lt;&gt;"",CHAR(10),"")&amp;$I7,"")&amp;IF($J7&lt;&gt;"",IF(OR($H7&lt;&gt;"",$I7&lt;&gt;""),CHAR(10),"")&amp;$J7,""))</x:f>
        <x:v>| search interface=*
| table _time host interface state _raw | sort - _time</x:v>
      </x:c>
      <x:c r="R7" s="48" t="str">
        <x:f>IF(OR($A7&lt;&gt;"Yes",$B7=""),"",IF($K7&lt;&gt;"Yes","Count disabled",IF($H7&lt;&gt;"","| search "&amp;$H7,"")&amp;IF($I7&lt;&gt;"",IF($H7&lt;&gt;"",CHAR(10),"")&amp;$I7,"")&amp;IF(OR($H7&lt;&gt;"",$I7&lt;&gt;""),CHAR(10),"")&amp;"| stats count as count"&amp;IF($L7&lt;&gt;""," by "&amp;$L7,"")&amp;IF($M7&lt;&gt;"",CHAR(10)&amp;"| where count &gt;= "&amp;$M7,"")&amp;CHAR(10)&amp;"| sort - count"))</x:f>
        <x:v>| search interface=*
| stats count as count by host interface state
| where count &gt;= 1
| sort - count</x:v>
      </x:c>
    </x:row>
    <x:row r="8">
      <x:c r="A8" s="42" t="str">
        <x:v>Yes</x:v>
      </x:c>
      <x:c r="B8" s="42" t="str">
        <x:v>S_IFACE_DOWN</x:v>
      </x:c>
      <x:c r="C8" s="42" t="str">
        <x:v>Interfaces Down</x:v>
      </x:c>
      <x:c r="D8" s="42" t="str">
        <x:v>Panel</x:v>
      </x:c>
      <x:c r="E8" s="42" t="str">
        <x:v>Interfaces</x:v>
      </x:c>
      <x:c r="F8" s="42" t="str">
        <x:v>B_INTERFACE</x:v>
      </x:c>
      <x:c r="G8" s="42" t="str">
        <x:v>S_IFACE_PARSE</x:v>
      </x:c>
      <x:c r="H8" s="42" t="str">
        <x:v>state="down"</x:v>
      </x:c>
      <x:c r="I8" s="42" t="str"/>
      <x:c r="J8" s="42" t="str">
        <x:v>| table _time host interface state _raw | sort - _time</x:v>
      </x:c>
      <x:c r="K8" s="42" t="str">
        <x:v>Yes</x:v>
      </x:c>
      <x:c r="L8" s="42" t="str">
        <x:v>host interface</x:v>
      </x:c>
      <x:c r="M8" s="42" t="str">
        <x:v>1</x:v>
      </x:c>
      <x:c r="N8" s="42" t="str">
        <x:v>Table / Single Value</x:v>
      </x:c>
      <x:c r="O8" s="42" t="str">
        <x:v>ds_iface_down</x:v>
      </x:c>
      <x:c r="P8" s="48" t="str">
        <x:f>IF($A8&lt;&gt;"Yes","",IF($G8&lt;&gt;"",IFERROR(INDEX($O$6:$O$205,MATCH($G8,$B$6:$B$205,0)),"PARENT SEARCH NOT FOUND"),IFERROR(INDEX('Base Searches'!$E$6:$E$35,MATCH($F8,'Base Searches'!$B$6:$B$35,0)),"BASE NOT FOUND")))</x:f>
        <x:v>ds_iface_parse</x:v>
      </x:c>
      <x:c r="Q8" s="48" t="str">
        <x:f>IF(OR($A8&lt;&gt;"Yes",$B8=""),"",IF($H8&lt;&gt;"","| search "&amp;$H8,"")&amp;IF($I8&lt;&gt;"",IF($H8&lt;&gt;"",CHAR(10),"")&amp;$I8,"")&amp;IF($J8&lt;&gt;"",IF(OR($H8&lt;&gt;"",$I8&lt;&gt;""),CHAR(10),"")&amp;$J8,""))</x:f>
        <x:v>| search state="down"
| table _time host interface state _raw | sort - _time</x:v>
      </x:c>
      <x:c r="R8" s="48" t="str">
        <x:f>IF(OR($A8&lt;&gt;"Yes",$B8=""),"",IF($K8&lt;&gt;"Yes","Count disabled",IF($H8&lt;&gt;"","| search "&amp;$H8,"")&amp;IF($I8&lt;&gt;"",IF($H8&lt;&gt;"",CHAR(10),"")&amp;$I8,"")&amp;IF(OR($H8&lt;&gt;"",$I8&lt;&gt;""),CHAR(10),"")&amp;"| stats count as count"&amp;IF($L8&lt;&gt;""," by "&amp;$L8,"")&amp;IF($M8&lt;&gt;"",CHAR(10)&amp;"| where count &gt;= "&amp;$M8,"")&amp;CHAR(10)&amp;"| sort - count"))</x:f>
        <x:v>| search state="down"
| stats count as count by host interface
| where count &gt;= 1
| sort - count</x:v>
      </x:c>
    </x:row>
    <x:row r="9">
      <x:c r="A9" s="42" t="str">
        <x:v>Yes</x:v>
      </x:c>
      <x:c r="B9" s="42" t="str">
        <x:v>S_IFACE_FLAP</x:v>
      </x:c>
      <x:c r="C9" s="42" t="str">
        <x:v>Interface Flap Candidates</x:v>
      </x:c>
      <x:c r="D9" s="42" t="str">
        <x:v>Panel</x:v>
      </x:c>
      <x:c r="E9" s="42" t="str">
        <x:v>Interfaces</x:v>
      </x:c>
      <x:c r="F9" s="42" t="str">
        <x:v>B_INTERFACE</x:v>
      </x:c>
      <x:c r="G9" s="42" t="str">
        <x:v>S_IFACE_PARSE</x:v>
      </x:c>
      <x:c r="H9" s="42" t="str">
        <x:v>interface=*</x:v>
      </x:c>
      <x:c r="I9" s="42" t="str">
        <x:v>| bin _time span=15m</x:v>
      </x:c>
      <x:c r="J9" s="42" t="str">
        <x:v>| stats count by _time host interface | where count&gt;=4 | sort - count</x:v>
      </x:c>
      <x:c r="K9" s="42" t="str">
        <x:v>Yes</x:v>
      </x:c>
      <x:c r="L9" s="42" t="str">
        <x:v>_time host interface</x:v>
      </x:c>
      <x:c r="M9" s="42" t="str">
        <x:v>4</x:v>
      </x:c>
      <x:c r="N9" s="42" t="str">
        <x:v>Table</x:v>
      </x:c>
      <x:c r="O9" s="42" t="str">
        <x:v>ds_iface_flap</x:v>
      </x:c>
      <x:c r="P9" s="48" t="str">
        <x:f>IF($A9&lt;&gt;"Yes","",IF($G9&lt;&gt;"",IFERROR(INDEX($O$6:$O$205,MATCH($G9,$B$6:$B$205,0)),"PARENT SEARCH NOT FOUND"),IFERROR(INDEX('Base Searches'!$E$6:$E$35,MATCH($F9,'Base Searches'!$B$6:$B$35,0)),"BASE NOT FOUND")))</x:f>
        <x:v>ds_iface_parse</x:v>
      </x:c>
      <x:c r="Q9" s="48" t="str">
        <x:f>IF(OR($A9&lt;&gt;"Yes",$B9=""),"",IF($H9&lt;&gt;"","| search "&amp;$H9,"")&amp;IF($I9&lt;&gt;"",IF($H9&lt;&gt;"",CHAR(10),"")&amp;$I9,"")&amp;IF($J9&lt;&gt;"",IF(OR($H9&lt;&gt;"",$I9&lt;&gt;""),CHAR(10),"")&amp;$J9,""))</x:f>
        <x:v>| search interface=*
| bin _time span=15m
| stats count by _time host interface | where count&gt;=4 | sort - count</x:v>
      </x:c>
      <x:c r="R9" s="48" t="str">
        <x:f>IF(OR($A9&lt;&gt;"Yes",$B9=""),"",IF($K9&lt;&gt;"Yes","Count disabled",IF($H9&lt;&gt;"","| search "&amp;$H9,"")&amp;IF($I9&lt;&gt;"",IF($H9&lt;&gt;"",CHAR(10),"")&amp;$I9,"")&amp;IF(OR($H9&lt;&gt;"",$I9&lt;&gt;""),CHAR(10),"")&amp;"| stats count as count"&amp;IF($L9&lt;&gt;""," by "&amp;$L9,"")&amp;IF($M9&lt;&gt;"",CHAR(10)&amp;"| where count &gt;= "&amp;$M9,"")&amp;CHAR(10)&amp;"| sort - count"))</x:f>
        <x:v>| search interface=*
| bin _time span=15m
| stats count as count by _time host interface
| where count &gt;= 4
| sort - count</x:v>
      </x:c>
    </x:row>
    <x:row r="10">
      <x:c r="A10" s="42" t="str">
        <x:v>Yes</x:v>
      </x:c>
      <x:c r="B10" s="42" t="str">
        <x:v>S_ERRDISABLE</x:v>
      </x:c>
      <x:c r="C10" s="42" t="str">
        <x:v>Err-Disabled Ports</x:v>
      </x:c>
      <x:c r="D10" s="42" t="str">
        <x:v>Panel</x:v>
      </x:c>
      <x:c r="E10" s="42" t="str">
        <x:v>Interfaces</x:v>
      </x:c>
      <x:c r="F10" s="42" t="str">
        <x:v>B_INTERFACE</x:v>
      </x:c>
      <x:c r="G10" s="42" t="str"/>
      <x:c r="H10" s="42" t="str">
        <x:v>("%PM-4-ERR_DISABLE" OR "err-disabled" OR "err-disable")</x:v>
      </x:c>
      <x:c r="I10" s="42" t="str">
        <x:v>| rex field=_raw "(?&lt;reason&gt;[A-Za-z0-9_-]+) error detected on (?&lt;interface&gt;[^, ]+)"</x:v>
      </x:c>
      <x:c r="J10" s="42" t="str">
        <x:v>| stats count latest(_time) as last_seen values(reason) as reason values(_raw) as sample by host interface | eval last_seen=strftime(last_seen,"%Y-%m-%d %H:%M:%S") | sort - last_seen</x:v>
      </x:c>
      <x:c r="K10" s="42" t="str">
        <x:v>Yes</x:v>
      </x:c>
      <x:c r="L10" s="42" t="str">
        <x:v>host interface</x:v>
      </x:c>
      <x:c r="M10" s="42" t="str">
        <x:v>1</x:v>
      </x:c>
      <x:c r="N10" s="42" t="str">
        <x:v>Table / Single Value</x:v>
      </x:c>
      <x:c r="O10" s="42" t="str">
        <x:v>ds_errdisable</x:v>
      </x:c>
      <x:c r="P10" s="48" t="str">
        <x:f>IF($A10&lt;&gt;"Yes","",IF($G10&lt;&gt;"",IFERROR(INDEX($O$6:$O$205,MATCH($G10,$B$6:$B$205,0)),"PARENT SEARCH NOT FOUND"),IFERROR(INDEX('Base Searches'!$E$6:$E$35,MATCH($F10,'Base Searches'!$B$6:$B$35,0)),"BASE NOT FOUND")))</x:f>
        <x:v>ds_base_interface</x:v>
      </x:c>
      <x:c r="Q10" s="48" t="str">
        <x:f>IF(OR($A10&lt;&gt;"Yes",$B10=""),"",IF($H10&lt;&gt;"","| search "&amp;$H10,"")&amp;IF($I10&lt;&gt;"",IF($H10&lt;&gt;"",CHAR(10),"")&amp;$I10,"")&amp;IF($J10&lt;&gt;"",IF(OR($H10&lt;&gt;"",$I10&lt;&gt;""),CHAR(10),"")&amp;$J10,""))</x:f>
        <x:v>| search ("%PM-4-ERR_DISABLE" OR "err-disabled" OR "err-disable")
| rex field=_raw "(?&lt;reason&gt;[A-Za-z0-9_-]+) error detected on (?&lt;interface&gt;[^, ]+)"
| stats count latest(_time) as last_seen values(reason) as reason values(_raw) as sample by host interface | eval last_seen=strftime(last_seen,"%Y-%m-%d %H:%M:%S") | sort - last_seen</x:v>
      </x:c>
      <x:c r="R10" s="48" t="str">
        <x:f>IF(OR($A10&lt;&gt;"Yes",$B10=""),"",IF($K10&lt;&gt;"Yes","Count disabled",IF($H10&lt;&gt;"","| search "&amp;$H10,"")&amp;IF($I10&lt;&gt;"",IF($H10&lt;&gt;"",CHAR(10),"")&amp;$I10,"")&amp;IF(OR($H10&lt;&gt;"",$I10&lt;&gt;""),CHAR(10),"")&amp;"| stats count as count"&amp;IF($L10&lt;&gt;""," by "&amp;$L10,"")&amp;IF($M10&lt;&gt;"",CHAR(10)&amp;"| where count &gt;= "&amp;$M10,"")&amp;CHAR(10)&amp;"| sort - count"))</x:f>
        <x:v>| search ("%PM-4-ERR_DISABLE" OR "err-disabled" OR "err-disable")
| rex field=_raw "(?&lt;reason&gt;[A-Za-z0-9_-]+) error detected on (?&lt;interface&gt;[^, ]+)"
| stats count as count by host interface
| where count &gt;= 1
| sort - count</x:v>
      </x:c>
    </x:row>
    <x:row r="11">
      <x:c r="A11" s="42" t="str">
        <x:v>Yes</x:v>
      </x:c>
      <x:c r="B11" s="42" t="str">
        <x:v>S_MACFLAP</x:v>
      </x:c>
      <x:c r="C11" s="42" t="str">
        <x:v>MAC Flaps / Duplicate MAC Movement</x:v>
      </x:c>
      <x:c r="D11" s="42" t="str">
        <x:v>Panel</x:v>
      </x:c>
      <x:c r="E11" s="42" t="str">
        <x:v>Layer 2</x:v>
      </x:c>
      <x:c r="F11" s="42" t="str">
        <x:v>B_L2</x:v>
      </x:c>
      <x:c r="G11" s="42" t="str"/>
      <x:c r="H11" s="42" t="str">
        <x:v>"%SW_MATM-4-MACFLAP_NOTIF"</x:v>
      </x:c>
      <x:c r="I11" s="42" t="str">
        <x:v>| rex field=_raw "(?i)Host\s+(?&lt;mac&gt;[0-9a-f.:-]+)\s+in\s+(?:vlan\s+)?(?&lt;vlan&gt;\d+)\s+is flapping between port\s+(?&lt;port1&gt;\S+)\s+and port\s+(?&lt;port2&gt;\S+)"</x:v>
      </x:c>
      <x:c r="J11" s="42" t="str">
        <x:v>| stats count latest(_time) as last_seen values(port1) as port1 values(port2) as port2 by host vlan mac | eval last_seen=strftime(last_seen,"%Y-%m-%d %H:%M:%S") | sort - count</x:v>
      </x:c>
      <x:c r="K11" s="42" t="str">
        <x:v>Yes</x:v>
      </x:c>
      <x:c r="L11" s="42" t="str"/>
      <x:c r="M11" s="42" t="str">
        <x:v>1</x:v>
      </x:c>
      <x:c r="N11" s="42" t="str">
        <x:v>Single Value / Table</x:v>
      </x:c>
      <x:c r="O11" s="42" t="str">
        <x:v>ds_macflap</x:v>
      </x:c>
      <x:c r="P11" s="48" t="str">
        <x:f>IF($A11&lt;&gt;"Yes","",IF($G11&lt;&gt;"",IFERROR(INDEX($O$6:$O$205,MATCH($G11,$B$6:$B$205,0)),"PARENT SEARCH NOT FOUND"),IFERROR(INDEX('Base Searches'!$E$6:$E$35,MATCH($F11,'Base Searches'!$B$6:$B$35,0)),"BASE NOT FOUND")))</x:f>
        <x:v>ds_base_l2</x:v>
      </x:c>
      <x:c r="Q11" s="48" t="str">
        <x:f>IF(OR($A11&lt;&gt;"Yes",$B11=""),"",IF($H11&lt;&gt;"","| search "&amp;$H11,"")&amp;IF($I11&lt;&gt;"",IF($H11&lt;&gt;"",CHAR(10),"")&amp;$I11,"")&amp;IF($J11&lt;&gt;"",IF(OR($H11&lt;&gt;"",$I11&lt;&gt;""),CHAR(10),"")&amp;$J11,""))</x:f>
        <x:v>| search "%SW_MATM-4-MACFLAP_NOTIF"
| rex field=_raw "(?i)Host\s+(?&lt;mac&gt;[0-9a-f.:-]+)\s+in\s+(?:vlan\s+)?(?&lt;vlan&gt;\d+)\s+is flapping between port\s+(?&lt;port1&gt;\S+)\s+and port\s+(?&lt;port2&gt;\S+)"
| stats count latest(_time) as last_seen values(port1) as port1 values(port2) as port2 by host vlan mac | eval last_seen=strftime(last_seen,"%Y-%m-%d %H:%M:%S") | sort - count</x:v>
      </x:c>
      <x:c r="R11" s="48" t="str">
        <x:f>IF(OR($A11&lt;&gt;"Yes",$B11=""),"",IF($K11&lt;&gt;"Yes","Count disabled",IF($H11&lt;&gt;"","| search "&amp;$H11,"")&amp;IF($I11&lt;&gt;"",IF($H11&lt;&gt;"",CHAR(10),"")&amp;$I11,"")&amp;IF(OR($H11&lt;&gt;"",$I11&lt;&gt;""),CHAR(10),"")&amp;"| stats count as count"&amp;IF($L11&lt;&gt;""," by "&amp;$L11,"")&amp;IF($M11&lt;&gt;"",CHAR(10)&amp;"| where count &gt;= "&amp;$M11,"")&amp;CHAR(10)&amp;"| sort - count"))</x:f>
        <x:v>| search "%SW_MATM-4-MACFLAP_NOTIF"
| rex field=_raw "(?i)Host\s+(?&lt;mac&gt;[0-9a-f.:-]+)\s+in\s+(?:vlan\s+)?(?&lt;vlan&gt;\d+)\s+is flapping between port\s+(?&lt;port1&gt;\S+)\s+and port\s+(?&lt;port2&gt;\S+)"
| stats count as count
| where count &gt;= 1
| sort - count</x:v>
      </x:c>
    </x:row>
    <x:row r="12">
      <x:c r="A12" s="42" t="str">
        <x:v>Yes</x:v>
      </x:c>
      <x:c r="B12" s="42" t="str">
        <x:v>S_STP</x:v>
      </x:c>
      <x:c r="C12" s="42" t="str">
        <x:v>STP / Guard Events</x:v>
      </x:c>
      <x:c r="D12" s="42" t="str">
        <x:v>Panel</x:v>
      </x:c>
      <x:c r="E12" s="42" t="str">
        <x:v>Layer 2</x:v>
      </x:c>
      <x:c r="F12" s="42" t="str">
        <x:v>B_L2</x:v>
      </x:c>
      <x:c r="G12" s="42" t="str"/>
      <x:c r="H12" s="42" t="str">
        <x:v>("%SPANTREE-" OR "ROOTGUARD" OR "LOOPGUARD" OR "BPDU")</x:v>
      </x:c>
      <x:c r="I12" s="42" t="str">
        <x:v>| rex field=_raw "%(?&lt;facility&gt;[A-Z0-9_]+)-(?&lt;severity&gt;\d+)-(?&lt;mnemonic&gt;[A-Z0-9_]+):\s+(?&lt;message&gt;.*)"</x:v>
      </x:c>
      <x:c r="J12" s="42" t="str">
        <x:v>| table _time host facility severity mnemonic message | sort - _time</x:v>
      </x:c>
      <x:c r="K12" s="42" t="str">
        <x:v>Yes</x:v>
      </x:c>
      <x:c r="L12" s="42" t="str">
        <x:v>host mnemonic</x:v>
      </x:c>
      <x:c r="M12" s="42" t="str">
        <x:v>1</x:v>
      </x:c>
      <x:c r="N12" s="42" t="str">
        <x:v>Table</x:v>
      </x:c>
      <x:c r="O12" s="42" t="str">
        <x:v>ds_stp</x:v>
      </x:c>
      <x:c r="P12" s="48" t="str">
        <x:f>IF($A12&lt;&gt;"Yes","",IF($G12&lt;&gt;"",IFERROR(INDEX($O$6:$O$205,MATCH($G12,$B$6:$B$205,0)),"PARENT SEARCH NOT FOUND"),IFERROR(INDEX('Base Searches'!$E$6:$E$35,MATCH($F12,'Base Searches'!$B$6:$B$35,0)),"BASE NOT FOUND")))</x:f>
        <x:v>ds_base_l2</x:v>
      </x:c>
      <x:c r="Q12" s="48" t="str">
        <x:f>IF(OR($A12&lt;&gt;"Yes",$B12=""),"",IF($H12&lt;&gt;"","| search "&amp;$H12,"")&amp;IF($I12&lt;&gt;"",IF($H12&lt;&gt;"",CHAR(10),"")&amp;$I12,"")&amp;IF($J12&lt;&gt;"",IF(OR($H12&lt;&gt;"",$I12&lt;&gt;""),CHAR(10),"")&amp;$J12,""))</x:f>
        <x:v>| search ("%SPANTREE-" OR "ROOTGUARD" OR "LOOPGUARD" OR "BPDU")
| rex field=_raw "%(?&lt;facility&gt;[A-Z0-9_]+)-(?&lt;severity&gt;\d+)-(?&lt;mnemonic&gt;[A-Z0-9_]+):\s+(?&lt;message&gt;.*)"
| table _time host facility severity mnemonic message | sort - _time</x:v>
      </x:c>
      <x:c r="R12" s="48" t="str">
        <x:f>IF(OR($A12&lt;&gt;"Yes",$B12=""),"",IF($K12&lt;&gt;"Yes","Count disabled",IF($H12&lt;&gt;"","| search "&amp;$H12,"")&amp;IF($I12&lt;&gt;"",IF($H12&lt;&gt;"",CHAR(10),"")&amp;$I12,"")&amp;IF(OR($H12&lt;&gt;"",$I12&lt;&gt;""),CHAR(10),"")&amp;"| stats count as count"&amp;IF($L12&lt;&gt;""," by "&amp;$L12,"")&amp;IF($M12&lt;&gt;"",CHAR(10)&amp;"| where count &gt;= "&amp;$M12,"")&amp;CHAR(10)&amp;"| sort - count"))</x:f>
        <x:v>| search ("%SPANTREE-" OR "ROOTGUARD" OR "LOOPGUARD" OR "BPDU")
| rex field=_raw "%(?&lt;facility&gt;[A-Z0-9_]+)-(?&lt;severity&gt;\d+)-(?&lt;mnemonic&gt;[A-Z0-9_]+):\s+(?&lt;message&gt;.*)"
| stats count as count by host mnemonic
| where count &gt;= 1
| sort - count</x:v>
      </x:c>
    </x:row>
    <x:row r="13">
      <x:c r="A13" s="42" t="str">
        <x:v>Yes</x:v>
      </x:c>
      <x:c r="B13" s="42" t="str">
        <x:v>S_UDLD</x:v>
      </x:c>
      <x:c r="C13" s="42" t="str">
        <x:v>UDLD Events</x:v>
      </x:c>
      <x:c r="D13" s="42" t="str">
        <x:v>Panel</x:v>
      </x:c>
      <x:c r="E13" s="42" t="str">
        <x:v>Layer 2</x:v>
      </x:c>
      <x:c r="F13" s="42" t="str">
        <x:v>B_L2</x:v>
      </x:c>
      <x:c r="G13" s="42" t="str"/>
      <x:c r="H13" s="42" t="str">
        <x:v>"%UDLD-"</x:v>
      </x:c>
      <x:c r="I13" s="42" t="str">
        <x:v>| rex field=_raw "%(?&lt;facility&gt;[A-Z0-9_]+)-(?&lt;severity&gt;\d+)-(?&lt;mnemonic&gt;[A-Z0-9_]+):\s+(?&lt;message&gt;.*)"</x:v>
      </x:c>
      <x:c r="J13" s="42" t="str">
        <x:v>| table _time host facility severity mnemonic message | sort - _time</x:v>
      </x:c>
      <x:c r="K13" s="42" t="str">
        <x:v>Yes</x:v>
      </x:c>
      <x:c r="L13" s="42" t="str">
        <x:v>host mnemonic</x:v>
      </x:c>
      <x:c r="M13" s="42" t="str">
        <x:v>1</x:v>
      </x:c>
      <x:c r="N13" s="42" t="str">
        <x:v>Table</x:v>
      </x:c>
      <x:c r="O13" s="42" t="str">
        <x:v>ds_udld</x:v>
      </x:c>
      <x:c r="P13" s="48" t="str">
        <x:f>IF($A13&lt;&gt;"Yes","",IF($G13&lt;&gt;"",IFERROR(INDEX($O$6:$O$205,MATCH($G13,$B$6:$B$205,0)),"PARENT SEARCH NOT FOUND"),IFERROR(INDEX('Base Searches'!$E$6:$E$35,MATCH($F13,'Base Searches'!$B$6:$B$35,0)),"BASE NOT FOUND")))</x:f>
        <x:v>ds_base_l2</x:v>
      </x:c>
      <x:c r="Q13" s="48" t="str">
        <x:f>IF(OR($A13&lt;&gt;"Yes",$B13=""),"",IF($H13&lt;&gt;"","| search "&amp;$H13,"")&amp;IF($I13&lt;&gt;"",IF($H13&lt;&gt;"",CHAR(10),"")&amp;$I13,"")&amp;IF($J13&lt;&gt;"",IF(OR($H13&lt;&gt;"",$I13&lt;&gt;""),CHAR(10),"")&amp;$J13,""))</x:f>
        <x:v>| search "%UDLD-"
| rex field=_raw "%(?&lt;facility&gt;[A-Z0-9_]+)-(?&lt;severity&gt;\d+)-(?&lt;mnemonic&gt;[A-Z0-9_]+):\s+(?&lt;message&gt;.*)"
| table _time host facility severity mnemonic message | sort - _time</x:v>
      </x:c>
      <x:c r="R13" s="48" t="str">
        <x:f>IF(OR($A13&lt;&gt;"Yes",$B13=""),"",IF($K13&lt;&gt;"Yes","Count disabled",IF($H13&lt;&gt;"","| search "&amp;$H13,"")&amp;IF($I13&lt;&gt;"",IF($H13&lt;&gt;"",CHAR(10),"")&amp;$I13,"")&amp;IF(OR($H13&lt;&gt;"",$I13&lt;&gt;""),CHAR(10),"")&amp;"| stats count as count"&amp;IF($L13&lt;&gt;""," by "&amp;$L13,"")&amp;IF($M13&lt;&gt;"",CHAR(10)&amp;"| where count &gt;= "&amp;$M13,"")&amp;CHAR(10)&amp;"| sort - count"))</x:f>
        <x:v>| search "%UDLD-"
| rex field=_raw "%(?&lt;facility&gt;[A-Z0-9_]+)-(?&lt;severity&gt;\d+)-(?&lt;mnemonic&gt;[A-Z0-9_]+):\s+(?&lt;message&gt;.*)"
| stats count as count by host mnemonic
| where count &gt;= 1
| sort - count</x:v>
      </x:c>
    </x:row>
    <x:row r="14">
      <x:c r="A14" s="42" t="str">
        <x:v>Yes</x:v>
      </x:c>
      <x:c r="B14" s="42" t="str">
        <x:v>S_CHANNEL</x:v>
      </x:c>
      <x:c r="C14" s="42" t="str">
        <x:v>EtherChannel / LACP / PAgP</x:v>
      </x:c>
      <x:c r="D14" s="42" t="str">
        <x:v>Panel</x:v>
      </x:c>
      <x:c r="E14" s="42" t="str">
        <x:v>Layer 2</x:v>
      </x:c>
      <x:c r="F14" s="42" t="str">
        <x:v>B_L2</x:v>
      </x:c>
      <x:c r="G14" s="42" t="str"/>
      <x:c r="H14" s="42" t="str">
        <x:v>("%EC-" OR "%LACP-" OR "%PAGP-")</x:v>
      </x:c>
      <x:c r="I14" s="42" t="str">
        <x:v>| rex field=_raw "%(?&lt;facility&gt;[A-Z0-9_]+)-(?&lt;severity&gt;\d+)-(?&lt;mnemonic&gt;[A-Z0-9_]+):\s+(?&lt;message&gt;.*)"</x:v>
      </x:c>
      <x:c r="J14" s="42" t="str">
        <x:v>| table _time host facility severity mnemonic message | sort - _time</x:v>
      </x:c>
      <x:c r="K14" s="42" t="str">
        <x:v>Yes</x:v>
      </x:c>
      <x:c r="L14" s="42" t="str">
        <x:v>host mnemonic</x:v>
      </x:c>
      <x:c r="M14" s="42" t="str">
        <x:v>1</x:v>
      </x:c>
      <x:c r="N14" s="42" t="str">
        <x:v>Table</x:v>
      </x:c>
      <x:c r="O14" s="42" t="str">
        <x:v>ds_channel</x:v>
      </x:c>
      <x:c r="P14" s="48" t="str">
        <x:f>IF($A14&lt;&gt;"Yes","",IF($G14&lt;&gt;"",IFERROR(INDEX($O$6:$O$205,MATCH($G14,$B$6:$B$205,0)),"PARENT SEARCH NOT FOUND"),IFERROR(INDEX('Base Searches'!$E$6:$E$35,MATCH($F14,'Base Searches'!$B$6:$B$35,0)),"BASE NOT FOUND")))</x:f>
        <x:v>ds_base_l2</x:v>
      </x:c>
      <x:c r="Q14" s="48" t="str">
        <x:f>IF(OR($A14&lt;&gt;"Yes",$B14=""),"",IF($H14&lt;&gt;"","| search "&amp;$H14,"")&amp;IF($I14&lt;&gt;"",IF($H14&lt;&gt;"",CHAR(10),"")&amp;$I14,"")&amp;IF($J14&lt;&gt;"",IF(OR($H14&lt;&gt;"",$I14&lt;&gt;""),CHAR(10),"")&amp;$J14,""))</x:f>
        <x:v>| search ("%EC-" OR "%LACP-" OR "%PAGP-")
| rex field=_raw "%(?&lt;facility&gt;[A-Z0-9_]+)-(?&lt;severity&gt;\d+)-(?&lt;mnemonic&gt;[A-Z0-9_]+):\s+(?&lt;message&gt;.*)"
| table _time host facility severity mnemonic message | sort - _time</x:v>
      </x:c>
      <x:c r="R14" s="48" t="str">
        <x:f>IF(OR($A14&lt;&gt;"Yes",$B14=""),"",IF($K14&lt;&gt;"Yes","Count disabled",IF($H14&lt;&gt;"","| search "&amp;$H14,"")&amp;IF($I14&lt;&gt;"",IF($H14&lt;&gt;"",CHAR(10),"")&amp;$I14,"")&amp;IF(OR($H14&lt;&gt;"",$I14&lt;&gt;""),CHAR(10),"")&amp;"| stats count as count"&amp;IF($L14&lt;&gt;""," by "&amp;$L14,"")&amp;IF($M14&lt;&gt;"",CHAR(10)&amp;"| where count &gt;= "&amp;$M14,"")&amp;CHAR(10)&amp;"| sort - count"))</x:f>
        <x:v>| search ("%EC-" OR "%LACP-" OR "%PAGP-")
| rex field=_raw "%(?&lt;facility&gt;[A-Z0-9_]+)-(?&lt;severity&gt;\d+)-(?&lt;mnemonic&gt;[A-Z0-9_]+):\s+(?&lt;message&gt;.*)"
| stats count as count by host mnemonic
| where count &gt;= 1
| sort - count</x:v>
      </x:c>
    </x:row>
    <x:row r="15">
      <x:c r="A15" s="42" t="str">
        <x:v>Yes</x:v>
      </x:c>
      <x:c r="B15" s="42" t="str">
        <x:v>S_OSPF</x:v>
      </x:c>
      <x:c r="C15" s="42" t="str">
        <x:v>OSPF Adjacency Changes</x:v>
      </x:c>
      <x:c r="D15" s="42" t="str">
        <x:v>Panel</x:v>
      </x:c>
      <x:c r="E15" s="42" t="str">
        <x:v>Routing</x:v>
      </x:c>
      <x:c r="F15" s="42" t="str">
        <x:v>B_L3</x:v>
      </x:c>
      <x:c r="G15" s="42" t="str"/>
      <x:c r="H15" s="42" t="str">
        <x:v>"%OSPF-5-ADJCHG"</x:v>
      </x:c>
      <x:c r="I15" s="42" t="str">
        <x:v>| rex field=_raw "Nbr\s+(?&lt;neighbor&gt;\S+)\s+on\s+(?&lt;interface&gt;\S+)\s+from\s+(?&lt;from_state&gt;\S+)\s+to\s+(?&lt;to_state&gt;\S+)"</x:v>
      </x:c>
      <x:c r="J15" s="42" t="str">
        <x:v>| table _time host neighbor interface from_state to_state _raw | sort - _time</x:v>
      </x:c>
      <x:c r="K15" s="42" t="str">
        <x:v>Yes</x:v>
      </x:c>
      <x:c r="L15" s="42" t="str">
        <x:v>host neighbor interface</x:v>
      </x:c>
      <x:c r="M15" s="42" t="str">
        <x:v>1</x:v>
      </x:c>
      <x:c r="N15" s="42" t="str">
        <x:v>Table / Single Value</x:v>
      </x:c>
      <x:c r="O15" s="42" t="str">
        <x:v>ds_ospf</x:v>
      </x:c>
      <x:c r="P15" s="48" t="str">
        <x:f>IF($A15&lt;&gt;"Yes","",IF($G15&lt;&gt;"",IFERROR(INDEX($O$6:$O$205,MATCH($G15,$B$6:$B$205,0)),"PARENT SEARCH NOT FOUND"),IFERROR(INDEX('Base Searches'!$E$6:$E$35,MATCH($F15,'Base Searches'!$B$6:$B$35,0)),"BASE NOT FOUND")))</x:f>
        <x:v>ds_base_l3</x:v>
      </x:c>
      <x:c r="Q15" s="48" t="str">
        <x:f>IF(OR($A15&lt;&gt;"Yes",$B15=""),"",IF($H15&lt;&gt;"","| search "&amp;$H15,"")&amp;IF($I15&lt;&gt;"",IF($H15&lt;&gt;"",CHAR(10),"")&amp;$I15,"")&amp;IF($J15&lt;&gt;"",IF(OR($H15&lt;&gt;"",$I15&lt;&gt;""),CHAR(10),"")&amp;$J15,""))</x:f>
        <x:v>| search "%OSPF-5-ADJCHG"
| rex field=_raw "Nbr\s+(?&lt;neighbor&gt;\S+)\s+on\s+(?&lt;interface&gt;\S+)\s+from\s+(?&lt;from_state&gt;\S+)\s+to\s+(?&lt;to_state&gt;\S+)"
| table _time host neighbor interface from_state to_state _raw | sort - _time</x:v>
      </x:c>
      <x:c r="R15" s="48" t="str">
        <x:f>IF(OR($A15&lt;&gt;"Yes",$B15=""),"",IF($K15&lt;&gt;"Yes","Count disabled",IF($H15&lt;&gt;"","| search "&amp;$H15,"")&amp;IF($I15&lt;&gt;"",IF($H15&lt;&gt;"",CHAR(10),"")&amp;$I15,"")&amp;IF(OR($H15&lt;&gt;"",$I15&lt;&gt;""),CHAR(10),"")&amp;"| stats count as count"&amp;IF($L15&lt;&gt;""," by "&amp;$L15,"")&amp;IF($M15&lt;&gt;"",CHAR(10)&amp;"| where count &gt;= "&amp;$M15,"")&amp;CHAR(10)&amp;"| sort - count"))</x:f>
        <x:v>| search "%OSPF-5-ADJCHG"
| rex field=_raw "Nbr\s+(?&lt;neighbor&gt;\S+)\s+on\s+(?&lt;interface&gt;\S+)\s+from\s+(?&lt;from_state&gt;\S+)\s+to\s+(?&lt;to_state&gt;\S+)"
| stats count as count by host neighbor interface
| where count &gt;= 1
| sort - count</x:v>
      </x:c>
    </x:row>
    <x:row r="16">
      <x:c r="A16" s="42" t="str">
        <x:v>Yes</x:v>
      </x:c>
      <x:c r="B16" s="42" t="str">
        <x:v>S_BGP</x:v>
      </x:c>
      <x:c r="C16" s="42" t="str">
        <x:v>BGP Neighbor Events</x:v>
      </x:c>
      <x:c r="D16" s="42" t="str">
        <x:v>Panel</x:v>
      </x:c>
      <x:c r="E16" s="42" t="str">
        <x:v>Routing</x:v>
      </x:c>
      <x:c r="F16" s="42" t="str">
        <x:v>B_L3</x:v>
      </x:c>
      <x:c r="G16" s="42" t="str"/>
      <x:c r="H16" s="42" t="str">
        <x:v>"%BGP-"</x:v>
      </x:c>
      <x:c r="I16" s="42" t="str">
        <x:v>| rex field=_raw "%(?&lt;facility&gt;[A-Z0-9_]+)-(?&lt;severity&gt;\d+)-(?&lt;mnemonic&gt;[A-Z0-9_]+):\s+(?&lt;message&gt;.*)"</x:v>
      </x:c>
      <x:c r="J16" s="42" t="str">
        <x:v>| table _time host severity mnemonic message | sort - _time</x:v>
      </x:c>
      <x:c r="K16" s="42" t="str">
        <x:v>Yes</x:v>
      </x:c>
      <x:c r="L16" s="42" t="str">
        <x:v>host mnemonic</x:v>
      </x:c>
      <x:c r="M16" s="42" t="str">
        <x:v>1</x:v>
      </x:c>
      <x:c r="N16" s="42" t="str">
        <x:v>Table</x:v>
      </x:c>
      <x:c r="O16" s="42" t="str">
        <x:v>ds_bgp</x:v>
      </x:c>
      <x:c r="P16" s="48" t="str">
        <x:f>IF($A16&lt;&gt;"Yes","",IF($G16&lt;&gt;"",IFERROR(INDEX($O$6:$O$205,MATCH($G16,$B$6:$B$205,0)),"PARENT SEARCH NOT FOUND"),IFERROR(INDEX('Base Searches'!$E$6:$E$35,MATCH($F16,'Base Searches'!$B$6:$B$35,0)),"BASE NOT FOUND")))</x:f>
        <x:v>ds_base_l3</x:v>
      </x:c>
      <x:c r="Q16" s="48" t="str">
        <x:f>IF(OR($A16&lt;&gt;"Yes",$B16=""),"",IF($H16&lt;&gt;"","| search "&amp;$H16,"")&amp;IF($I16&lt;&gt;"",IF($H16&lt;&gt;"",CHAR(10),"")&amp;$I16,"")&amp;IF($J16&lt;&gt;"",IF(OR($H16&lt;&gt;"",$I16&lt;&gt;""),CHAR(10),"")&amp;$J16,""))</x:f>
        <x:v>| search "%BGP-"
| rex field=_raw "%(?&lt;facility&gt;[A-Z0-9_]+)-(?&lt;severity&gt;\d+)-(?&lt;mnemonic&gt;[A-Z0-9_]+):\s+(?&lt;message&gt;.*)"
| table _time host severity mnemonic message | sort - _time</x:v>
      </x:c>
      <x:c r="R16" s="48" t="str">
        <x:f>IF(OR($A16&lt;&gt;"Yes",$B16=""),"",IF($K16&lt;&gt;"Yes","Count disabled",IF($H16&lt;&gt;"","| search "&amp;$H16,"")&amp;IF($I16&lt;&gt;"",IF($H16&lt;&gt;"",CHAR(10),"")&amp;$I16,"")&amp;IF(OR($H16&lt;&gt;"",$I16&lt;&gt;""),CHAR(10),"")&amp;"| stats count as count"&amp;IF($L16&lt;&gt;""," by "&amp;$L16,"")&amp;IF($M16&lt;&gt;"",CHAR(10)&amp;"| where count &gt;= "&amp;$M16,"")&amp;CHAR(10)&amp;"| sort - count"))</x:f>
        <x:v>| search "%BGP-"
| rex field=_raw "%(?&lt;facility&gt;[A-Z0-9_]+)-(?&lt;severity&gt;\d+)-(?&lt;mnemonic&gt;[A-Z0-9_]+):\s+(?&lt;message&gt;.*)"
| stats count as count by host mnemonic
| where count &gt;= 1
| sort - count</x:v>
      </x:c>
    </x:row>
    <x:row r="17">
      <x:c r="A17" s="42" t="str">
        <x:v>Yes</x:v>
      </x:c>
      <x:c r="B17" s="42" t="str">
        <x:v>S_DUPIP</x:v>
      </x:c>
      <x:c r="C17" s="42" t="str">
        <x:v>Duplicate IP Address</x:v>
      </x:c>
      <x:c r="D17" s="42" t="str">
        <x:v>Panel</x:v>
      </x:c>
      <x:c r="E17" s="42" t="str">
        <x:v>Routing</x:v>
      </x:c>
      <x:c r="F17" s="42" t="str">
        <x:v>B_L3</x:v>
      </x:c>
      <x:c r="G17" s="42" t="str"/>
      <x:c r="H17" s="42" t="str">
        <x:v>("Duplicate address" OR "%IP-4-DUPADDR")</x:v>
      </x:c>
      <x:c r="I17" s="42" t="str">
        <x:v>| rex field=_raw "Duplicate address (?&lt;duplicate_ip&gt;\d{1,3}\.\d{1,3}\.\d{1,3}\.\d{1,3}) on (?&lt;interface&gt;[^,]+), sourced by (?&lt;conflicting_mac&gt;[a-fA-F0-9.:-]+)"</x:v>
      </x:c>
      <x:c r="J17" s="42" t="str">
        <x:v>| stats count values(conflicting_mac) as conflicting_macs latest(_time) as last_seen by host interface duplicate_ip | eval last_seen=strftime(last_seen,"%Y-%m-%d %H:%M:%S") | sort - count</x:v>
      </x:c>
      <x:c r="K17" s="42" t="str">
        <x:v>Yes</x:v>
      </x:c>
      <x:c r="L17" s="42" t="str">
        <x:v>host interface duplicate_ip</x:v>
      </x:c>
      <x:c r="M17" s="42" t="str">
        <x:v>1</x:v>
      </x:c>
      <x:c r="N17" s="42" t="str">
        <x:v>Table / Single Value</x:v>
      </x:c>
      <x:c r="O17" s="42" t="str">
        <x:v>ds_dupip</x:v>
      </x:c>
      <x:c r="P17" s="48" t="str">
        <x:f>IF($A17&lt;&gt;"Yes","",IF($G17&lt;&gt;"",IFERROR(INDEX($O$6:$O$205,MATCH($G17,$B$6:$B$205,0)),"PARENT SEARCH NOT FOUND"),IFERROR(INDEX('Base Searches'!$E$6:$E$35,MATCH($F17,'Base Searches'!$B$6:$B$35,0)),"BASE NOT FOUND")))</x:f>
        <x:v>ds_base_l3</x:v>
      </x:c>
      <x:c r="Q17" s="48" t="str">
        <x:f>IF(OR($A17&lt;&gt;"Yes",$B17=""),"",IF($H17&lt;&gt;"","| search "&amp;$H17,"")&amp;IF($I17&lt;&gt;"",IF($H17&lt;&gt;"",CHAR(10),"")&amp;$I17,"")&amp;IF($J17&lt;&gt;"",IF(OR($H17&lt;&gt;"",$I17&lt;&gt;""),CHAR(10),"")&amp;$J17,""))</x:f>
        <x:v>| search ("Duplicate address" OR "%IP-4-DUPADDR")
| rex field=_raw "Duplicate address (?&lt;duplicate_ip&gt;\d{1,3}\.\d{1,3}\.\d{1,3}\.\d{1,3}) on (?&lt;interface&gt;[^,]+), sourced by (?&lt;conflicting_mac&gt;[a-fA-F0-9.:-]+)"
| stats count values(conflicting_mac) as conflicting_macs latest(_time) as last_seen by host interface duplicate_ip | eval last_seen=strftime(last_seen,"%Y-%m-%d %H:%M:%S") | sort - count</x:v>
      </x:c>
      <x:c r="R17" s="48" t="str">
        <x:f>IF(OR($A17&lt;&gt;"Yes",$B17=""),"",IF($K17&lt;&gt;"Yes","Count disabled",IF($H17&lt;&gt;"","| search "&amp;$H17,"")&amp;IF($I17&lt;&gt;"",IF($H17&lt;&gt;"",CHAR(10),"")&amp;$I17,"")&amp;IF(OR($H17&lt;&gt;"",$I17&lt;&gt;""),CHAR(10),"")&amp;"| stats count as count"&amp;IF($L17&lt;&gt;""," by "&amp;$L17,"")&amp;IF($M17&lt;&gt;"",CHAR(10)&amp;"| where count &gt;= "&amp;$M17,"")&amp;CHAR(10)&amp;"| sort - count"))</x:f>
        <x:v>| search ("Duplicate address" OR "%IP-4-DUPADDR")
| rex field=_raw "Duplicate address (?&lt;duplicate_ip&gt;\d{1,3}\.\d{1,3}\.\d{1,3}\.\d{1,3}) on (?&lt;interface&gt;[^,]+), sourced by (?&lt;conflicting_mac&gt;[a-fA-F0-9.:-]+)"
| stats count as count by host interface duplicate_ip
| where count &gt;= 1
| sort - count</x:v>
      </x:c>
    </x:row>
    <x:row r="18">
      <x:c r="A18" s="42" t="str">
        <x:v>Yes</x:v>
      </x:c>
      <x:c r="B18" s="42" t="str">
        <x:v>S_SFP</x:v>
      </x:c>
      <x:c r="C18" s="42" t="str">
        <x:v>Fiber / SFP Threshold Alarms</x:v>
      </x:c>
      <x:c r="D18" s="42" t="str">
        <x:v>Panel</x:v>
      </x:c>
      <x:c r="E18" s="42" t="str">
        <x:v>Physical</x:v>
      </x:c>
      <x:c r="F18" s="42" t="str">
        <x:v>B_PHYSICAL</x:v>
      </x:c>
      <x:c r="G18" s="42" t="str"/>
      <x:c r="H18" s="42" t="str">
        <x:v>("%SFF8472-" OR "THRESHOLD_VIOLATION")</x:v>
      </x:c>
      <x:c r="I18" s="42" t="str">
        <x:v>| rex field=_raw "%(?&lt;facility&gt;[A-Z0-9_]+)-(?&lt;severity&gt;\d+)-(?&lt;mnemonic&gt;[A-Z0-9_]+):\s+(?&lt;message&gt;.*)"</x:v>
      </x:c>
      <x:c r="J18" s="42" t="str">
        <x:v>| table _time host facility severity mnemonic message | sort - _time</x:v>
      </x:c>
      <x:c r="K18" s="42" t="str">
        <x:v>Yes</x:v>
      </x:c>
      <x:c r="L18" s="42" t="str">
        <x:v>host severity mnemonic</x:v>
      </x:c>
      <x:c r="M18" s="42" t="str">
        <x:v>1</x:v>
      </x:c>
      <x:c r="N18" s="42" t="str">
        <x:v>Table / Single Value</x:v>
      </x:c>
      <x:c r="O18" s="42" t="str">
        <x:v>ds_sfp</x:v>
      </x:c>
      <x:c r="P18" s="48" t="str">
        <x:f>IF($A18&lt;&gt;"Yes","",IF($G18&lt;&gt;"",IFERROR(INDEX($O$6:$O$205,MATCH($G18,$B$6:$B$205,0)),"PARENT SEARCH NOT FOUND"),IFERROR(INDEX('Base Searches'!$E$6:$E$35,MATCH($F18,'Base Searches'!$B$6:$B$35,0)),"BASE NOT FOUND")))</x:f>
        <x:v>ds_base_physical</x:v>
      </x:c>
      <x:c r="Q18" s="48" t="str">
        <x:f>IF(OR($A18&lt;&gt;"Yes",$B18=""),"",IF($H18&lt;&gt;"","| search "&amp;$H18,"")&amp;IF($I18&lt;&gt;"",IF($H18&lt;&gt;"",CHAR(10),"")&amp;$I18,"")&amp;IF($J18&lt;&gt;"",IF(OR($H18&lt;&gt;"",$I18&lt;&gt;""),CHAR(10),"")&amp;$J18,""))</x:f>
        <x:v>| search ("%SFF8472-" OR "THRESHOLD_VIOLATION")
| rex field=_raw "%(?&lt;facility&gt;[A-Z0-9_]+)-(?&lt;severity&gt;\d+)-(?&lt;mnemonic&gt;[A-Z0-9_]+):\s+(?&lt;message&gt;.*)"
| table _time host facility severity mnemonic message | sort - _time</x:v>
      </x:c>
      <x:c r="R18" s="48" t="str">
        <x:f>IF(OR($A18&lt;&gt;"Yes",$B18=""),"",IF($K18&lt;&gt;"Yes","Count disabled",IF($H18&lt;&gt;"","| search "&amp;$H18,"")&amp;IF($I18&lt;&gt;"",IF($H18&lt;&gt;"",CHAR(10),"")&amp;$I18,"")&amp;IF(OR($H18&lt;&gt;"",$I18&lt;&gt;""),CHAR(10),"")&amp;"| stats count as count"&amp;IF($L18&lt;&gt;""," by "&amp;$L18,"")&amp;IF($M18&lt;&gt;"",CHAR(10)&amp;"| where count &gt;= "&amp;$M18,"")&amp;CHAR(10)&amp;"| sort - count"))</x:f>
        <x:v>| search ("%SFF8472-" OR "THRESHOLD_VIOLATION")
| rex field=_raw "%(?&lt;facility&gt;[A-Z0-9_]+)-(?&lt;severity&gt;\d+)-(?&lt;mnemonic&gt;[A-Z0-9_]+):\s+(?&lt;message&gt;.*)"
| stats count as count by host severity mnemonic
| where count &gt;= 1
| sort - count</x:v>
      </x:c>
    </x:row>
    <x:row r="19">
      <x:c r="A19" s="42" t="str">
        <x:v>Yes</x:v>
      </x:c>
      <x:c r="B19" s="42" t="str">
        <x:v>S_ENV</x:v>
      </x:c>
      <x:c r="C19" s="42" t="str">
        <x:v>Power / Fan / Environment</x:v>
      </x:c>
      <x:c r="D19" s="42" t="str">
        <x:v>Panel</x:v>
      </x:c>
      <x:c r="E19" s="42" t="str">
        <x:v>Physical</x:v>
      </x:c>
      <x:c r="F19" s="42" t="str">
        <x:v>B_PHYSICAL</x:v>
      </x:c>
      <x:c r="G19" s="42" t="str"/>
      <x:c r="H19" s="42" t="str">
        <x:v>("%PLATFORM_ENV-" OR "%ENVIRONMENT-" OR "%FAN-" OR "%POWER-")</x:v>
      </x:c>
      <x:c r="I19" s="42" t="str">
        <x:v>| rex field=_raw "%(?&lt;facility&gt;[A-Z0-9_]+)-(?&lt;severity&gt;\d+)-(?&lt;mnemonic&gt;[A-Z0-9_]+):\s+(?&lt;message&gt;.*)"</x:v>
      </x:c>
      <x:c r="J19" s="42" t="str">
        <x:v>| table _time host facility severity mnemonic message | sort - _time</x:v>
      </x:c>
      <x:c r="K19" s="42" t="str">
        <x:v>Yes</x:v>
      </x:c>
      <x:c r="L19" s="42" t="str">
        <x:v>host mnemonic</x:v>
      </x:c>
      <x:c r="M19" s="42" t="str">
        <x:v>1</x:v>
      </x:c>
      <x:c r="N19" s="42" t="str">
        <x:v>Table</x:v>
      </x:c>
      <x:c r="O19" s="42" t="str">
        <x:v>ds_environment</x:v>
      </x:c>
      <x:c r="P19" s="48" t="str">
        <x:f>IF($A19&lt;&gt;"Yes","",IF($G19&lt;&gt;"",IFERROR(INDEX($O$6:$O$205,MATCH($G19,$B$6:$B$205,0)),"PARENT SEARCH NOT FOUND"),IFERROR(INDEX('Base Searches'!$E$6:$E$35,MATCH($F19,'Base Searches'!$B$6:$B$35,0)),"BASE NOT FOUND")))</x:f>
        <x:v>ds_base_physical</x:v>
      </x:c>
      <x:c r="Q19" s="48" t="str">
        <x:f>IF(OR($A19&lt;&gt;"Yes",$B19=""),"",IF($H19&lt;&gt;"","| search "&amp;$H19,"")&amp;IF($I19&lt;&gt;"",IF($H19&lt;&gt;"",CHAR(10),"")&amp;$I19,"")&amp;IF($J19&lt;&gt;"",IF(OR($H19&lt;&gt;"",$I19&lt;&gt;""),CHAR(10),"")&amp;$J19,""))</x:f>
        <x:v>| search ("%PLATFORM_ENV-" OR "%ENVIRONMENT-" OR "%FAN-" OR "%POWER-")
| rex field=_raw "%(?&lt;facility&gt;[A-Z0-9_]+)-(?&lt;severity&gt;\d+)-(?&lt;mnemonic&gt;[A-Z0-9_]+):\s+(?&lt;message&gt;.*)"
| table _time host facility severity mnemonic message | sort - _time</x:v>
      </x:c>
      <x:c r="R19" s="48" t="str">
        <x:f>IF(OR($A19&lt;&gt;"Yes",$B19=""),"",IF($K19&lt;&gt;"Yes","Count disabled",IF($H19&lt;&gt;"","| search "&amp;$H19,"")&amp;IF($I19&lt;&gt;"",IF($H19&lt;&gt;"",CHAR(10),"")&amp;$I19,"")&amp;IF(OR($H19&lt;&gt;"",$I19&lt;&gt;""),CHAR(10),"")&amp;"| stats count as count"&amp;IF($L19&lt;&gt;""," by "&amp;$L19,"")&amp;IF($M19&lt;&gt;"",CHAR(10)&amp;"| where count &gt;= "&amp;$M19,"")&amp;CHAR(10)&amp;"| sort - count"))</x:f>
        <x:v>| search ("%PLATFORM_ENV-" OR "%ENVIRONMENT-" OR "%FAN-" OR "%POWER-")
| rex field=_raw "%(?&lt;facility&gt;[A-Z0-9_]+)-(?&lt;severity&gt;\d+)-(?&lt;mnemonic&gt;[A-Z0-9_]+):\s+(?&lt;message&gt;.*)"
| stats count as count by host mnemonic
| where count &gt;= 1
| sort - count</x:v>
      </x:c>
    </x:row>
    <x:row r="20">
      <x:c r="A20" s="42" t="str">
        <x:v>Yes</x:v>
      </x:c>
      <x:c r="B20" s="42" t="str">
        <x:v>S_STACK</x:v>
      </x:c>
      <x:c r="C20" s="42" t="str">
        <x:v>Stack / StackWise Events</x:v>
      </x:c>
      <x:c r="D20" s="42" t="str">
        <x:v>Panel</x:v>
      </x:c>
      <x:c r="E20" s="42" t="str">
        <x:v>Physical</x:v>
      </x:c>
      <x:c r="F20" s="42" t="str">
        <x:v>B_PHYSICAL</x:v>
      </x:c>
      <x:c r="G20" s="42" t="str"/>
      <x:c r="H20" s="42" t="str">
        <x:v>("%STACKMGR-" OR "%STACKWISE-")</x:v>
      </x:c>
      <x:c r="I20" s="42" t="str">
        <x:v>| rex field=_raw "%(?&lt;facility&gt;[A-Z0-9_]+)-(?&lt;severity&gt;\d+)-(?&lt;mnemonic&gt;[A-Z0-9_]+):\s+(?&lt;message&gt;.*)"</x:v>
      </x:c>
      <x:c r="J20" s="42" t="str">
        <x:v>| table _time host facility severity mnemonic message | sort - _time</x:v>
      </x:c>
      <x:c r="K20" s="42" t="str">
        <x:v>Yes</x:v>
      </x:c>
      <x:c r="L20" s="42" t="str">
        <x:v>host mnemonic</x:v>
      </x:c>
      <x:c r="M20" s="42" t="str">
        <x:v>1</x:v>
      </x:c>
      <x:c r="N20" s="42" t="str">
        <x:v>Table</x:v>
      </x:c>
      <x:c r="O20" s="42" t="str">
        <x:v>ds_stack</x:v>
      </x:c>
      <x:c r="P20" s="48" t="str">
        <x:f>IF($A20&lt;&gt;"Yes","",IF($G20&lt;&gt;"",IFERROR(INDEX($O$6:$O$205,MATCH($G20,$B$6:$B$205,0)),"PARENT SEARCH NOT FOUND"),IFERROR(INDEX('Base Searches'!$E$6:$E$35,MATCH($F20,'Base Searches'!$B$6:$B$35,0)),"BASE NOT FOUND")))</x:f>
        <x:v>ds_base_physical</x:v>
      </x:c>
      <x:c r="Q20" s="48" t="str">
        <x:f>IF(OR($A20&lt;&gt;"Yes",$B20=""),"",IF($H20&lt;&gt;"","| search "&amp;$H20,"")&amp;IF($I20&lt;&gt;"",IF($H20&lt;&gt;"",CHAR(10),"")&amp;$I20,"")&amp;IF($J20&lt;&gt;"",IF(OR($H20&lt;&gt;"",$I20&lt;&gt;""),CHAR(10),"")&amp;$J20,""))</x:f>
        <x:v>| search ("%STACKMGR-" OR "%STACKWISE-")
| rex field=_raw "%(?&lt;facility&gt;[A-Z0-9_]+)-(?&lt;severity&gt;\d+)-(?&lt;mnemonic&gt;[A-Z0-9_]+):\s+(?&lt;message&gt;.*)"
| table _time host facility severity mnemonic message | sort - _time</x:v>
      </x:c>
      <x:c r="R20" s="48" t="str">
        <x:f>IF(OR($A20&lt;&gt;"Yes",$B20=""),"",IF($K20&lt;&gt;"Yes","Count disabled",IF($H20&lt;&gt;"","| search "&amp;$H20,"")&amp;IF($I20&lt;&gt;"",IF($H20&lt;&gt;"",CHAR(10),"")&amp;$I20,"")&amp;IF(OR($H20&lt;&gt;"",$I20&lt;&gt;""),CHAR(10),"")&amp;"| stats count as count"&amp;IF($L20&lt;&gt;""," by "&amp;$L20,"")&amp;IF($M20&lt;&gt;"",CHAR(10)&amp;"| where count &gt;= "&amp;$M20,"")&amp;CHAR(10)&amp;"| sort - count"))</x:f>
        <x:v>| search ("%STACKMGR-" OR "%STACKWISE-")
| rex field=_raw "%(?&lt;facility&gt;[A-Z0-9_]+)-(?&lt;severity&gt;\d+)-(?&lt;mnemonic&gt;[A-Z0-9_]+):\s+(?&lt;message&gt;.*)"
| stats count as count by host mnemonic
| where count &gt;= 1
| sort - count</x:v>
      </x:c>
    </x:row>
    <x:row r="21">
      <x:c r="A21" s="42" t="str">
        <x:v>Yes</x:v>
      </x:c>
      <x:c r="B21" s="42" t="str">
        <x:v>S_AUTHFAIL</x:v>
      </x:c>
      <x:c r="C21" s="42" t="str">
        <x:v>802.1X / MAB Failures</x:v>
      </x:c>
      <x:c r="D21" s="42" t="str">
        <x:v>Panel</x:v>
      </x:c>
      <x:c r="E21" s="42" t="str">
        <x:v>Access</x:v>
      </x:c>
      <x:c r="F21" s="42" t="str">
        <x:v>B_ACCESS</x:v>
      </x:c>
      <x:c r="G21" s="42" t="str"/>
      <x:c r="H21" s="42" t="str">
        <x:v>("%DOT1X-5-FAIL" OR "%MAB-5-FAIL" OR "%SESSION_MGR-5-FAIL" OR "%AUTHMGR-")</x:v>
      </x:c>
      <x:c r="I21" s="42" t="str">
        <x:v>| rex field=_raw "%(?&lt;facility&gt;[A-Z0-9_]+)-(?&lt;severity&gt;\d+)-(?&lt;mnemonic&gt;[A-Z0-9_]+):\s+(?&lt;message&gt;.*)"</x:v>
      </x:c>
      <x:c r="J21" s="42" t="str">
        <x:v>| table _time host facility severity mnemonic message | sort - _time</x:v>
      </x:c>
      <x:c r="K21" s="42" t="str">
        <x:v>Yes</x:v>
      </x:c>
      <x:c r="L21" s="42" t="str">
        <x:v>host mnemonic</x:v>
      </x:c>
      <x:c r="M21" s="42" t="str">
        <x:v>1</x:v>
      </x:c>
      <x:c r="N21" s="42" t="str">
        <x:v>Table / Single Value</x:v>
      </x:c>
      <x:c r="O21" s="42" t="str">
        <x:v>ds_authfail</x:v>
      </x:c>
      <x:c r="P21" s="48" t="str">
        <x:f>IF($A21&lt;&gt;"Yes","",IF($G21&lt;&gt;"",IFERROR(INDEX($O$6:$O$205,MATCH($G21,$B$6:$B$205,0)),"PARENT SEARCH NOT FOUND"),IFERROR(INDEX('Base Searches'!$E$6:$E$35,MATCH($F21,'Base Searches'!$B$6:$B$35,0)),"BASE NOT FOUND")))</x:f>
        <x:v>ds_base_access</x:v>
      </x:c>
      <x:c r="Q21" s="48" t="str">
        <x:f>IF(OR($A21&lt;&gt;"Yes",$B21=""),"",IF($H21&lt;&gt;"","| search "&amp;$H21,"")&amp;IF($I21&lt;&gt;"",IF($H21&lt;&gt;"",CHAR(10),"")&amp;$I21,"")&amp;IF($J21&lt;&gt;"",IF(OR($H21&lt;&gt;"",$I21&lt;&gt;""),CHAR(10),"")&amp;$J21,""))</x:f>
        <x:v>| search ("%DOT1X-5-FAIL" OR "%MAB-5-FAIL" OR "%SESSION_MGR-5-FAIL" OR "%AUTHMGR-")
| rex field=_raw "%(?&lt;facility&gt;[A-Z0-9_]+)-(?&lt;severity&gt;\d+)-(?&lt;mnemonic&gt;[A-Z0-9_]+):\s+(?&lt;message&gt;.*)"
| table _time host facility severity mnemonic message | sort - _time</x:v>
      </x:c>
      <x:c r="R21" s="48" t="str">
        <x:f>IF(OR($A21&lt;&gt;"Yes",$B21=""),"",IF($K21&lt;&gt;"Yes","Count disabled",IF($H21&lt;&gt;"","| search "&amp;$H21,"")&amp;IF($I21&lt;&gt;"",IF($H21&lt;&gt;"",CHAR(10),"")&amp;$I21,"")&amp;IF(OR($H21&lt;&gt;"",$I21&lt;&gt;""),CHAR(10),"")&amp;"| stats count as count"&amp;IF($L21&lt;&gt;""," by "&amp;$L21,"")&amp;IF($M21&lt;&gt;"",CHAR(10)&amp;"| where count &gt;= "&amp;$M21,"")&amp;CHAR(10)&amp;"| sort - count"))</x:f>
        <x:v>| search ("%DOT1X-5-FAIL" OR "%MAB-5-FAIL" OR "%SESSION_MGR-5-FAIL" OR "%AUTHMGR-")
| rex field=_raw "%(?&lt;facility&gt;[A-Z0-9_]+)-(?&lt;severity&gt;\d+)-(?&lt;mnemonic&gt;[A-Z0-9_]+):\s+(?&lt;message&gt;.*)"
| stats count as count by host mnemonic
| where count &gt;= 1
| sort - count</x:v>
      </x:c>
    </x:row>
    <x:row r="22">
      <x:c r="A22" s="42" t="str">
        <x:v>Yes</x:v>
      </x:c>
      <x:c r="B22" s="42" t="str">
        <x:v>S_POE</x:v>
      </x:c>
      <x:c r="C22" s="42" t="str">
        <x:v>PoE / Inline Power</x:v>
      </x:c>
      <x:c r="D22" s="42" t="str">
        <x:v>Panel</x:v>
      </x:c>
      <x:c r="E22" s="42" t="str">
        <x:v>Access</x:v>
      </x:c>
      <x:c r="F22" s="42" t="str">
        <x:v>B_ACCESS</x:v>
      </x:c>
      <x:c r="G22" s="42" t="str"/>
      <x:c r="H22" s="42" t="str">
        <x:v>"%ILPOWER-"</x:v>
      </x:c>
      <x:c r="I22" s="42" t="str">
        <x:v>| rex field=_raw "%(?&lt;facility&gt;[A-Z0-9_]+)-(?&lt;severity&gt;\d+)-(?&lt;mnemonic&gt;[A-Z0-9_]+):\s+(?&lt;message&gt;.*)"</x:v>
      </x:c>
      <x:c r="J22" s="42" t="str">
        <x:v>| table _time host facility severity mnemonic message | sort - _time</x:v>
      </x:c>
      <x:c r="K22" s="42" t="str">
        <x:v>Yes</x:v>
      </x:c>
      <x:c r="L22" s="42" t="str">
        <x:v>host mnemonic</x:v>
      </x:c>
      <x:c r="M22" s="42" t="str">
        <x:v>1</x:v>
      </x:c>
      <x:c r="N22" s="42" t="str">
        <x:v>Table</x:v>
      </x:c>
      <x:c r="O22" s="42" t="str">
        <x:v>ds_poe</x:v>
      </x:c>
      <x:c r="P22" s="48" t="str">
        <x:f>IF($A22&lt;&gt;"Yes","",IF($G22&lt;&gt;"",IFERROR(INDEX($O$6:$O$205,MATCH($G22,$B$6:$B$205,0)),"PARENT SEARCH NOT FOUND"),IFERROR(INDEX('Base Searches'!$E$6:$E$35,MATCH($F22,'Base Searches'!$B$6:$B$35,0)),"BASE NOT FOUND")))</x:f>
        <x:v>ds_base_access</x:v>
      </x:c>
      <x:c r="Q22" s="48" t="str">
        <x:f>IF(OR($A22&lt;&gt;"Yes",$B22=""),"",IF($H22&lt;&gt;"","| search "&amp;$H22,"")&amp;IF($I22&lt;&gt;"",IF($H22&lt;&gt;"",CHAR(10),"")&amp;$I22,"")&amp;IF($J22&lt;&gt;"",IF(OR($H22&lt;&gt;"",$I22&lt;&gt;""),CHAR(10),"")&amp;$J22,""))</x:f>
        <x:v>| search "%ILPOWER-"
| rex field=_raw "%(?&lt;facility&gt;[A-Z0-9_]+)-(?&lt;severity&gt;\d+)-(?&lt;mnemonic&gt;[A-Z0-9_]+):\s+(?&lt;message&gt;.*)"
| table _time host facility severity mnemonic message | sort - _time</x:v>
      </x:c>
      <x:c r="R22" s="48" t="str">
        <x:f>IF(OR($A22&lt;&gt;"Yes",$B22=""),"",IF($K22&lt;&gt;"Yes","Count disabled",IF($H22&lt;&gt;"","| search "&amp;$H22,"")&amp;IF($I22&lt;&gt;"",IF($H22&lt;&gt;"",CHAR(10),"")&amp;$I22,"")&amp;IF(OR($H22&lt;&gt;"",$I22&lt;&gt;""),CHAR(10),"")&amp;"| stats count as count"&amp;IF($L22&lt;&gt;""," by "&amp;$L22,"")&amp;IF($M22&lt;&gt;"",CHAR(10)&amp;"| where count &gt;= "&amp;$M22,"")&amp;CHAR(10)&amp;"| sort - count"))</x:f>
        <x:v>| search "%ILPOWER-"
| rex field=_raw "%(?&lt;facility&gt;[A-Z0-9_]+)-(?&lt;severity&gt;\d+)-(?&lt;mnemonic&gt;[A-Z0-9_]+):\s+(?&lt;message&gt;.*)"
| stats count as count by host mnemonic
| where count &gt;= 1
| sort - count</x:v>
      </x:c>
    </x:row>
    <x:row r="23">
      <x:c r="A23" s="42" t="str">
        <x:v>Yes</x:v>
      </x:c>
      <x:c r="B23" s="42" t="str">
        <x:v>S_CONFIG</x:v>
      </x:c>
      <x:c r="C23" s="42" t="str">
        <x:v>Configuration Changes</x:v>
      </x:c>
      <x:c r="D23" s="42" t="str">
        <x:v>Panel</x:v>
      </x:c>
      <x:c r="E23" s="42" t="str">
        <x:v>Operations</x:v>
      </x:c>
      <x:c r="F23" s="42" t="str">
        <x:v>B_OPERATIONS</x:v>
      </x:c>
      <x:c r="G23" s="42" t="str"/>
      <x:c r="H23" s="42" t="str">
        <x:v>"%SYS-5-CONFIG_I"</x:v>
      </x:c>
      <x:c r="I23" s="42" t="str"/>
      <x:c r="J23" s="42" t="str">
        <x:v>| stats count latest(_time) as last_seen values(_raw) as change_messages by host | eval last_seen=strftime(last_seen,"%Y-%m-%d %H:%M:%S") | sort - last_seen</x:v>
      </x:c>
      <x:c r="K23" s="42" t="str">
        <x:v>Yes</x:v>
      </x:c>
      <x:c r="L23" s="42" t="str">
        <x:v>host</x:v>
      </x:c>
      <x:c r="M23" s="42" t="str">
        <x:v>1</x:v>
      </x:c>
      <x:c r="N23" s="42" t="str">
        <x:v>Table / Single Value</x:v>
      </x:c>
      <x:c r="O23" s="42" t="str">
        <x:v>ds_config</x:v>
      </x:c>
      <x:c r="P23" s="48" t="str">
        <x:f>IF($A23&lt;&gt;"Yes","",IF($G23&lt;&gt;"",IFERROR(INDEX($O$6:$O$205,MATCH($G23,$B$6:$B$205,0)),"PARENT SEARCH NOT FOUND"),IFERROR(INDEX('Base Searches'!$E$6:$E$35,MATCH($F23,'Base Searches'!$B$6:$B$35,0)),"BASE NOT FOUND")))</x:f>
        <x:v>ds_base_operations</x:v>
      </x:c>
      <x:c r="Q23" s="48" t="str">
        <x:f>IF(OR($A23&lt;&gt;"Yes",$B23=""),"",IF($H23&lt;&gt;"","| search "&amp;$H23,"")&amp;IF($I23&lt;&gt;"",IF($H23&lt;&gt;"",CHAR(10),"")&amp;$I23,"")&amp;IF($J23&lt;&gt;"",IF(OR($H23&lt;&gt;"",$I23&lt;&gt;""),CHAR(10),"")&amp;$J23,""))</x:f>
        <x:v>| search "%SYS-5-CONFIG_I"
| stats count latest(_time) as last_seen values(_raw) as change_messages by host | eval last_seen=strftime(last_seen,"%Y-%m-%d %H:%M:%S") | sort - last_seen</x:v>
      </x:c>
      <x:c r="R23" s="48" t="str">
        <x:f>IF(OR($A23&lt;&gt;"Yes",$B23=""),"",IF($K23&lt;&gt;"Yes","Count disabled",IF($H23&lt;&gt;"","| search "&amp;$H23,"")&amp;IF($I23&lt;&gt;"",IF($H23&lt;&gt;"",CHAR(10),"")&amp;$I23,"")&amp;IF(OR($H23&lt;&gt;"",$I23&lt;&gt;""),CHAR(10),"")&amp;"| stats count as count"&amp;IF($L23&lt;&gt;""," by "&amp;$L23,"")&amp;IF($M23&lt;&gt;"",CHAR(10)&amp;"| where count &gt;= "&amp;$M23,"")&amp;CHAR(10)&amp;"| sort - count"))</x:f>
        <x:v>| search "%SYS-5-CONFIG_I"
| stats count as count by host
| where count &gt;= 1
| sort - count</x:v>
      </x:c>
    </x:row>
    <x:row r="24">
      <x:c r="A24" s="42" t="str">
        <x:v>Yes</x:v>
      </x:c>
      <x:c r="B24" s="42" t="str">
        <x:v>S_RELOAD</x:v>
      </x:c>
      <x:c r="C24" s="42" t="str">
        <x:v>Device Reload / Restart</x:v>
      </x:c>
      <x:c r="D24" s="42" t="str">
        <x:v>Panel</x:v>
      </x:c>
      <x:c r="E24" s="42" t="str">
        <x:v>Operations</x:v>
      </x:c>
      <x:c r="F24" s="42" t="str">
        <x:v>B_OPERATIONS</x:v>
      </x:c>
      <x:c r="G24" s="42" t="str"/>
      <x:c r="H24" s="42" t="str">
        <x:v>("%SYS-5-RELOAD" OR "%SYS-5-RESTART")</x:v>
      </x:c>
      <x:c r="I24" s="42" t="str"/>
      <x:c r="J24" s="42" t="str">
        <x:v>| stats count latest(_time) as last_seen values(_raw) as sample by host | eval last_seen=strftime(last_seen,"%Y-%m-%d %H:%M:%S") | sort - last_seen</x:v>
      </x:c>
      <x:c r="K24" s="42" t="str">
        <x:v>Yes</x:v>
      </x:c>
      <x:c r="L24" s="42" t="str">
        <x:v>host</x:v>
      </x:c>
      <x:c r="M24" s="42" t="str">
        <x:v>1</x:v>
      </x:c>
      <x:c r="N24" s="42" t="str">
        <x:v>Table / Single Value</x:v>
      </x:c>
      <x:c r="O24" s="42" t="str">
        <x:v>ds_reload</x:v>
      </x:c>
      <x:c r="P24" s="48" t="str">
        <x:f>IF($A24&lt;&gt;"Yes","",IF($G24&lt;&gt;"",IFERROR(INDEX($O$6:$O$205,MATCH($G24,$B$6:$B$205,0)),"PARENT SEARCH NOT FOUND"),IFERROR(INDEX('Base Searches'!$E$6:$E$35,MATCH($F24,'Base Searches'!$B$6:$B$35,0)),"BASE NOT FOUND")))</x:f>
        <x:v>ds_base_operations</x:v>
      </x:c>
      <x:c r="Q24" s="48" t="str">
        <x:f>IF(OR($A24&lt;&gt;"Yes",$B24=""),"",IF($H24&lt;&gt;"","| search "&amp;$H24,"")&amp;IF($I24&lt;&gt;"",IF($H24&lt;&gt;"",CHAR(10),"")&amp;$I24,"")&amp;IF($J24&lt;&gt;"",IF(OR($H24&lt;&gt;"",$I24&lt;&gt;""),CHAR(10),"")&amp;$J24,""))</x:f>
        <x:v>| search ("%SYS-5-RELOAD" OR "%SYS-5-RESTART")
| stats count latest(_time) as last_seen values(_raw) as sample by host | eval last_seen=strftime(last_seen,"%Y-%m-%d %H:%M:%S") | sort - last_seen</x:v>
      </x:c>
      <x:c r="R24" s="48" t="str">
        <x:f>IF(OR($A24&lt;&gt;"Yes",$B24=""),"",IF($K24&lt;&gt;"Yes","Count disabled",IF($H24&lt;&gt;"","| search "&amp;$H24,"")&amp;IF($I24&lt;&gt;"",IF($H24&lt;&gt;"",CHAR(10),"")&amp;$I24,"")&amp;IF(OR($H24&lt;&gt;"",$I24&lt;&gt;""),CHAR(10),"")&amp;"| stats count as count"&amp;IF($L24&lt;&gt;""," by "&amp;$L24,"")&amp;IF($M24&lt;&gt;"",CHAR(10)&amp;"| where count &gt;= "&amp;$M24,"")&amp;CHAR(10)&amp;"| sort - count"))</x:f>
        <x:v>| search ("%SYS-5-RELOAD" OR "%SYS-5-RESTART")
| stats count as count by host
| where count &gt;= 1
| sort - count</x:v>
      </x:c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8" t="str">
        <x:f>IF($A25&lt;&gt;"Yes","",IF($G25&lt;&gt;"",IFERROR(INDEX($O$6:$O$205,MATCH($G25,$B$6:$B$205,0)),"PARENT SEARCH NOT FOUND"),IFERROR(INDEX('Base Searches'!$E$6:$E$35,MATCH($F25,'Base Searches'!$B$6:$B$35,0)),"BASE NOT FOUND")))</x:f>
      </x:c>
      <x:c r="Q25" s="48" t="str">
        <x:f>IF(OR($A25&lt;&gt;"Yes",$B25=""),"",IF($H25&lt;&gt;"","| search "&amp;$H25,"")&amp;IF($I25&lt;&gt;"",IF($H25&lt;&gt;"",CHAR(10),"")&amp;$I25,"")&amp;IF($J25&lt;&gt;"",IF(OR($H25&lt;&gt;"",$I25&lt;&gt;""),CHAR(10),"")&amp;$J25,""))</x:f>
      </x:c>
      <x:c r="R25" s="48" t="str">
        <x:f>IF(OR($A25&lt;&gt;"Yes",$B25=""),"",IF($K25&lt;&gt;"Yes","Count disabled",IF($H25&lt;&gt;"","| search "&amp;$H25,"")&amp;IF($I25&lt;&gt;"",IF($H25&lt;&gt;"",CHAR(10),"")&amp;$I25,"")&amp;IF(OR($H25&lt;&gt;"",$I25&lt;&gt;""),CHAR(10),"")&amp;"| stats count as count"&amp;IF($L25&lt;&gt;""," by "&amp;$L25,"")&amp;IF($M25&lt;&gt;"",CHAR(10)&amp;"| where count &gt;= "&amp;$M25,"")&amp;CHAR(10)&amp;"| sort - count"))</x:f>
      </x:c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8" t="str">
        <x:f>IF($A26&lt;&gt;"Yes","",IF($G26&lt;&gt;"",IFERROR(INDEX($O$6:$O$205,MATCH($G26,$B$6:$B$205,0)),"PARENT SEARCH NOT FOUND"),IFERROR(INDEX('Base Searches'!$E$6:$E$35,MATCH($F26,'Base Searches'!$B$6:$B$35,0)),"BASE NOT FOUND")))</x:f>
      </x:c>
      <x:c r="Q26" s="48" t="str">
        <x:f>IF(OR($A26&lt;&gt;"Yes",$B26=""),"",IF($H26&lt;&gt;"","| search "&amp;$H26,"")&amp;IF($I26&lt;&gt;"",IF($H26&lt;&gt;"",CHAR(10),"")&amp;$I26,"")&amp;IF($J26&lt;&gt;"",IF(OR($H26&lt;&gt;"",$I26&lt;&gt;""),CHAR(10),"")&amp;$J26,""))</x:f>
      </x:c>
      <x:c r="R26" s="48" t="str">
        <x:f>IF(OR($A26&lt;&gt;"Yes",$B26=""),"",IF($K26&lt;&gt;"Yes","Count disabled",IF($H26&lt;&gt;"","| search "&amp;$H26,"")&amp;IF($I26&lt;&gt;"",IF($H26&lt;&gt;"",CHAR(10),"")&amp;$I26,"")&amp;IF(OR($H26&lt;&gt;"",$I26&lt;&gt;""),CHAR(10),"")&amp;"| stats count as count"&amp;IF($L26&lt;&gt;""," by "&amp;$L26,"")&amp;IF($M26&lt;&gt;"",CHAR(10)&amp;"| where count &gt;= "&amp;$M26,"")&amp;CHAR(10)&amp;"| sort - count"))</x:f>
      </x:c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8" t="str">
        <x:f>IF($A27&lt;&gt;"Yes","",IF($G27&lt;&gt;"",IFERROR(INDEX($O$6:$O$205,MATCH($G27,$B$6:$B$205,0)),"PARENT SEARCH NOT FOUND"),IFERROR(INDEX('Base Searches'!$E$6:$E$35,MATCH($F27,'Base Searches'!$B$6:$B$35,0)),"BASE NOT FOUND")))</x:f>
      </x:c>
      <x:c r="Q27" s="48" t="str">
        <x:f>IF(OR($A27&lt;&gt;"Yes",$B27=""),"",IF($H27&lt;&gt;"","| search "&amp;$H27,"")&amp;IF($I27&lt;&gt;"",IF($H27&lt;&gt;"",CHAR(10),"")&amp;$I27,"")&amp;IF($J27&lt;&gt;"",IF(OR($H27&lt;&gt;"",$I27&lt;&gt;""),CHAR(10),"")&amp;$J27,""))</x:f>
      </x:c>
      <x:c r="R27" s="48" t="str">
        <x:f>IF(OR($A27&lt;&gt;"Yes",$B27=""),"",IF($K27&lt;&gt;"Yes","Count disabled",IF($H27&lt;&gt;"","| search "&amp;$H27,"")&amp;IF($I27&lt;&gt;"",IF($H27&lt;&gt;"",CHAR(10),"")&amp;$I27,"")&amp;IF(OR($H27&lt;&gt;"",$I27&lt;&gt;""),CHAR(10),"")&amp;"| stats count as count"&amp;IF($L27&lt;&gt;""," by "&amp;$L27,"")&amp;IF($M27&lt;&gt;"",CHAR(10)&amp;"| where count &gt;= "&amp;$M27,"")&amp;CHAR(10)&amp;"| sort - count"))</x:f>
      </x:c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8" t="str">
        <x:f>IF($A28&lt;&gt;"Yes","",IF($G28&lt;&gt;"",IFERROR(INDEX($O$6:$O$205,MATCH($G28,$B$6:$B$205,0)),"PARENT SEARCH NOT FOUND"),IFERROR(INDEX('Base Searches'!$E$6:$E$35,MATCH($F28,'Base Searches'!$B$6:$B$35,0)),"BASE NOT FOUND")))</x:f>
      </x:c>
      <x:c r="Q28" s="48" t="str">
        <x:f>IF(OR($A28&lt;&gt;"Yes",$B28=""),"",IF($H28&lt;&gt;"","| search "&amp;$H28,"")&amp;IF($I28&lt;&gt;"",IF($H28&lt;&gt;"",CHAR(10),"")&amp;$I28,"")&amp;IF($J28&lt;&gt;"",IF(OR($H28&lt;&gt;"",$I28&lt;&gt;""),CHAR(10),"")&amp;$J28,""))</x:f>
      </x:c>
      <x:c r="R28" s="48" t="str">
        <x:f>IF(OR($A28&lt;&gt;"Yes",$B28=""),"",IF($K28&lt;&gt;"Yes","Count disabled",IF($H28&lt;&gt;"","| search "&amp;$H28,"")&amp;IF($I28&lt;&gt;"",IF($H28&lt;&gt;"",CHAR(10),"")&amp;$I28,"")&amp;IF(OR($H28&lt;&gt;"",$I28&lt;&gt;""),CHAR(10),"")&amp;"| stats count as count"&amp;IF($L28&lt;&gt;""," by "&amp;$L28,"")&amp;IF($M28&lt;&gt;"",CHAR(10)&amp;"| where count &gt;= "&amp;$M28,"")&amp;CHAR(10)&amp;"| sort - count"))</x:f>
      </x:c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8" t="str">
        <x:f>IF($A29&lt;&gt;"Yes","",IF($G29&lt;&gt;"",IFERROR(INDEX($O$6:$O$205,MATCH($G29,$B$6:$B$205,0)),"PARENT SEARCH NOT FOUND"),IFERROR(INDEX('Base Searches'!$E$6:$E$35,MATCH($F29,'Base Searches'!$B$6:$B$35,0)),"BASE NOT FOUND")))</x:f>
      </x:c>
      <x:c r="Q29" s="48" t="str">
        <x:f>IF(OR($A29&lt;&gt;"Yes",$B29=""),"",IF($H29&lt;&gt;"","| search "&amp;$H29,"")&amp;IF($I29&lt;&gt;"",IF($H29&lt;&gt;"",CHAR(10),"")&amp;$I29,"")&amp;IF($J29&lt;&gt;"",IF(OR($H29&lt;&gt;"",$I29&lt;&gt;""),CHAR(10),"")&amp;$J29,""))</x:f>
      </x:c>
      <x:c r="R29" s="48" t="str">
        <x:f>IF(OR($A29&lt;&gt;"Yes",$B29=""),"",IF($K29&lt;&gt;"Yes","Count disabled",IF($H29&lt;&gt;"","| search "&amp;$H29,"")&amp;IF($I29&lt;&gt;"",IF($H29&lt;&gt;"",CHAR(10),"")&amp;$I29,"")&amp;IF(OR($H29&lt;&gt;"",$I29&lt;&gt;""),CHAR(10),"")&amp;"| stats count as count"&amp;IF($L29&lt;&gt;""," by "&amp;$L29,"")&amp;IF($M29&lt;&gt;"",CHAR(10)&amp;"| where count &gt;= "&amp;$M29,"")&amp;CHAR(10)&amp;"| sort - count"))</x:f>
      </x:c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8" t="str">
        <x:f>IF($A30&lt;&gt;"Yes","",IF($G30&lt;&gt;"",IFERROR(INDEX($O$6:$O$205,MATCH($G30,$B$6:$B$205,0)),"PARENT SEARCH NOT FOUND"),IFERROR(INDEX('Base Searches'!$E$6:$E$35,MATCH($F30,'Base Searches'!$B$6:$B$35,0)),"BASE NOT FOUND")))</x:f>
      </x:c>
      <x:c r="Q30" s="48" t="str">
        <x:f>IF(OR($A30&lt;&gt;"Yes",$B30=""),"",IF($H30&lt;&gt;"","| search "&amp;$H30,"")&amp;IF($I30&lt;&gt;"",IF($H30&lt;&gt;"",CHAR(10),"")&amp;$I30,"")&amp;IF($J30&lt;&gt;"",IF(OR($H30&lt;&gt;"",$I30&lt;&gt;""),CHAR(10),"")&amp;$J30,""))</x:f>
      </x:c>
      <x:c r="R30" s="48" t="str">
        <x:f>IF(OR($A30&lt;&gt;"Yes",$B30=""),"",IF($K30&lt;&gt;"Yes","Count disabled",IF($H30&lt;&gt;"","| search "&amp;$H30,"")&amp;IF($I30&lt;&gt;"",IF($H30&lt;&gt;"",CHAR(10),"")&amp;$I30,"")&amp;IF(OR($H30&lt;&gt;"",$I30&lt;&gt;""),CHAR(10),"")&amp;"| stats count as count"&amp;IF($L30&lt;&gt;""," by "&amp;$L30,"")&amp;IF($M30&lt;&gt;"",CHAR(10)&amp;"| where count &gt;= "&amp;$M30,"")&amp;CHAR(10)&amp;"| sort - count"))</x:f>
      </x:c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8" t="str">
        <x:f>IF($A31&lt;&gt;"Yes","",IF($G31&lt;&gt;"",IFERROR(INDEX($O$6:$O$205,MATCH($G31,$B$6:$B$205,0)),"PARENT SEARCH NOT FOUND"),IFERROR(INDEX('Base Searches'!$E$6:$E$35,MATCH($F31,'Base Searches'!$B$6:$B$35,0)),"BASE NOT FOUND")))</x:f>
      </x:c>
      <x:c r="Q31" s="48" t="str">
        <x:f>IF(OR($A31&lt;&gt;"Yes",$B31=""),"",IF($H31&lt;&gt;"","| search "&amp;$H31,"")&amp;IF($I31&lt;&gt;"",IF($H31&lt;&gt;"",CHAR(10),"")&amp;$I31,"")&amp;IF($J31&lt;&gt;"",IF(OR($H31&lt;&gt;"",$I31&lt;&gt;""),CHAR(10),"")&amp;$J31,""))</x:f>
      </x:c>
      <x:c r="R31" s="48" t="str">
        <x:f>IF(OR($A31&lt;&gt;"Yes",$B31=""),"",IF($K31&lt;&gt;"Yes","Count disabled",IF($H31&lt;&gt;"","| search "&amp;$H31,"")&amp;IF($I31&lt;&gt;"",IF($H31&lt;&gt;"",CHAR(10),"")&amp;$I31,"")&amp;IF(OR($H31&lt;&gt;"",$I31&lt;&gt;""),CHAR(10),"")&amp;"| stats count as count"&amp;IF($L31&lt;&gt;""," by "&amp;$L31,"")&amp;IF($M31&lt;&gt;"",CHAR(10)&amp;"| where count &gt;= "&amp;$M31,"")&amp;CHAR(10)&amp;"| sort - count"))</x:f>
      </x:c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8" t="str">
        <x:f>IF($A32&lt;&gt;"Yes","",IF($G32&lt;&gt;"",IFERROR(INDEX($O$6:$O$205,MATCH($G32,$B$6:$B$205,0)),"PARENT SEARCH NOT FOUND"),IFERROR(INDEX('Base Searches'!$E$6:$E$35,MATCH($F32,'Base Searches'!$B$6:$B$35,0)),"BASE NOT FOUND")))</x:f>
      </x:c>
      <x:c r="Q32" s="48" t="str">
        <x:f>IF(OR($A32&lt;&gt;"Yes",$B32=""),"",IF($H32&lt;&gt;"","| search "&amp;$H32,"")&amp;IF($I32&lt;&gt;"",IF($H32&lt;&gt;"",CHAR(10),"")&amp;$I32,"")&amp;IF($J32&lt;&gt;"",IF(OR($H32&lt;&gt;"",$I32&lt;&gt;""),CHAR(10),"")&amp;$J32,""))</x:f>
      </x:c>
      <x:c r="R32" s="48" t="str">
        <x:f>IF(OR($A32&lt;&gt;"Yes",$B32=""),"",IF($K32&lt;&gt;"Yes","Count disabled",IF($H32&lt;&gt;"","| search "&amp;$H32,"")&amp;IF($I32&lt;&gt;"",IF($H32&lt;&gt;"",CHAR(10),"")&amp;$I32,"")&amp;IF(OR($H32&lt;&gt;"",$I32&lt;&gt;""),CHAR(10),"")&amp;"| stats count as count"&amp;IF($L32&lt;&gt;""," by "&amp;$L32,"")&amp;IF($M32&lt;&gt;"",CHAR(10)&amp;"| where count &gt;= "&amp;$M32,"")&amp;CHAR(10)&amp;"| sort - count"))</x:f>
      </x:c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8" t="str">
        <x:f>IF($A33&lt;&gt;"Yes","",IF($G33&lt;&gt;"",IFERROR(INDEX($O$6:$O$205,MATCH($G33,$B$6:$B$205,0)),"PARENT SEARCH NOT FOUND"),IFERROR(INDEX('Base Searches'!$E$6:$E$35,MATCH($F33,'Base Searches'!$B$6:$B$35,0)),"BASE NOT FOUND")))</x:f>
      </x:c>
      <x:c r="Q33" s="48" t="str">
        <x:f>IF(OR($A33&lt;&gt;"Yes",$B33=""),"",IF($H33&lt;&gt;"","| search "&amp;$H33,"")&amp;IF($I33&lt;&gt;"",IF($H33&lt;&gt;"",CHAR(10),"")&amp;$I33,"")&amp;IF($J33&lt;&gt;"",IF(OR($H33&lt;&gt;"",$I33&lt;&gt;""),CHAR(10),"")&amp;$J33,""))</x:f>
      </x:c>
      <x:c r="R33" s="48" t="str">
        <x:f>IF(OR($A33&lt;&gt;"Yes",$B33=""),"",IF($K33&lt;&gt;"Yes","Count disabled",IF($H33&lt;&gt;"","| search "&amp;$H33,"")&amp;IF($I33&lt;&gt;"",IF($H33&lt;&gt;"",CHAR(10),"")&amp;$I33,"")&amp;IF(OR($H33&lt;&gt;"",$I33&lt;&gt;""),CHAR(10),"")&amp;"| stats count as count"&amp;IF($L33&lt;&gt;""," by "&amp;$L33,"")&amp;IF($M33&lt;&gt;"",CHAR(10)&amp;"| where count &gt;= "&amp;$M33,"")&amp;CHAR(10)&amp;"| sort - count"))</x:f>
      </x:c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8" t="str">
        <x:f>IF($A34&lt;&gt;"Yes","",IF($G34&lt;&gt;"",IFERROR(INDEX($O$6:$O$205,MATCH($G34,$B$6:$B$205,0)),"PARENT SEARCH NOT FOUND"),IFERROR(INDEX('Base Searches'!$E$6:$E$35,MATCH($F34,'Base Searches'!$B$6:$B$35,0)),"BASE NOT FOUND")))</x:f>
      </x:c>
      <x:c r="Q34" s="48" t="str">
        <x:f>IF(OR($A34&lt;&gt;"Yes",$B34=""),"",IF($H34&lt;&gt;"","| search "&amp;$H34,"")&amp;IF($I34&lt;&gt;"",IF($H34&lt;&gt;"",CHAR(10),"")&amp;$I34,"")&amp;IF($J34&lt;&gt;"",IF(OR($H34&lt;&gt;"",$I34&lt;&gt;""),CHAR(10),"")&amp;$J34,""))</x:f>
      </x:c>
      <x:c r="R34" s="48" t="str">
        <x:f>IF(OR($A34&lt;&gt;"Yes",$B34=""),"",IF($K34&lt;&gt;"Yes","Count disabled",IF($H34&lt;&gt;"","| search "&amp;$H34,"")&amp;IF($I34&lt;&gt;"",IF($H34&lt;&gt;"",CHAR(10),"")&amp;$I34,"")&amp;IF(OR($H34&lt;&gt;"",$I34&lt;&gt;""),CHAR(10),"")&amp;"| stats count as count"&amp;IF($L34&lt;&gt;""," by "&amp;$L34,"")&amp;IF($M34&lt;&gt;"",CHAR(10)&amp;"| where count &gt;= "&amp;$M34,"")&amp;CHAR(10)&amp;"| sort - count"))</x:f>
      </x:c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8" t="str">
        <x:f>IF($A35&lt;&gt;"Yes","",IF($G35&lt;&gt;"",IFERROR(INDEX($O$6:$O$205,MATCH($G35,$B$6:$B$205,0)),"PARENT SEARCH NOT FOUND"),IFERROR(INDEX('Base Searches'!$E$6:$E$35,MATCH($F35,'Base Searches'!$B$6:$B$35,0)),"BASE NOT FOUND")))</x:f>
      </x:c>
      <x:c r="Q35" s="48" t="str">
        <x:f>IF(OR($A35&lt;&gt;"Yes",$B35=""),"",IF($H35&lt;&gt;"","| search "&amp;$H35,"")&amp;IF($I35&lt;&gt;"",IF($H35&lt;&gt;"",CHAR(10),"")&amp;$I35,"")&amp;IF($J35&lt;&gt;"",IF(OR($H35&lt;&gt;"",$I35&lt;&gt;""),CHAR(10),"")&amp;$J35,""))</x:f>
      </x:c>
      <x:c r="R35" s="48" t="str">
        <x:f>IF(OR($A35&lt;&gt;"Yes",$B35=""),"",IF($K35&lt;&gt;"Yes","Count disabled",IF($H35&lt;&gt;"","| search "&amp;$H35,"")&amp;IF($I35&lt;&gt;"",IF($H35&lt;&gt;"",CHAR(10),"")&amp;$I35,"")&amp;IF(OR($H35&lt;&gt;"",$I35&lt;&gt;""),CHAR(10),"")&amp;"| stats count as count"&amp;IF($L35&lt;&gt;""," by "&amp;$L35,"")&amp;IF($M35&lt;&gt;"",CHAR(10)&amp;"| where count &gt;= "&amp;$M35,"")&amp;CHAR(10)&amp;"| sort - count"))</x:f>
      </x:c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8" t="str">
        <x:f>IF($A36&lt;&gt;"Yes","",IF($G36&lt;&gt;"",IFERROR(INDEX($O$6:$O$205,MATCH($G36,$B$6:$B$205,0)),"PARENT SEARCH NOT FOUND"),IFERROR(INDEX('Base Searches'!$E$6:$E$35,MATCH($F36,'Base Searches'!$B$6:$B$35,0)),"BASE NOT FOUND")))</x:f>
      </x:c>
      <x:c r="Q36" s="48" t="str">
        <x:f>IF(OR($A36&lt;&gt;"Yes",$B36=""),"",IF($H36&lt;&gt;"","| search "&amp;$H36,"")&amp;IF($I36&lt;&gt;"",IF($H36&lt;&gt;"",CHAR(10),"")&amp;$I36,"")&amp;IF($J36&lt;&gt;"",IF(OR($H36&lt;&gt;"",$I36&lt;&gt;""),CHAR(10),"")&amp;$J36,""))</x:f>
      </x:c>
      <x:c r="R36" s="48" t="str">
        <x:f>IF(OR($A36&lt;&gt;"Yes",$B36=""),"",IF($K36&lt;&gt;"Yes","Count disabled",IF($H36&lt;&gt;"","| search "&amp;$H36,"")&amp;IF($I36&lt;&gt;"",IF($H36&lt;&gt;"",CHAR(10),"")&amp;$I36,"")&amp;IF(OR($H36&lt;&gt;"",$I36&lt;&gt;""),CHAR(10),"")&amp;"| stats count as count"&amp;IF($L36&lt;&gt;""," by "&amp;$L36,"")&amp;IF($M36&lt;&gt;"",CHAR(10)&amp;"| where count &gt;= "&amp;$M36,"")&amp;CHAR(10)&amp;"| sort - count"))</x:f>
      </x:c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8" t="str">
        <x:f>IF($A37&lt;&gt;"Yes","",IF($G37&lt;&gt;"",IFERROR(INDEX($O$6:$O$205,MATCH($G37,$B$6:$B$205,0)),"PARENT SEARCH NOT FOUND"),IFERROR(INDEX('Base Searches'!$E$6:$E$35,MATCH($F37,'Base Searches'!$B$6:$B$35,0)),"BASE NOT FOUND")))</x:f>
      </x:c>
      <x:c r="Q37" s="48" t="str">
        <x:f>IF(OR($A37&lt;&gt;"Yes",$B37=""),"",IF($H37&lt;&gt;"","| search "&amp;$H37,"")&amp;IF($I37&lt;&gt;"",IF($H37&lt;&gt;"",CHAR(10),"")&amp;$I37,"")&amp;IF($J37&lt;&gt;"",IF(OR($H37&lt;&gt;"",$I37&lt;&gt;""),CHAR(10),"")&amp;$J37,""))</x:f>
      </x:c>
      <x:c r="R37" s="48" t="str">
        <x:f>IF(OR($A37&lt;&gt;"Yes",$B37=""),"",IF($K37&lt;&gt;"Yes","Count disabled",IF($H37&lt;&gt;"","| search "&amp;$H37,"")&amp;IF($I37&lt;&gt;"",IF($H37&lt;&gt;"",CHAR(10),"")&amp;$I37,"")&amp;IF(OR($H37&lt;&gt;"",$I37&lt;&gt;""),CHAR(10),"")&amp;"| stats count as count"&amp;IF($L37&lt;&gt;""," by "&amp;$L37,"")&amp;IF($M37&lt;&gt;"",CHAR(10)&amp;"| where count &gt;= "&amp;$M37,"")&amp;CHAR(10)&amp;"| sort - count"))</x:f>
      </x:c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8" t="str">
        <x:f>IF($A38&lt;&gt;"Yes","",IF($G38&lt;&gt;"",IFERROR(INDEX($O$6:$O$205,MATCH($G38,$B$6:$B$205,0)),"PARENT SEARCH NOT FOUND"),IFERROR(INDEX('Base Searches'!$E$6:$E$35,MATCH($F38,'Base Searches'!$B$6:$B$35,0)),"BASE NOT FOUND")))</x:f>
      </x:c>
      <x:c r="Q38" s="48" t="str">
        <x:f>IF(OR($A38&lt;&gt;"Yes",$B38=""),"",IF($H38&lt;&gt;"","| search "&amp;$H38,"")&amp;IF($I38&lt;&gt;"",IF($H38&lt;&gt;"",CHAR(10),"")&amp;$I38,"")&amp;IF($J38&lt;&gt;"",IF(OR($H38&lt;&gt;"",$I38&lt;&gt;""),CHAR(10),"")&amp;$J38,""))</x:f>
      </x:c>
      <x:c r="R38" s="48" t="str">
        <x:f>IF(OR($A38&lt;&gt;"Yes",$B38=""),"",IF($K38&lt;&gt;"Yes","Count disabled",IF($H38&lt;&gt;"","| search "&amp;$H38,"")&amp;IF($I38&lt;&gt;"",IF($H38&lt;&gt;"",CHAR(10),"")&amp;$I38,"")&amp;IF(OR($H38&lt;&gt;"",$I38&lt;&gt;""),CHAR(10),"")&amp;"| stats count as count"&amp;IF($L38&lt;&gt;""," by "&amp;$L38,"")&amp;IF($M38&lt;&gt;"",CHAR(10)&amp;"| where count &gt;= "&amp;$M38,"")&amp;CHAR(10)&amp;"| sort - count"))</x:f>
      </x:c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8" t="str">
        <x:f>IF($A39&lt;&gt;"Yes","",IF($G39&lt;&gt;"",IFERROR(INDEX($O$6:$O$205,MATCH($G39,$B$6:$B$205,0)),"PARENT SEARCH NOT FOUND"),IFERROR(INDEX('Base Searches'!$E$6:$E$35,MATCH($F39,'Base Searches'!$B$6:$B$35,0)),"BASE NOT FOUND")))</x:f>
      </x:c>
      <x:c r="Q39" s="48" t="str">
        <x:f>IF(OR($A39&lt;&gt;"Yes",$B39=""),"",IF($H39&lt;&gt;"","| search "&amp;$H39,"")&amp;IF($I39&lt;&gt;"",IF($H39&lt;&gt;"",CHAR(10),"")&amp;$I39,"")&amp;IF($J39&lt;&gt;"",IF(OR($H39&lt;&gt;"",$I39&lt;&gt;""),CHAR(10),"")&amp;$J39,""))</x:f>
      </x:c>
      <x:c r="R39" s="48" t="str">
        <x:f>IF(OR($A39&lt;&gt;"Yes",$B39=""),"",IF($K39&lt;&gt;"Yes","Count disabled",IF($H39&lt;&gt;"","| search "&amp;$H39,"")&amp;IF($I39&lt;&gt;"",IF($H39&lt;&gt;"",CHAR(10),"")&amp;$I39,"")&amp;IF(OR($H39&lt;&gt;"",$I39&lt;&gt;""),CHAR(10),"")&amp;"| stats count as count"&amp;IF($L39&lt;&gt;""," by "&amp;$L39,"")&amp;IF($M39&lt;&gt;"",CHAR(10)&amp;"| where count &gt;= "&amp;$M39,"")&amp;CHAR(10)&amp;"| sort - count"))</x:f>
      </x:c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8" t="str">
        <x:f>IF($A40&lt;&gt;"Yes","",IF($G40&lt;&gt;"",IFERROR(INDEX($O$6:$O$205,MATCH($G40,$B$6:$B$205,0)),"PARENT SEARCH NOT FOUND"),IFERROR(INDEX('Base Searches'!$E$6:$E$35,MATCH($F40,'Base Searches'!$B$6:$B$35,0)),"BASE NOT FOUND")))</x:f>
      </x:c>
      <x:c r="Q40" s="48" t="str">
        <x:f>IF(OR($A40&lt;&gt;"Yes",$B40=""),"",IF($H40&lt;&gt;"","| search "&amp;$H40,"")&amp;IF($I40&lt;&gt;"",IF($H40&lt;&gt;"",CHAR(10),"")&amp;$I40,"")&amp;IF($J40&lt;&gt;"",IF(OR($H40&lt;&gt;"",$I40&lt;&gt;""),CHAR(10),"")&amp;$J40,""))</x:f>
      </x:c>
      <x:c r="R40" s="48" t="str">
        <x:f>IF(OR($A40&lt;&gt;"Yes",$B40=""),"",IF($K40&lt;&gt;"Yes","Count disabled",IF($H40&lt;&gt;"","| search "&amp;$H40,"")&amp;IF($I40&lt;&gt;"",IF($H40&lt;&gt;"",CHAR(10),"")&amp;$I40,"")&amp;IF(OR($H40&lt;&gt;"",$I40&lt;&gt;""),CHAR(10),"")&amp;"| stats count as count"&amp;IF($L40&lt;&gt;""," by "&amp;$L40,"")&amp;IF($M40&lt;&gt;"",CHAR(10)&amp;"| where count &gt;= "&amp;$M40,"")&amp;CHAR(10)&amp;"| sort - count"))</x:f>
      </x:c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8" t="str">
        <x:f>IF($A41&lt;&gt;"Yes","",IF($G41&lt;&gt;"",IFERROR(INDEX($O$6:$O$205,MATCH($G41,$B$6:$B$205,0)),"PARENT SEARCH NOT FOUND"),IFERROR(INDEX('Base Searches'!$E$6:$E$35,MATCH($F41,'Base Searches'!$B$6:$B$35,0)),"BASE NOT FOUND")))</x:f>
      </x:c>
      <x:c r="Q41" s="48" t="str">
        <x:f>IF(OR($A41&lt;&gt;"Yes",$B41=""),"",IF($H41&lt;&gt;"","| search "&amp;$H41,"")&amp;IF($I41&lt;&gt;"",IF($H41&lt;&gt;"",CHAR(10),"")&amp;$I41,"")&amp;IF($J41&lt;&gt;"",IF(OR($H41&lt;&gt;"",$I41&lt;&gt;""),CHAR(10),"")&amp;$J41,""))</x:f>
      </x:c>
      <x:c r="R41" s="48" t="str">
        <x:f>IF(OR($A41&lt;&gt;"Yes",$B41=""),"",IF($K41&lt;&gt;"Yes","Count disabled",IF($H41&lt;&gt;"","| search "&amp;$H41,"")&amp;IF($I41&lt;&gt;"",IF($H41&lt;&gt;"",CHAR(10),"")&amp;$I41,"")&amp;IF(OR($H41&lt;&gt;"",$I41&lt;&gt;""),CHAR(10),"")&amp;"| stats count as count"&amp;IF($L41&lt;&gt;""," by "&amp;$L41,"")&amp;IF($M41&lt;&gt;"",CHAR(10)&amp;"| where count &gt;= "&amp;$M41,"")&amp;CHAR(10)&amp;"| sort - count"))</x:f>
      </x:c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8" t="str">
        <x:f>IF($A42&lt;&gt;"Yes","",IF($G42&lt;&gt;"",IFERROR(INDEX($O$6:$O$205,MATCH($G42,$B$6:$B$205,0)),"PARENT SEARCH NOT FOUND"),IFERROR(INDEX('Base Searches'!$E$6:$E$35,MATCH($F42,'Base Searches'!$B$6:$B$35,0)),"BASE NOT FOUND")))</x:f>
      </x:c>
      <x:c r="Q42" s="48" t="str">
        <x:f>IF(OR($A42&lt;&gt;"Yes",$B42=""),"",IF($H42&lt;&gt;"","| search "&amp;$H42,"")&amp;IF($I42&lt;&gt;"",IF($H42&lt;&gt;"",CHAR(10),"")&amp;$I42,"")&amp;IF($J42&lt;&gt;"",IF(OR($H42&lt;&gt;"",$I42&lt;&gt;""),CHAR(10),"")&amp;$J42,""))</x:f>
      </x:c>
      <x:c r="R42" s="48" t="str">
        <x:f>IF(OR($A42&lt;&gt;"Yes",$B42=""),"",IF($K42&lt;&gt;"Yes","Count disabled",IF($H42&lt;&gt;"","| search "&amp;$H42,"")&amp;IF($I42&lt;&gt;"",IF($H42&lt;&gt;"",CHAR(10),"")&amp;$I42,"")&amp;IF(OR($H42&lt;&gt;"",$I42&lt;&gt;""),CHAR(10),"")&amp;"| stats count as count"&amp;IF($L42&lt;&gt;""," by "&amp;$L42,"")&amp;IF($M42&lt;&gt;"",CHAR(10)&amp;"| where count &gt;= "&amp;$M42,"")&amp;CHAR(10)&amp;"| sort - count"))</x:f>
      </x:c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8" t="str">
        <x:f>IF($A43&lt;&gt;"Yes","",IF($G43&lt;&gt;"",IFERROR(INDEX($O$6:$O$205,MATCH($G43,$B$6:$B$205,0)),"PARENT SEARCH NOT FOUND"),IFERROR(INDEX('Base Searches'!$E$6:$E$35,MATCH($F43,'Base Searches'!$B$6:$B$35,0)),"BASE NOT FOUND")))</x:f>
      </x:c>
      <x:c r="Q43" s="48" t="str">
        <x:f>IF(OR($A43&lt;&gt;"Yes",$B43=""),"",IF($H43&lt;&gt;"","| search "&amp;$H43,"")&amp;IF($I43&lt;&gt;"",IF($H43&lt;&gt;"",CHAR(10),"")&amp;$I43,"")&amp;IF($J43&lt;&gt;"",IF(OR($H43&lt;&gt;"",$I43&lt;&gt;""),CHAR(10),"")&amp;$J43,""))</x:f>
      </x:c>
      <x:c r="R43" s="48" t="str">
        <x:f>IF(OR($A43&lt;&gt;"Yes",$B43=""),"",IF($K43&lt;&gt;"Yes","Count disabled",IF($H43&lt;&gt;"","| search "&amp;$H43,"")&amp;IF($I43&lt;&gt;"",IF($H43&lt;&gt;"",CHAR(10),"")&amp;$I43,"")&amp;IF(OR($H43&lt;&gt;"",$I43&lt;&gt;""),CHAR(10),"")&amp;"| stats count as count"&amp;IF($L43&lt;&gt;""," by "&amp;$L43,"")&amp;IF($M43&lt;&gt;"",CHAR(10)&amp;"| where count &gt;= "&amp;$M43,"")&amp;CHAR(10)&amp;"| sort - count"))</x:f>
      </x:c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8" t="str">
        <x:f>IF($A44&lt;&gt;"Yes","",IF($G44&lt;&gt;"",IFERROR(INDEX($O$6:$O$205,MATCH($G44,$B$6:$B$205,0)),"PARENT SEARCH NOT FOUND"),IFERROR(INDEX('Base Searches'!$E$6:$E$35,MATCH($F44,'Base Searches'!$B$6:$B$35,0)),"BASE NOT FOUND")))</x:f>
      </x:c>
      <x:c r="Q44" s="48" t="str">
        <x:f>IF(OR($A44&lt;&gt;"Yes",$B44=""),"",IF($H44&lt;&gt;"","| search "&amp;$H44,"")&amp;IF($I44&lt;&gt;"",IF($H44&lt;&gt;"",CHAR(10),"")&amp;$I44,"")&amp;IF($J44&lt;&gt;"",IF(OR($H44&lt;&gt;"",$I44&lt;&gt;""),CHAR(10),"")&amp;$J44,""))</x:f>
      </x:c>
      <x:c r="R44" s="48" t="str">
        <x:f>IF(OR($A44&lt;&gt;"Yes",$B44=""),"",IF($K44&lt;&gt;"Yes","Count disabled",IF($H44&lt;&gt;"","| search "&amp;$H44,"")&amp;IF($I44&lt;&gt;"",IF($H44&lt;&gt;"",CHAR(10),"")&amp;$I44,"")&amp;IF(OR($H44&lt;&gt;"",$I44&lt;&gt;""),CHAR(10),"")&amp;"| stats count as count"&amp;IF($L44&lt;&gt;""," by "&amp;$L44,"")&amp;IF($M44&lt;&gt;"",CHAR(10)&amp;"| where count &gt;= "&amp;$M44,"")&amp;CHAR(10)&amp;"| sort - count"))</x:f>
      </x:c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8" t="str">
        <x:f>IF($A45&lt;&gt;"Yes","",IF($G45&lt;&gt;"",IFERROR(INDEX($O$6:$O$205,MATCH($G45,$B$6:$B$205,0)),"PARENT SEARCH NOT FOUND"),IFERROR(INDEX('Base Searches'!$E$6:$E$35,MATCH($F45,'Base Searches'!$B$6:$B$35,0)),"BASE NOT FOUND")))</x:f>
      </x:c>
      <x:c r="Q45" s="48" t="str">
        <x:f>IF(OR($A45&lt;&gt;"Yes",$B45=""),"",IF($H45&lt;&gt;"","| search "&amp;$H45,"")&amp;IF($I45&lt;&gt;"",IF($H45&lt;&gt;"",CHAR(10),"")&amp;$I45,"")&amp;IF($J45&lt;&gt;"",IF(OR($H45&lt;&gt;"",$I45&lt;&gt;""),CHAR(10),"")&amp;$J45,""))</x:f>
      </x:c>
      <x:c r="R45" s="48" t="str">
        <x:f>IF(OR($A45&lt;&gt;"Yes",$B45=""),"",IF($K45&lt;&gt;"Yes","Count disabled",IF($H45&lt;&gt;"","| search "&amp;$H45,"")&amp;IF($I45&lt;&gt;"",IF($H45&lt;&gt;"",CHAR(10),"")&amp;$I45,"")&amp;IF(OR($H45&lt;&gt;"",$I45&lt;&gt;""),CHAR(10),"")&amp;"| stats count as count"&amp;IF($L45&lt;&gt;""," by "&amp;$L45,"")&amp;IF($M45&lt;&gt;"",CHAR(10)&amp;"| where count &gt;= "&amp;$M45,"")&amp;CHAR(10)&amp;"| sort - count"))</x:f>
      </x:c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8" t="str">
        <x:f>IF($A46&lt;&gt;"Yes","",IF($G46&lt;&gt;"",IFERROR(INDEX($O$6:$O$205,MATCH($G46,$B$6:$B$205,0)),"PARENT SEARCH NOT FOUND"),IFERROR(INDEX('Base Searches'!$E$6:$E$35,MATCH($F46,'Base Searches'!$B$6:$B$35,0)),"BASE NOT FOUND")))</x:f>
      </x:c>
      <x:c r="Q46" s="48" t="str">
        <x:f>IF(OR($A46&lt;&gt;"Yes",$B46=""),"",IF($H46&lt;&gt;"","| search "&amp;$H46,"")&amp;IF($I46&lt;&gt;"",IF($H46&lt;&gt;"",CHAR(10),"")&amp;$I46,"")&amp;IF($J46&lt;&gt;"",IF(OR($H46&lt;&gt;"",$I46&lt;&gt;""),CHAR(10),"")&amp;$J46,""))</x:f>
      </x:c>
      <x:c r="R46" s="48" t="str">
        <x:f>IF(OR($A46&lt;&gt;"Yes",$B46=""),"",IF($K46&lt;&gt;"Yes","Count disabled",IF($H46&lt;&gt;"","| search "&amp;$H46,"")&amp;IF($I46&lt;&gt;"",IF($H46&lt;&gt;"",CHAR(10),"")&amp;$I46,"")&amp;IF(OR($H46&lt;&gt;"",$I46&lt;&gt;""),CHAR(10),"")&amp;"| stats count as count"&amp;IF($L46&lt;&gt;""," by "&amp;$L46,"")&amp;IF($M46&lt;&gt;"",CHAR(10)&amp;"| where count &gt;= "&amp;$M46,"")&amp;CHAR(10)&amp;"| sort - count"))</x:f>
      </x:c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8" t="str">
        <x:f>IF($A47&lt;&gt;"Yes","",IF($G47&lt;&gt;"",IFERROR(INDEX($O$6:$O$205,MATCH($G47,$B$6:$B$205,0)),"PARENT SEARCH NOT FOUND"),IFERROR(INDEX('Base Searches'!$E$6:$E$35,MATCH($F47,'Base Searches'!$B$6:$B$35,0)),"BASE NOT FOUND")))</x:f>
      </x:c>
      <x:c r="Q47" s="48" t="str">
        <x:f>IF(OR($A47&lt;&gt;"Yes",$B47=""),"",IF($H47&lt;&gt;"","| search "&amp;$H47,"")&amp;IF($I47&lt;&gt;"",IF($H47&lt;&gt;"",CHAR(10),"")&amp;$I47,"")&amp;IF($J47&lt;&gt;"",IF(OR($H47&lt;&gt;"",$I47&lt;&gt;""),CHAR(10),"")&amp;$J47,""))</x:f>
      </x:c>
      <x:c r="R47" s="48" t="str">
        <x:f>IF(OR($A47&lt;&gt;"Yes",$B47=""),"",IF($K47&lt;&gt;"Yes","Count disabled",IF($H47&lt;&gt;"","| search "&amp;$H47,"")&amp;IF($I47&lt;&gt;"",IF($H47&lt;&gt;"",CHAR(10),"")&amp;$I47,"")&amp;IF(OR($H47&lt;&gt;"",$I47&lt;&gt;""),CHAR(10),"")&amp;"| stats count as count"&amp;IF($L47&lt;&gt;""," by "&amp;$L47,"")&amp;IF($M47&lt;&gt;"",CHAR(10)&amp;"| where count &gt;= "&amp;$M47,"")&amp;CHAR(10)&amp;"| sort - count"))</x:f>
      </x:c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8" t="str">
        <x:f>IF($A48&lt;&gt;"Yes","",IF($G48&lt;&gt;"",IFERROR(INDEX($O$6:$O$205,MATCH($G48,$B$6:$B$205,0)),"PARENT SEARCH NOT FOUND"),IFERROR(INDEX('Base Searches'!$E$6:$E$35,MATCH($F48,'Base Searches'!$B$6:$B$35,0)),"BASE NOT FOUND")))</x:f>
      </x:c>
      <x:c r="Q48" s="48" t="str">
        <x:f>IF(OR($A48&lt;&gt;"Yes",$B48=""),"",IF($H48&lt;&gt;"","| search "&amp;$H48,"")&amp;IF($I48&lt;&gt;"",IF($H48&lt;&gt;"",CHAR(10),"")&amp;$I48,"")&amp;IF($J48&lt;&gt;"",IF(OR($H48&lt;&gt;"",$I48&lt;&gt;""),CHAR(10),"")&amp;$J48,""))</x:f>
      </x:c>
      <x:c r="R48" s="48" t="str">
        <x:f>IF(OR($A48&lt;&gt;"Yes",$B48=""),"",IF($K48&lt;&gt;"Yes","Count disabled",IF($H48&lt;&gt;"","| search "&amp;$H48,"")&amp;IF($I48&lt;&gt;"",IF($H48&lt;&gt;"",CHAR(10),"")&amp;$I48,"")&amp;IF(OR($H48&lt;&gt;"",$I48&lt;&gt;""),CHAR(10),"")&amp;"| stats count as count"&amp;IF($L48&lt;&gt;""," by "&amp;$L48,"")&amp;IF($M48&lt;&gt;"",CHAR(10)&amp;"| where count &gt;= "&amp;$M48,"")&amp;CHAR(10)&amp;"| sort - count"))</x:f>
      </x:c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8" t="str">
        <x:f>IF($A49&lt;&gt;"Yes","",IF($G49&lt;&gt;"",IFERROR(INDEX($O$6:$O$205,MATCH($G49,$B$6:$B$205,0)),"PARENT SEARCH NOT FOUND"),IFERROR(INDEX('Base Searches'!$E$6:$E$35,MATCH($F49,'Base Searches'!$B$6:$B$35,0)),"BASE NOT FOUND")))</x:f>
      </x:c>
      <x:c r="Q49" s="48" t="str">
        <x:f>IF(OR($A49&lt;&gt;"Yes",$B49=""),"",IF($H49&lt;&gt;"","| search "&amp;$H49,"")&amp;IF($I49&lt;&gt;"",IF($H49&lt;&gt;"",CHAR(10),"")&amp;$I49,"")&amp;IF($J49&lt;&gt;"",IF(OR($H49&lt;&gt;"",$I49&lt;&gt;""),CHAR(10),"")&amp;$J49,""))</x:f>
      </x:c>
      <x:c r="R49" s="48" t="str">
        <x:f>IF(OR($A49&lt;&gt;"Yes",$B49=""),"",IF($K49&lt;&gt;"Yes","Count disabled",IF($H49&lt;&gt;"","| search "&amp;$H49,"")&amp;IF($I49&lt;&gt;"",IF($H49&lt;&gt;"",CHAR(10),"")&amp;$I49,"")&amp;IF(OR($H49&lt;&gt;"",$I49&lt;&gt;""),CHAR(10),"")&amp;"| stats count as count"&amp;IF($L49&lt;&gt;""," by "&amp;$L49,"")&amp;IF($M49&lt;&gt;"",CHAR(10)&amp;"| where count &gt;= "&amp;$M49,"")&amp;CHAR(10)&amp;"| sort - count"))</x:f>
      </x:c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8" t="str">
        <x:f>IF($A50&lt;&gt;"Yes","",IF($G50&lt;&gt;"",IFERROR(INDEX($O$6:$O$205,MATCH($G50,$B$6:$B$205,0)),"PARENT SEARCH NOT FOUND"),IFERROR(INDEX('Base Searches'!$E$6:$E$35,MATCH($F50,'Base Searches'!$B$6:$B$35,0)),"BASE NOT FOUND")))</x:f>
      </x:c>
      <x:c r="Q50" s="48" t="str">
        <x:f>IF(OR($A50&lt;&gt;"Yes",$B50=""),"",IF($H50&lt;&gt;"","| search "&amp;$H50,"")&amp;IF($I50&lt;&gt;"",IF($H50&lt;&gt;"",CHAR(10),"")&amp;$I50,"")&amp;IF($J50&lt;&gt;"",IF(OR($H50&lt;&gt;"",$I50&lt;&gt;""),CHAR(10),"")&amp;$J50,""))</x:f>
      </x:c>
      <x:c r="R50" s="48" t="str">
        <x:f>IF(OR($A50&lt;&gt;"Yes",$B50=""),"",IF($K50&lt;&gt;"Yes","Count disabled",IF($H50&lt;&gt;"","| search "&amp;$H50,"")&amp;IF($I50&lt;&gt;"",IF($H50&lt;&gt;"",CHAR(10),"")&amp;$I50,"")&amp;IF(OR($H50&lt;&gt;"",$I50&lt;&gt;""),CHAR(10),"")&amp;"| stats count as count"&amp;IF($L50&lt;&gt;""," by "&amp;$L50,"")&amp;IF($M50&lt;&gt;"",CHAR(10)&amp;"| where count &gt;= "&amp;$M50,"")&amp;CHAR(10)&amp;"| sort - count"))</x:f>
      </x:c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8" t="str">
        <x:f>IF($A51&lt;&gt;"Yes","",IF($G51&lt;&gt;"",IFERROR(INDEX($O$6:$O$205,MATCH($G51,$B$6:$B$205,0)),"PARENT SEARCH NOT FOUND"),IFERROR(INDEX('Base Searches'!$E$6:$E$35,MATCH($F51,'Base Searches'!$B$6:$B$35,0)),"BASE NOT FOUND")))</x:f>
      </x:c>
      <x:c r="Q51" s="48" t="str">
        <x:f>IF(OR($A51&lt;&gt;"Yes",$B51=""),"",IF($H51&lt;&gt;"","| search "&amp;$H51,"")&amp;IF($I51&lt;&gt;"",IF($H51&lt;&gt;"",CHAR(10),"")&amp;$I51,"")&amp;IF($J51&lt;&gt;"",IF(OR($H51&lt;&gt;"",$I51&lt;&gt;""),CHAR(10),"")&amp;$J51,""))</x:f>
      </x:c>
      <x:c r="R51" s="48" t="str">
        <x:f>IF(OR($A51&lt;&gt;"Yes",$B51=""),"",IF($K51&lt;&gt;"Yes","Count disabled",IF($H51&lt;&gt;"","| search "&amp;$H51,"")&amp;IF($I51&lt;&gt;"",IF($H51&lt;&gt;"",CHAR(10),"")&amp;$I51,"")&amp;IF(OR($H51&lt;&gt;"",$I51&lt;&gt;""),CHAR(10),"")&amp;"| stats count as count"&amp;IF($L51&lt;&gt;""," by "&amp;$L51,"")&amp;IF($M51&lt;&gt;"",CHAR(10)&amp;"| where count &gt;= "&amp;$M51,"")&amp;CHAR(10)&amp;"| sort - count"))</x:f>
      </x:c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8" t="str">
        <x:f>IF($A52&lt;&gt;"Yes","",IF($G52&lt;&gt;"",IFERROR(INDEX($O$6:$O$205,MATCH($G52,$B$6:$B$205,0)),"PARENT SEARCH NOT FOUND"),IFERROR(INDEX('Base Searches'!$E$6:$E$35,MATCH($F52,'Base Searches'!$B$6:$B$35,0)),"BASE NOT FOUND")))</x:f>
      </x:c>
      <x:c r="Q52" s="48" t="str">
        <x:f>IF(OR($A52&lt;&gt;"Yes",$B52=""),"",IF($H52&lt;&gt;"","| search "&amp;$H52,"")&amp;IF($I52&lt;&gt;"",IF($H52&lt;&gt;"",CHAR(10),"")&amp;$I52,"")&amp;IF($J52&lt;&gt;"",IF(OR($H52&lt;&gt;"",$I52&lt;&gt;""),CHAR(10),"")&amp;$J52,""))</x:f>
      </x:c>
      <x:c r="R52" s="48" t="str">
        <x:f>IF(OR($A52&lt;&gt;"Yes",$B52=""),"",IF($K52&lt;&gt;"Yes","Count disabled",IF($H52&lt;&gt;"","| search "&amp;$H52,"")&amp;IF($I52&lt;&gt;"",IF($H52&lt;&gt;"",CHAR(10),"")&amp;$I52,"")&amp;IF(OR($H52&lt;&gt;"",$I52&lt;&gt;""),CHAR(10),"")&amp;"| stats count as count"&amp;IF($L52&lt;&gt;""," by "&amp;$L52,"")&amp;IF($M52&lt;&gt;"",CHAR(10)&amp;"| where count &gt;= "&amp;$M52,"")&amp;CHAR(10)&amp;"| sort - count"))</x:f>
      </x:c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8" t="str">
        <x:f>IF($A53&lt;&gt;"Yes","",IF($G53&lt;&gt;"",IFERROR(INDEX($O$6:$O$205,MATCH($G53,$B$6:$B$205,0)),"PARENT SEARCH NOT FOUND"),IFERROR(INDEX('Base Searches'!$E$6:$E$35,MATCH($F53,'Base Searches'!$B$6:$B$35,0)),"BASE NOT FOUND")))</x:f>
      </x:c>
      <x:c r="Q53" s="48" t="str">
        <x:f>IF(OR($A53&lt;&gt;"Yes",$B53=""),"",IF($H53&lt;&gt;"","| search "&amp;$H53,"")&amp;IF($I53&lt;&gt;"",IF($H53&lt;&gt;"",CHAR(10),"")&amp;$I53,"")&amp;IF($J53&lt;&gt;"",IF(OR($H53&lt;&gt;"",$I53&lt;&gt;""),CHAR(10),"")&amp;$J53,""))</x:f>
      </x:c>
      <x:c r="R53" s="48" t="str">
        <x:f>IF(OR($A53&lt;&gt;"Yes",$B53=""),"",IF($K53&lt;&gt;"Yes","Count disabled",IF($H53&lt;&gt;"","| search "&amp;$H53,"")&amp;IF($I53&lt;&gt;"",IF($H53&lt;&gt;"",CHAR(10),"")&amp;$I53,"")&amp;IF(OR($H53&lt;&gt;"",$I53&lt;&gt;""),CHAR(10),"")&amp;"| stats count as count"&amp;IF($L53&lt;&gt;""," by "&amp;$L53,"")&amp;IF($M53&lt;&gt;"",CHAR(10)&amp;"| where count &gt;= "&amp;$M53,"")&amp;CHAR(10)&amp;"| sort - count"))</x:f>
      </x:c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8" t="str">
        <x:f>IF($A54&lt;&gt;"Yes","",IF($G54&lt;&gt;"",IFERROR(INDEX($O$6:$O$205,MATCH($G54,$B$6:$B$205,0)),"PARENT SEARCH NOT FOUND"),IFERROR(INDEX('Base Searches'!$E$6:$E$35,MATCH($F54,'Base Searches'!$B$6:$B$35,0)),"BASE NOT FOUND")))</x:f>
      </x:c>
      <x:c r="Q54" s="48" t="str">
        <x:f>IF(OR($A54&lt;&gt;"Yes",$B54=""),"",IF($H54&lt;&gt;"","| search "&amp;$H54,"")&amp;IF($I54&lt;&gt;"",IF($H54&lt;&gt;"",CHAR(10),"")&amp;$I54,"")&amp;IF($J54&lt;&gt;"",IF(OR($H54&lt;&gt;"",$I54&lt;&gt;""),CHAR(10),"")&amp;$J54,""))</x:f>
      </x:c>
      <x:c r="R54" s="48" t="str">
        <x:f>IF(OR($A54&lt;&gt;"Yes",$B54=""),"",IF($K54&lt;&gt;"Yes","Count disabled",IF($H54&lt;&gt;"","| search "&amp;$H54,"")&amp;IF($I54&lt;&gt;"",IF($H54&lt;&gt;"",CHAR(10),"")&amp;$I54,"")&amp;IF(OR($H54&lt;&gt;"",$I54&lt;&gt;""),CHAR(10),"")&amp;"| stats count as count"&amp;IF($L54&lt;&gt;""," by "&amp;$L54,"")&amp;IF($M54&lt;&gt;"",CHAR(10)&amp;"| where count &gt;= "&amp;$M54,"")&amp;CHAR(10)&amp;"| sort - count"))</x:f>
      </x:c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8" t="str">
        <x:f>IF($A55&lt;&gt;"Yes","",IF($G55&lt;&gt;"",IFERROR(INDEX($O$6:$O$205,MATCH($G55,$B$6:$B$205,0)),"PARENT SEARCH NOT FOUND"),IFERROR(INDEX('Base Searches'!$E$6:$E$35,MATCH($F55,'Base Searches'!$B$6:$B$35,0)),"BASE NOT FOUND")))</x:f>
      </x:c>
      <x:c r="Q55" s="48" t="str">
        <x:f>IF(OR($A55&lt;&gt;"Yes",$B55=""),"",IF($H55&lt;&gt;"","| search "&amp;$H55,"")&amp;IF($I55&lt;&gt;"",IF($H55&lt;&gt;"",CHAR(10),"")&amp;$I55,"")&amp;IF($J55&lt;&gt;"",IF(OR($H55&lt;&gt;"",$I55&lt;&gt;""),CHAR(10),"")&amp;$J55,""))</x:f>
      </x:c>
      <x:c r="R55" s="48" t="str">
        <x:f>IF(OR($A55&lt;&gt;"Yes",$B55=""),"",IF($K55&lt;&gt;"Yes","Count disabled",IF($H55&lt;&gt;"","| search "&amp;$H55,"")&amp;IF($I55&lt;&gt;"",IF($H55&lt;&gt;"",CHAR(10),"")&amp;$I55,"")&amp;IF(OR($H55&lt;&gt;"",$I55&lt;&gt;""),CHAR(10),"")&amp;"| stats count as count"&amp;IF($L55&lt;&gt;""," by "&amp;$L55,"")&amp;IF($M55&lt;&gt;"",CHAR(10)&amp;"| where count &gt;= "&amp;$M55,"")&amp;CHAR(10)&amp;"| sort - count"))</x:f>
      </x:c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8" t="str">
        <x:f>IF($A56&lt;&gt;"Yes","",IF($G56&lt;&gt;"",IFERROR(INDEX($O$6:$O$205,MATCH($G56,$B$6:$B$205,0)),"PARENT SEARCH NOT FOUND"),IFERROR(INDEX('Base Searches'!$E$6:$E$35,MATCH($F56,'Base Searches'!$B$6:$B$35,0)),"BASE NOT FOUND")))</x:f>
      </x:c>
      <x:c r="Q56" s="48" t="str">
        <x:f>IF(OR($A56&lt;&gt;"Yes",$B56=""),"",IF($H56&lt;&gt;"","| search "&amp;$H56,"")&amp;IF($I56&lt;&gt;"",IF($H56&lt;&gt;"",CHAR(10),"")&amp;$I56,"")&amp;IF($J56&lt;&gt;"",IF(OR($H56&lt;&gt;"",$I56&lt;&gt;""),CHAR(10),"")&amp;$J56,""))</x:f>
      </x:c>
      <x:c r="R56" s="48" t="str">
        <x:f>IF(OR($A56&lt;&gt;"Yes",$B56=""),"",IF($K56&lt;&gt;"Yes","Count disabled",IF($H56&lt;&gt;"","| search "&amp;$H56,"")&amp;IF($I56&lt;&gt;"",IF($H56&lt;&gt;"",CHAR(10),"")&amp;$I56,"")&amp;IF(OR($H56&lt;&gt;"",$I56&lt;&gt;""),CHAR(10),"")&amp;"| stats count as count"&amp;IF($L56&lt;&gt;""," by "&amp;$L56,"")&amp;IF($M56&lt;&gt;"",CHAR(10)&amp;"| where count &gt;= "&amp;$M56,"")&amp;CHAR(10)&amp;"| sort - count"))</x:f>
      </x:c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8" t="str">
        <x:f>IF($A57&lt;&gt;"Yes","",IF($G57&lt;&gt;"",IFERROR(INDEX($O$6:$O$205,MATCH($G57,$B$6:$B$205,0)),"PARENT SEARCH NOT FOUND"),IFERROR(INDEX('Base Searches'!$E$6:$E$35,MATCH($F57,'Base Searches'!$B$6:$B$35,0)),"BASE NOT FOUND")))</x:f>
      </x:c>
      <x:c r="Q57" s="48" t="str">
        <x:f>IF(OR($A57&lt;&gt;"Yes",$B57=""),"",IF($H57&lt;&gt;"","| search "&amp;$H57,"")&amp;IF($I57&lt;&gt;"",IF($H57&lt;&gt;"",CHAR(10),"")&amp;$I57,"")&amp;IF($J57&lt;&gt;"",IF(OR($H57&lt;&gt;"",$I57&lt;&gt;""),CHAR(10),"")&amp;$J57,""))</x:f>
      </x:c>
      <x:c r="R57" s="48" t="str">
        <x:f>IF(OR($A57&lt;&gt;"Yes",$B57=""),"",IF($K57&lt;&gt;"Yes","Count disabled",IF($H57&lt;&gt;"","| search "&amp;$H57,"")&amp;IF($I57&lt;&gt;"",IF($H57&lt;&gt;"",CHAR(10),"")&amp;$I57,"")&amp;IF(OR($H57&lt;&gt;"",$I57&lt;&gt;""),CHAR(10),"")&amp;"| stats count as count"&amp;IF($L57&lt;&gt;""," by "&amp;$L57,"")&amp;IF($M57&lt;&gt;"",CHAR(10)&amp;"| where count &gt;= "&amp;$M57,"")&amp;CHAR(10)&amp;"| sort - count"))</x:f>
      </x:c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8" t="str">
        <x:f>IF($A58&lt;&gt;"Yes","",IF($G58&lt;&gt;"",IFERROR(INDEX($O$6:$O$205,MATCH($G58,$B$6:$B$205,0)),"PARENT SEARCH NOT FOUND"),IFERROR(INDEX('Base Searches'!$E$6:$E$35,MATCH($F58,'Base Searches'!$B$6:$B$35,0)),"BASE NOT FOUND")))</x:f>
      </x:c>
      <x:c r="Q58" s="48" t="str">
        <x:f>IF(OR($A58&lt;&gt;"Yes",$B58=""),"",IF($H58&lt;&gt;"","| search "&amp;$H58,"")&amp;IF($I58&lt;&gt;"",IF($H58&lt;&gt;"",CHAR(10),"")&amp;$I58,"")&amp;IF($J58&lt;&gt;"",IF(OR($H58&lt;&gt;"",$I58&lt;&gt;""),CHAR(10),"")&amp;$J58,""))</x:f>
      </x:c>
      <x:c r="R58" s="48" t="str">
        <x:f>IF(OR($A58&lt;&gt;"Yes",$B58=""),"",IF($K58&lt;&gt;"Yes","Count disabled",IF($H58&lt;&gt;"","| search "&amp;$H58,"")&amp;IF($I58&lt;&gt;"",IF($H58&lt;&gt;"",CHAR(10),"")&amp;$I58,"")&amp;IF(OR($H58&lt;&gt;"",$I58&lt;&gt;""),CHAR(10),"")&amp;"| stats count as count"&amp;IF($L58&lt;&gt;""," by "&amp;$L58,"")&amp;IF($M58&lt;&gt;"",CHAR(10)&amp;"| where count &gt;= "&amp;$M58,"")&amp;CHAR(10)&amp;"| sort - count"))</x:f>
      </x:c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8" t="str">
        <x:f>IF($A59&lt;&gt;"Yes","",IF($G59&lt;&gt;"",IFERROR(INDEX($O$6:$O$205,MATCH($G59,$B$6:$B$205,0)),"PARENT SEARCH NOT FOUND"),IFERROR(INDEX('Base Searches'!$E$6:$E$35,MATCH($F59,'Base Searches'!$B$6:$B$35,0)),"BASE NOT FOUND")))</x:f>
      </x:c>
      <x:c r="Q59" s="48" t="str">
        <x:f>IF(OR($A59&lt;&gt;"Yes",$B59=""),"",IF($H59&lt;&gt;"","| search "&amp;$H59,"")&amp;IF($I59&lt;&gt;"",IF($H59&lt;&gt;"",CHAR(10),"")&amp;$I59,"")&amp;IF($J59&lt;&gt;"",IF(OR($H59&lt;&gt;"",$I59&lt;&gt;""),CHAR(10),"")&amp;$J59,""))</x:f>
      </x:c>
      <x:c r="R59" s="48" t="str">
        <x:f>IF(OR($A59&lt;&gt;"Yes",$B59=""),"",IF($K59&lt;&gt;"Yes","Count disabled",IF($H59&lt;&gt;"","| search "&amp;$H59,"")&amp;IF($I59&lt;&gt;"",IF($H59&lt;&gt;"",CHAR(10),"")&amp;$I59,"")&amp;IF(OR($H59&lt;&gt;"",$I59&lt;&gt;""),CHAR(10),"")&amp;"| stats count as count"&amp;IF($L59&lt;&gt;""," by "&amp;$L59,"")&amp;IF($M59&lt;&gt;"",CHAR(10)&amp;"| where count &gt;= "&amp;$M59,"")&amp;CHAR(10)&amp;"| sort - count"))</x:f>
      </x:c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8" t="str">
        <x:f>IF($A60&lt;&gt;"Yes","",IF($G60&lt;&gt;"",IFERROR(INDEX($O$6:$O$205,MATCH($G60,$B$6:$B$205,0)),"PARENT SEARCH NOT FOUND"),IFERROR(INDEX('Base Searches'!$E$6:$E$35,MATCH($F60,'Base Searches'!$B$6:$B$35,0)),"BASE NOT FOUND")))</x:f>
      </x:c>
      <x:c r="Q60" s="48" t="str">
        <x:f>IF(OR($A60&lt;&gt;"Yes",$B60=""),"",IF($H60&lt;&gt;"","| search "&amp;$H60,"")&amp;IF($I60&lt;&gt;"",IF($H60&lt;&gt;"",CHAR(10),"")&amp;$I60,"")&amp;IF($J60&lt;&gt;"",IF(OR($H60&lt;&gt;"",$I60&lt;&gt;""),CHAR(10),"")&amp;$J60,""))</x:f>
      </x:c>
      <x:c r="R60" s="48" t="str">
        <x:f>IF(OR($A60&lt;&gt;"Yes",$B60=""),"",IF($K60&lt;&gt;"Yes","Count disabled",IF($H60&lt;&gt;"","| search "&amp;$H60,"")&amp;IF($I60&lt;&gt;"",IF($H60&lt;&gt;"",CHAR(10),"")&amp;$I60,"")&amp;IF(OR($H60&lt;&gt;"",$I60&lt;&gt;""),CHAR(10),"")&amp;"| stats count as count"&amp;IF($L60&lt;&gt;""," by "&amp;$L60,"")&amp;IF($M60&lt;&gt;"",CHAR(10)&amp;"| where count &gt;= "&amp;$M60,"")&amp;CHAR(10)&amp;"| sort - count"))</x:f>
      </x:c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8" t="str">
        <x:f>IF($A61&lt;&gt;"Yes","",IF($G61&lt;&gt;"",IFERROR(INDEX($O$6:$O$205,MATCH($G61,$B$6:$B$205,0)),"PARENT SEARCH NOT FOUND"),IFERROR(INDEX('Base Searches'!$E$6:$E$35,MATCH($F61,'Base Searches'!$B$6:$B$35,0)),"BASE NOT FOUND")))</x:f>
      </x:c>
      <x:c r="Q61" s="48" t="str">
        <x:f>IF(OR($A61&lt;&gt;"Yes",$B61=""),"",IF($H61&lt;&gt;"","| search "&amp;$H61,"")&amp;IF($I61&lt;&gt;"",IF($H61&lt;&gt;"",CHAR(10),"")&amp;$I61,"")&amp;IF($J61&lt;&gt;"",IF(OR($H61&lt;&gt;"",$I61&lt;&gt;""),CHAR(10),"")&amp;$J61,""))</x:f>
      </x:c>
      <x:c r="R61" s="48" t="str">
        <x:f>IF(OR($A61&lt;&gt;"Yes",$B61=""),"",IF($K61&lt;&gt;"Yes","Count disabled",IF($H61&lt;&gt;"","| search "&amp;$H61,"")&amp;IF($I61&lt;&gt;"",IF($H61&lt;&gt;"",CHAR(10),"")&amp;$I61,"")&amp;IF(OR($H61&lt;&gt;"",$I61&lt;&gt;""),CHAR(10),"")&amp;"| stats count as count"&amp;IF($L61&lt;&gt;""," by "&amp;$L61,"")&amp;IF($M61&lt;&gt;"",CHAR(10)&amp;"| where count &gt;= "&amp;$M61,"")&amp;CHAR(10)&amp;"| sort - count"))</x:f>
      </x:c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8" t="str">
        <x:f>IF($A62&lt;&gt;"Yes","",IF($G62&lt;&gt;"",IFERROR(INDEX($O$6:$O$205,MATCH($G62,$B$6:$B$205,0)),"PARENT SEARCH NOT FOUND"),IFERROR(INDEX('Base Searches'!$E$6:$E$35,MATCH($F62,'Base Searches'!$B$6:$B$35,0)),"BASE NOT FOUND")))</x:f>
      </x:c>
      <x:c r="Q62" s="48" t="str">
        <x:f>IF(OR($A62&lt;&gt;"Yes",$B62=""),"",IF($H62&lt;&gt;"","| search "&amp;$H62,"")&amp;IF($I62&lt;&gt;"",IF($H62&lt;&gt;"",CHAR(10),"")&amp;$I62,"")&amp;IF($J62&lt;&gt;"",IF(OR($H62&lt;&gt;"",$I62&lt;&gt;""),CHAR(10),"")&amp;$J62,""))</x:f>
      </x:c>
      <x:c r="R62" s="48" t="str">
        <x:f>IF(OR($A62&lt;&gt;"Yes",$B62=""),"",IF($K62&lt;&gt;"Yes","Count disabled",IF($H62&lt;&gt;"","| search "&amp;$H62,"")&amp;IF($I62&lt;&gt;"",IF($H62&lt;&gt;"",CHAR(10),"")&amp;$I62,"")&amp;IF(OR($H62&lt;&gt;"",$I62&lt;&gt;""),CHAR(10),"")&amp;"| stats count as count"&amp;IF($L62&lt;&gt;""," by "&amp;$L62,"")&amp;IF($M62&lt;&gt;"",CHAR(10)&amp;"| where count &gt;= "&amp;$M62,"")&amp;CHAR(10)&amp;"| sort - count"))</x:f>
      </x:c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8" t="str">
        <x:f>IF($A63&lt;&gt;"Yes","",IF($G63&lt;&gt;"",IFERROR(INDEX($O$6:$O$205,MATCH($G63,$B$6:$B$205,0)),"PARENT SEARCH NOT FOUND"),IFERROR(INDEX('Base Searches'!$E$6:$E$35,MATCH($F63,'Base Searches'!$B$6:$B$35,0)),"BASE NOT FOUND")))</x:f>
      </x:c>
      <x:c r="Q63" s="48" t="str">
        <x:f>IF(OR($A63&lt;&gt;"Yes",$B63=""),"",IF($H63&lt;&gt;"","| search "&amp;$H63,"")&amp;IF($I63&lt;&gt;"",IF($H63&lt;&gt;"",CHAR(10),"")&amp;$I63,"")&amp;IF($J63&lt;&gt;"",IF(OR($H63&lt;&gt;"",$I63&lt;&gt;""),CHAR(10),"")&amp;$J63,""))</x:f>
      </x:c>
      <x:c r="R63" s="48" t="str">
        <x:f>IF(OR($A63&lt;&gt;"Yes",$B63=""),"",IF($K63&lt;&gt;"Yes","Count disabled",IF($H63&lt;&gt;"","| search "&amp;$H63,"")&amp;IF($I63&lt;&gt;"",IF($H63&lt;&gt;"",CHAR(10),"")&amp;$I63,"")&amp;IF(OR($H63&lt;&gt;"",$I63&lt;&gt;""),CHAR(10),"")&amp;"| stats count as count"&amp;IF($L63&lt;&gt;""," by "&amp;$L63,"")&amp;IF($M63&lt;&gt;"",CHAR(10)&amp;"| where count &gt;= "&amp;$M63,"")&amp;CHAR(10)&amp;"| sort - count"))</x:f>
      </x:c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8" t="str">
        <x:f>IF($A64&lt;&gt;"Yes","",IF($G64&lt;&gt;"",IFERROR(INDEX($O$6:$O$205,MATCH($G64,$B$6:$B$205,0)),"PARENT SEARCH NOT FOUND"),IFERROR(INDEX('Base Searches'!$E$6:$E$35,MATCH($F64,'Base Searches'!$B$6:$B$35,0)),"BASE NOT FOUND")))</x:f>
      </x:c>
      <x:c r="Q64" s="48" t="str">
        <x:f>IF(OR($A64&lt;&gt;"Yes",$B64=""),"",IF($H64&lt;&gt;"","| search "&amp;$H64,"")&amp;IF($I64&lt;&gt;"",IF($H64&lt;&gt;"",CHAR(10),"")&amp;$I64,"")&amp;IF($J64&lt;&gt;"",IF(OR($H64&lt;&gt;"",$I64&lt;&gt;""),CHAR(10),"")&amp;$J64,""))</x:f>
      </x:c>
      <x:c r="R64" s="48" t="str">
        <x:f>IF(OR($A64&lt;&gt;"Yes",$B64=""),"",IF($K64&lt;&gt;"Yes","Count disabled",IF($H64&lt;&gt;"","| search "&amp;$H64,"")&amp;IF($I64&lt;&gt;"",IF($H64&lt;&gt;"",CHAR(10),"")&amp;$I64,"")&amp;IF(OR($H64&lt;&gt;"",$I64&lt;&gt;""),CHAR(10),"")&amp;"| stats count as count"&amp;IF($L64&lt;&gt;""," by "&amp;$L64,"")&amp;IF($M64&lt;&gt;"",CHAR(10)&amp;"| where count &gt;= "&amp;$M64,"")&amp;CHAR(10)&amp;"| sort - count"))</x:f>
      </x:c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8" t="str">
        <x:f>IF($A65&lt;&gt;"Yes","",IF($G65&lt;&gt;"",IFERROR(INDEX($O$6:$O$205,MATCH($G65,$B$6:$B$205,0)),"PARENT SEARCH NOT FOUND"),IFERROR(INDEX('Base Searches'!$E$6:$E$35,MATCH($F65,'Base Searches'!$B$6:$B$35,0)),"BASE NOT FOUND")))</x:f>
      </x:c>
      <x:c r="Q65" s="48" t="str">
        <x:f>IF(OR($A65&lt;&gt;"Yes",$B65=""),"",IF($H65&lt;&gt;"","| search "&amp;$H65,"")&amp;IF($I65&lt;&gt;"",IF($H65&lt;&gt;"",CHAR(10),"")&amp;$I65,"")&amp;IF($J65&lt;&gt;"",IF(OR($H65&lt;&gt;"",$I65&lt;&gt;""),CHAR(10),"")&amp;$J65,""))</x:f>
      </x:c>
      <x:c r="R65" s="48" t="str">
        <x:f>IF(OR($A65&lt;&gt;"Yes",$B65=""),"",IF($K65&lt;&gt;"Yes","Count disabled",IF($H65&lt;&gt;"","| search "&amp;$H65,"")&amp;IF($I65&lt;&gt;"",IF($H65&lt;&gt;"",CHAR(10),"")&amp;$I65,"")&amp;IF(OR($H65&lt;&gt;"",$I65&lt;&gt;""),CHAR(10),"")&amp;"| stats count as count"&amp;IF($L65&lt;&gt;""," by "&amp;$L65,"")&amp;IF($M65&lt;&gt;"",CHAR(10)&amp;"| where count &gt;= "&amp;$M65,"")&amp;CHAR(10)&amp;"| sort - count"))</x:f>
      </x:c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8" t="str">
        <x:f>IF($A66&lt;&gt;"Yes","",IF($G66&lt;&gt;"",IFERROR(INDEX($O$6:$O$205,MATCH($G66,$B$6:$B$205,0)),"PARENT SEARCH NOT FOUND"),IFERROR(INDEX('Base Searches'!$E$6:$E$35,MATCH($F66,'Base Searches'!$B$6:$B$35,0)),"BASE NOT FOUND")))</x:f>
      </x:c>
      <x:c r="Q66" s="48" t="str">
        <x:f>IF(OR($A66&lt;&gt;"Yes",$B66=""),"",IF($H66&lt;&gt;"","| search "&amp;$H66,"")&amp;IF($I66&lt;&gt;"",IF($H66&lt;&gt;"",CHAR(10),"")&amp;$I66,"")&amp;IF($J66&lt;&gt;"",IF(OR($H66&lt;&gt;"",$I66&lt;&gt;""),CHAR(10),"")&amp;$J66,""))</x:f>
      </x:c>
      <x:c r="R66" s="48" t="str">
        <x:f>IF(OR($A66&lt;&gt;"Yes",$B66=""),"",IF($K66&lt;&gt;"Yes","Count disabled",IF($H66&lt;&gt;"","| search "&amp;$H66,"")&amp;IF($I66&lt;&gt;"",IF($H66&lt;&gt;"",CHAR(10),"")&amp;$I66,"")&amp;IF(OR($H66&lt;&gt;"",$I66&lt;&gt;""),CHAR(10),"")&amp;"| stats count as count"&amp;IF($L66&lt;&gt;""," by "&amp;$L66,"")&amp;IF($M66&lt;&gt;"",CHAR(10)&amp;"| where count &gt;= "&amp;$M66,"")&amp;CHAR(10)&amp;"| sort - count"))</x:f>
      </x:c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8" t="str">
        <x:f>IF($A67&lt;&gt;"Yes","",IF($G67&lt;&gt;"",IFERROR(INDEX($O$6:$O$205,MATCH($G67,$B$6:$B$205,0)),"PARENT SEARCH NOT FOUND"),IFERROR(INDEX('Base Searches'!$E$6:$E$35,MATCH($F67,'Base Searches'!$B$6:$B$35,0)),"BASE NOT FOUND")))</x:f>
      </x:c>
      <x:c r="Q67" s="48" t="str">
        <x:f>IF(OR($A67&lt;&gt;"Yes",$B67=""),"",IF($H67&lt;&gt;"","| search "&amp;$H67,"")&amp;IF($I67&lt;&gt;"",IF($H67&lt;&gt;"",CHAR(10),"")&amp;$I67,"")&amp;IF($J67&lt;&gt;"",IF(OR($H67&lt;&gt;"",$I67&lt;&gt;""),CHAR(10),"")&amp;$J67,""))</x:f>
      </x:c>
      <x:c r="R67" s="48" t="str">
        <x:f>IF(OR($A67&lt;&gt;"Yes",$B67=""),"",IF($K67&lt;&gt;"Yes","Count disabled",IF($H67&lt;&gt;"","| search "&amp;$H67,"")&amp;IF($I67&lt;&gt;"",IF($H67&lt;&gt;"",CHAR(10),"")&amp;$I67,"")&amp;IF(OR($H67&lt;&gt;"",$I67&lt;&gt;""),CHAR(10),"")&amp;"| stats count as count"&amp;IF($L67&lt;&gt;""," by "&amp;$L67,"")&amp;IF($M67&lt;&gt;"",CHAR(10)&amp;"| where count &gt;= "&amp;$M67,"")&amp;CHAR(10)&amp;"| sort - count"))</x:f>
      </x:c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8" t="str">
        <x:f>IF($A68&lt;&gt;"Yes","",IF($G68&lt;&gt;"",IFERROR(INDEX($O$6:$O$205,MATCH($G68,$B$6:$B$205,0)),"PARENT SEARCH NOT FOUND"),IFERROR(INDEX('Base Searches'!$E$6:$E$35,MATCH($F68,'Base Searches'!$B$6:$B$35,0)),"BASE NOT FOUND")))</x:f>
      </x:c>
      <x:c r="Q68" s="48" t="str">
        <x:f>IF(OR($A68&lt;&gt;"Yes",$B68=""),"",IF($H68&lt;&gt;"","| search "&amp;$H68,"")&amp;IF($I68&lt;&gt;"",IF($H68&lt;&gt;"",CHAR(10),"")&amp;$I68,"")&amp;IF($J68&lt;&gt;"",IF(OR($H68&lt;&gt;"",$I68&lt;&gt;""),CHAR(10),"")&amp;$J68,""))</x:f>
      </x:c>
      <x:c r="R68" s="48" t="str">
        <x:f>IF(OR($A68&lt;&gt;"Yes",$B68=""),"",IF($K68&lt;&gt;"Yes","Count disabled",IF($H68&lt;&gt;"","| search "&amp;$H68,"")&amp;IF($I68&lt;&gt;"",IF($H68&lt;&gt;"",CHAR(10),"")&amp;$I68,"")&amp;IF(OR($H68&lt;&gt;"",$I68&lt;&gt;""),CHAR(10),"")&amp;"| stats count as count"&amp;IF($L68&lt;&gt;""," by "&amp;$L68,"")&amp;IF($M68&lt;&gt;"",CHAR(10)&amp;"| where count &gt;= "&amp;$M68,"")&amp;CHAR(10)&amp;"| sort - count"))</x:f>
      </x:c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8" t="str">
        <x:f>IF($A69&lt;&gt;"Yes","",IF($G69&lt;&gt;"",IFERROR(INDEX($O$6:$O$205,MATCH($G69,$B$6:$B$205,0)),"PARENT SEARCH NOT FOUND"),IFERROR(INDEX('Base Searches'!$E$6:$E$35,MATCH($F69,'Base Searches'!$B$6:$B$35,0)),"BASE NOT FOUND")))</x:f>
      </x:c>
      <x:c r="Q69" s="48" t="str">
        <x:f>IF(OR($A69&lt;&gt;"Yes",$B69=""),"",IF($H69&lt;&gt;"","| search "&amp;$H69,"")&amp;IF($I69&lt;&gt;"",IF($H69&lt;&gt;"",CHAR(10),"")&amp;$I69,"")&amp;IF($J69&lt;&gt;"",IF(OR($H69&lt;&gt;"",$I69&lt;&gt;""),CHAR(10),"")&amp;$J69,""))</x:f>
      </x:c>
      <x:c r="R69" s="48" t="str">
        <x:f>IF(OR($A69&lt;&gt;"Yes",$B69=""),"",IF($K69&lt;&gt;"Yes","Count disabled",IF($H69&lt;&gt;"","| search "&amp;$H69,"")&amp;IF($I69&lt;&gt;"",IF($H69&lt;&gt;"",CHAR(10),"")&amp;$I69,"")&amp;IF(OR($H69&lt;&gt;"",$I69&lt;&gt;""),CHAR(10),"")&amp;"| stats count as count"&amp;IF($L69&lt;&gt;""," by "&amp;$L69,"")&amp;IF($M69&lt;&gt;"",CHAR(10)&amp;"| where count &gt;= "&amp;$M69,"")&amp;CHAR(10)&amp;"| sort - count"))</x:f>
      </x:c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8" t="str">
        <x:f>IF($A70&lt;&gt;"Yes","",IF($G70&lt;&gt;"",IFERROR(INDEX($O$6:$O$205,MATCH($G70,$B$6:$B$205,0)),"PARENT SEARCH NOT FOUND"),IFERROR(INDEX('Base Searches'!$E$6:$E$35,MATCH($F70,'Base Searches'!$B$6:$B$35,0)),"BASE NOT FOUND")))</x:f>
      </x:c>
      <x:c r="Q70" s="48" t="str">
        <x:f>IF(OR($A70&lt;&gt;"Yes",$B70=""),"",IF($H70&lt;&gt;"","| search "&amp;$H70,"")&amp;IF($I70&lt;&gt;"",IF($H70&lt;&gt;"",CHAR(10),"")&amp;$I70,"")&amp;IF($J70&lt;&gt;"",IF(OR($H70&lt;&gt;"",$I70&lt;&gt;""),CHAR(10),"")&amp;$J70,""))</x:f>
      </x:c>
      <x:c r="R70" s="48" t="str">
        <x:f>IF(OR($A70&lt;&gt;"Yes",$B70=""),"",IF($K70&lt;&gt;"Yes","Count disabled",IF($H70&lt;&gt;"","| search "&amp;$H70,"")&amp;IF($I70&lt;&gt;"",IF($H70&lt;&gt;"",CHAR(10),"")&amp;$I70,"")&amp;IF(OR($H70&lt;&gt;"",$I70&lt;&gt;""),CHAR(10),"")&amp;"| stats count as count"&amp;IF($L70&lt;&gt;""," by "&amp;$L70,"")&amp;IF($M70&lt;&gt;"",CHAR(10)&amp;"| where count &gt;= "&amp;$M70,"")&amp;CHAR(10)&amp;"| sort - count"))</x:f>
      </x:c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8" t="str">
        <x:f>IF($A71&lt;&gt;"Yes","",IF($G71&lt;&gt;"",IFERROR(INDEX($O$6:$O$205,MATCH($G71,$B$6:$B$205,0)),"PARENT SEARCH NOT FOUND"),IFERROR(INDEX('Base Searches'!$E$6:$E$35,MATCH($F71,'Base Searches'!$B$6:$B$35,0)),"BASE NOT FOUND")))</x:f>
      </x:c>
      <x:c r="Q71" s="48" t="str">
        <x:f>IF(OR($A71&lt;&gt;"Yes",$B71=""),"",IF($H71&lt;&gt;"","| search "&amp;$H71,"")&amp;IF($I71&lt;&gt;"",IF($H71&lt;&gt;"",CHAR(10),"")&amp;$I71,"")&amp;IF($J71&lt;&gt;"",IF(OR($H71&lt;&gt;"",$I71&lt;&gt;""),CHAR(10),"")&amp;$J71,""))</x:f>
      </x:c>
      <x:c r="R71" s="48" t="str">
        <x:f>IF(OR($A71&lt;&gt;"Yes",$B71=""),"",IF($K71&lt;&gt;"Yes","Count disabled",IF($H71&lt;&gt;"","| search "&amp;$H71,"")&amp;IF($I71&lt;&gt;"",IF($H71&lt;&gt;"",CHAR(10),"")&amp;$I71,"")&amp;IF(OR($H71&lt;&gt;"",$I71&lt;&gt;""),CHAR(10),"")&amp;"| stats count as count"&amp;IF($L71&lt;&gt;""," by "&amp;$L71,"")&amp;IF($M71&lt;&gt;"",CHAR(10)&amp;"| where count &gt;= "&amp;$M71,"")&amp;CHAR(10)&amp;"| sort - count"))</x:f>
      </x:c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8" t="str">
        <x:f>IF($A72&lt;&gt;"Yes","",IF($G72&lt;&gt;"",IFERROR(INDEX($O$6:$O$205,MATCH($G72,$B$6:$B$205,0)),"PARENT SEARCH NOT FOUND"),IFERROR(INDEX('Base Searches'!$E$6:$E$35,MATCH($F72,'Base Searches'!$B$6:$B$35,0)),"BASE NOT FOUND")))</x:f>
      </x:c>
      <x:c r="Q72" s="48" t="str">
        <x:f>IF(OR($A72&lt;&gt;"Yes",$B72=""),"",IF($H72&lt;&gt;"","| search "&amp;$H72,"")&amp;IF($I72&lt;&gt;"",IF($H72&lt;&gt;"",CHAR(10),"")&amp;$I72,"")&amp;IF($J72&lt;&gt;"",IF(OR($H72&lt;&gt;"",$I72&lt;&gt;""),CHAR(10),"")&amp;$J72,""))</x:f>
      </x:c>
      <x:c r="R72" s="48" t="str">
        <x:f>IF(OR($A72&lt;&gt;"Yes",$B72=""),"",IF($K72&lt;&gt;"Yes","Count disabled",IF($H72&lt;&gt;"","| search "&amp;$H72,"")&amp;IF($I72&lt;&gt;"",IF($H72&lt;&gt;"",CHAR(10),"")&amp;$I72,"")&amp;IF(OR($H72&lt;&gt;"",$I72&lt;&gt;""),CHAR(10),"")&amp;"| stats count as count"&amp;IF($L72&lt;&gt;""," by "&amp;$L72,"")&amp;IF($M72&lt;&gt;"",CHAR(10)&amp;"| where count &gt;= "&amp;$M72,"")&amp;CHAR(10)&amp;"| sort - count"))</x:f>
      </x:c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8" t="str">
        <x:f>IF($A73&lt;&gt;"Yes","",IF($G73&lt;&gt;"",IFERROR(INDEX($O$6:$O$205,MATCH($G73,$B$6:$B$205,0)),"PARENT SEARCH NOT FOUND"),IFERROR(INDEX('Base Searches'!$E$6:$E$35,MATCH($F73,'Base Searches'!$B$6:$B$35,0)),"BASE NOT FOUND")))</x:f>
      </x:c>
      <x:c r="Q73" s="48" t="str">
        <x:f>IF(OR($A73&lt;&gt;"Yes",$B73=""),"",IF($H73&lt;&gt;"","| search "&amp;$H73,"")&amp;IF($I73&lt;&gt;"",IF($H73&lt;&gt;"",CHAR(10),"")&amp;$I73,"")&amp;IF($J73&lt;&gt;"",IF(OR($H73&lt;&gt;"",$I73&lt;&gt;""),CHAR(10),"")&amp;$J73,""))</x:f>
      </x:c>
      <x:c r="R73" s="48" t="str">
        <x:f>IF(OR($A73&lt;&gt;"Yes",$B73=""),"",IF($K73&lt;&gt;"Yes","Count disabled",IF($H73&lt;&gt;"","| search "&amp;$H73,"")&amp;IF($I73&lt;&gt;"",IF($H73&lt;&gt;"",CHAR(10),"")&amp;$I73,"")&amp;IF(OR($H73&lt;&gt;"",$I73&lt;&gt;""),CHAR(10),"")&amp;"| stats count as count"&amp;IF($L73&lt;&gt;""," by "&amp;$L73,"")&amp;IF($M73&lt;&gt;"",CHAR(10)&amp;"| where count &gt;= "&amp;$M73,"")&amp;CHAR(10)&amp;"| sort - count"))</x:f>
      </x:c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8" t="str">
        <x:f>IF($A74&lt;&gt;"Yes","",IF($G74&lt;&gt;"",IFERROR(INDEX($O$6:$O$205,MATCH($G74,$B$6:$B$205,0)),"PARENT SEARCH NOT FOUND"),IFERROR(INDEX('Base Searches'!$E$6:$E$35,MATCH($F74,'Base Searches'!$B$6:$B$35,0)),"BASE NOT FOUND")))</x:f>
      </x:c>
      <x:c r="Q74" s="48" t="str">
        <x:f>IF(OR($A74&lt;&gt;"Yes",$B74=""),"",IF($H74&lt;&gt;"","| search "&amp;$H74,"")&amp;IF($I74&lt;&gt;"",IF($H74&lt;&gt;"",CHAR(10),"")&amp;$I74,"")&amp;IF($J74&lt;&gt;"",IF(OR($H74&lt;&gt;"",$I74&lt;&gt;""),CHAR(10),"")&amp;$J74,""))</x:f>
      </x:c>
      <x:c r="R74" s="48" t="str">
        <x:f>IF(OR($A74&lt;&gt;"Yes",$B74=""),"",IF($K74&lt;&gt;"Yes","Count disabled",IF($H74&lt;&gt;"","| search "&amp;$H74,"")&amp;IF($I74&lt;&gt;"",IF($H74&lt;&gt;"",CHAR(10),"")&amp;$I74,"")&amp;IF(OR($H74&lt;&gt;"",$I74&lt;&gt;""),CHAR(10),"")&amp;"| stats count as count"&amp;IF($L74&lt;&gt;""," by "&amp;$L74,"")&amp;IF($M74&lt;&gt;"",CHAR(10)&amp;"| where count &gt;= "&amp;$M74,"")&amp;CHAR(10)&amp;"| sort - count"))</x:f>
      </x:c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8" t="str">
        <x:f>IF($A75&lt;&gt;"Yes","",IF($G75&lt;&gt;"",IFERROR(INDEX($O$6:$O$205,MATCH($G75,$B$6:$B$205,0)),"PARENT SEARCH NOT FOUND"),IFERROR(INDEX('Base Searches'!$E$6:$E$35,MATCH($F75,'Base Searches'!$B$6:$B$35,0)),"BASE NOT FOUND")))</x:f>
      </x:c>
      <x:c r="Q75" s="48" t="str">
        <x:f>IF(OR($A75&lt;&gt;"Yes",$B75=""),"",IF($H75&lt;&gt;"","| search "&amp;$H75,"")&amp;IF($I75&lt;&gt;"",IF($H75&lt;&gt;"",CHAR(10),"")&amp;$I75,"")&amp;IF($J75&lt;&gt;"",IF(OR($H75&lt;&gt;"",$I75&lt;&gt;""),CHAR(10),"")&amp;$J75,""))</x:f>
      </x:c>
      <x:c r="R75" s="48" t="str">
        <x:f>IF(OR($A75&lt;&gt;"Yes",$B75=""),"",IF($K75&lt;&gt;"Yes","Count disabled",IF($H75&lt;&gt;"","| search "&amp;$H75,"")&amp;IF($I75&lt;&gt;"",IF($H75&lt;&gt;"",CHAR(10),"")&amp;$I75,"")&amp;IF(OR($H75&lt;&gt;"",$I75&lt;&gt;""),CHAR(10),"")&amp;"| stats count as count"&amp;IF($L75&lt;&gt;""," by "&amp;$L75,"")&amp;IF($M75&lt;&gt;"",CHAR(10)&amp;"| where count &gt;= "&amp;$M75,"")&amp;CHAR(10)&amp;"| sort - count"))</x:f>
      </x:c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8" t="str">
        <x:f>IF($A76&lt;&gt;"Yes","",IF($G76&lt;&gt;"",IFERROR(INDEX($O$6:$O$205,MATCH($G76,$B$6:$B$205,0)),"PARENT SEARCH NOT FOUND"),IFERROR(INDEX('Base Searches'!$E$6:$E$35,MATCH($F76,'Base Searches'!$B$6:$B$35,0)),"BASE NOT FOUND")))</x:f>
      </x:c>
      <x:c r="Q76" s="48" t="str">
        <x:f>IF(OR($A76&lt;&gt;"Yes",$B76=""),"",IF($H76&lt;&gt;"","| search "&amp;$H76,"")&amp;IF($I76&lt;&gt;"",IF($H76&lt;&gt;"",CHAR(10),"")&amp;$I76,"")&amp;IF($J76&lt;&gt;"",IF(OR($H76&lt;&gt;"",$I76&lt;&gt;""),CHAR(10),"")&amp;$J76,""))</x:f>
      </x:c>
      <x:c r="R76" s="48" t="str">
        <x:f>IF(OR($A76&lt;&gt;"Yes",$B76=""),"",IF($K76&lt;&gt;"Yes","Count disabled",IF($H76&lt;&gt;"","| search "&amp;$H76,"")&amp;IF($I76&lt;&gt;"",IF($H76&lt;&gt;"",CHAR(10),"")&amp;$I76,"")&amp;IF(OR($H76&lt;&gt;"",$I76&lt;&gt;""),CHAR(10),"")&amp;"| stats count as count"&amp;IF($L76&lt;&gt;""," by "&amp;$L76,"")&amp;IF($M76&lt;&gt;"",CHAR(10)&amp;"| where count &gt;= "&amp;$M76,"")&amp;CHAR(10)&amp;"| sort - count"))</x:f>
      </x:c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8" t="str">
        <x:f>IF($A77&lt;&gt;"Yes","",IF($G77&lt;&gt;"",IFERROR(INDEX($O$6:$O$205,MATCH($G77,$B$6:$B$205,0)),"PARENT SEARCH NOT FOUND"),IFERROR(INDEX('Base Searches'!$E$6:$E$35,MATCH($F77,'Base Searches'!$B$6:$B$35,0)),"BASE NOT FOUND")))</x:f>
      </x:c>
      <x:c r="Q77" s="48" t="str">
        <x:f>IF(OR($A77&lt;&gt;"Yes",$B77=""),"",IF($H77&lt;&gt;"","| search "&amp;$H77,"")&amp;IF($I77&lt;&gt;"",IF($H77&lt;&gt;"",CHAR(10),"")&amp;$I77,"")&amp;IF($J77&lt;&gt;"",IF(OR($H77&lt;&gt;"",$I77&lt;&gt;""),CHAR(10),"")&amp;$J77,""))</x:f>
      </x:c>
      <x:c r="R77" s="48" t="str">
        <x:f>IF(OR($A77&lt;&gt;"Yes",$B77=""),"",IF($K77&lt;&gt;"Yes","Count disabled",IF($H77&lt;&gt;"","| search "&amp;$H77,"")&amp;IF($I77&lt;&gt;"",IF($H77&lt;&gt;"",CHAR(10),"")&amp;$I77,"")&amp;IF(OR($H77&lt;&gt;"",$I77&lt;&gt;""),CHAR(10),"")&amp;"| stats count as count"&amp;IF($L77&lt;&gt;""," by "&amp;$L77,"")&amp;IF($M77&lt;&gt;"",CHAR(10)&amp;"| where count &gt;= "&amp;$M77,"")&amp;CHAR(10)&amp;"| sort - count"))</x:f>
      </x:c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8" t="str">
        <x:f>IF($A78&lt;&gt;"Yes","",IF($G78&lt;&gt;"",IFERROR(INDEX($O$6:$O$205,MATCH($G78,$B$6:$B$205,0)),"PARENT SEARCH NOT FOUND"),IFERROR(INDEX('Base Searches'!$E$6:$E$35,MATCH($F78,'Base Searches'!$B$6:$B$35,0)),"BASE NOT FOUND")))</x:f>
      </x:c>
      <x:c r="Q78" s="48" t="str">
        <x:f>IF(OR($A78&lt;&gt;"Yes",$B78=""),"",IF($H78&lt;&gt;"","| search "&amp;$H78,"")&amp;IF($I78&lt;&gt;"",IF($H78&lt;&gt;"",CHAR(10),"")&amp;$I78,"")&amp;IF($J78&lt;&gt;"",IF(OR($H78&lt;&gt;"",$I78&lt;&gt;""),CHAR(10),"")&amp;$J78,""))</x:f>
      </x:c>
      <x:c r="R78" s="48" t="str">
        <x:f>IF(OR($A78&lt;&gt;"Yes",$B78=""),"",IF($K78&lt;&gt;"Yes","Count disabled",IF($H78&lt;&gt;"","| search "&amp;$H78,"")&amp;IF($I78&lt;&gt;"",IF($H78&lt;&gt;"",CHAR(10),"")&amp;$I78,"")&amp;IF(OR($H78&lt;&gt;"",$I78&lt;&gt;""),CHAR(10),"")&amp;"| stats count as count"&amp;IF($L78&lt;&gt;""," by "&amp;$L78,"")&amp;IF($M78&lt;&gt;"",CHAR(10)&amp;"| where count &gt;= "&amp;$M78,"")&amp;CHAR(10)&amp;"| sort - count"))</x:f>
      </x:c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8" t="str">
        <x:f>IF($A79&lt;&gt;"Yes","",IF($G79&lt;&gt;"",IFERROR(INDEX($O$6:$O$205,MATCH($G79,$B$6:$B$205,0)),"PARENT SEARCH NOT FOUND"),IFERROR(INDEX('Base Searches'!$E$6:$E$35,MATCH($F79,'Base Searches'!$B$6:$B$35,0)),"BASE NOT FOUND")))</x:f>
      </x:c>
      <x:c r="Q79" s="48" t="str">
        <x:f>IF(OR($A79&lt;&gt;"Yes",$B79=""),"",IF($H79&lt;&gt;"","| search "&amp;$H79,"")&amp;IF($I79&lt;&gt;"",IF($H79&lt;&gt;"",CHAR(10),"")&amp;$I79,"")&amp;IF($J79&lt;&gt;"",IF(OR($H79&lt;&gt;"",$I79&lt;&gt;""),CHAR(10),"")&amp;$J79,""))</x:f>
      </x:c>
      <x:c r="R79" s="48" t="str">
        <x:f>IF(OR($A79&lt;&gt;"Yes",$B79=""),"",IF($K79&lt;&gt;"Yes","Count disabled",IF($H79&lt;&gt;"","| search "&amp;$H79,"")&amp;IF($I79&lt;&gt;"",IF($H79&lt;&gt;"",CHAR(10),"")&amp;$I79,"")&amp;IF(OR($H79&lt;&gt;"",$I79&lt;&gt;""),CHAR(10),"")&amp;"| stats count as count"&amp;IF($L79&lt;&gt;""," by "&amp;$L79,"")&amp;IF($M79&lt;&gt;"",CHAR(10)&amp;"| where count &gt;= "&amp;$M79,"")&amp;CHAR(10)&amp;"| sort - count"))</x:f>
      </x:c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8" t="str">
        <x:f>IF($A80&lt;&gt;"Yes","",IF($G80&lt;&gt;"",IFERROR(INDEX($O$6:$O$205,MATCH($G80,$B$6:$B$205,0)),"PARENT SEARCH NOT FOUND"),IFERROR(INDEX('Base Searches'!$E$6:$E$35,MATCH($F80,'Base Searches'!$B$6:$B$35,0)),"BASE NOT FOUND")))</x:f>
      </x:c>
      <x:c r="Q80" s="48" t="str">
        <x:f>IF(OR($A80&lt;&gt;"Yes",$B80=""),"",IF($H80&lt;&gt;"","| search "&amp;$H80,"")&amp;IF($I80&lt;&gt;"",IF($H80&lt;&gt;"",CHAR(10),"")&amp;$I80,"")&amp;IF($J80&lt;&gt;"",IF(OR($H80&lt;&gt;"",$I80&lt;&gt;""),CHAR(10),"")&amp;$J80,""))</x:f>
      </x:c>
      <x:c r="R80" s="48" t="str">
        <x:f>IF(OR($A80&lt;&gt;"Yes",$B80=""),"",IF($K80&lt;&gt;"Yes","Count disabled",IF($H80&lt;&gt;"","| search "&amp;$H80,"")&amp;IF($I80&lt;&gt;"",IF($H80&lt;&gt;"",CHAR(10),"")&amp;$I80,"")&amp;IF(OR($H80&lt;&gt;"",$I80&lt;&gt;""),CHAR(10),"")&amp;"| stats count as count"&amp;IF($L80&lt;&gt;""," by "&amp;$L80,"")&amp;IF($M80&lt;&gt;"",CHAR(10)&amp;"| where count &gt;= "&amp;$M80,"")&amp;CHAR(10)&amp;"| sort - count"))</x:f>
      </x:c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8" t="str">
        <x:f>IF($A81&lt;&gt;"Yes","",IF($G81&lt;&gt;"",IFERROR(INDEX($O$6:$O$205,MATCH($G81,$B$6:$B$205,0)),"PARENT SEARCH NOT FOUND"),IFERROR(INDEX('Base Searches'!$E$6:$E$35,MATCH($F81,'Base Searches'!$B$6:$B$35,0)),"BASE NOT FOUND")))</x:f>
      </x:c>
      <x:c r="Q81" s="48" t="str">
        <x:f>IF(OR($A81&lt;&gt;"Yes",$B81=""),"",IF($H81&lt;&gt;"","| search "&amp;$H81,"")&amp;IF($I81&lt;&gt;"",IF($H81&lt;&gt;"",CHAR(10),"")&amp;$I81,"")&amp;IF($J81&lt;&gt;"",IF(OR($H81&lt;&gt;"",$I81&lt;&gt;""),CHAR(10),"")&amp;$J81,""))</x:f>
      </x:c>
      <x:c r="R81" s="48" t="str">
        <x:f>IF(OR($A81&lt;&gt;"Yes",$B81=""),"",IF($K81&lt;&gt;"Yes","Count disabled",IF($H81&lt;&gt;"","| search "&amp;$H81,"")&amp;IF($I81&lt;&gt;"",IF($H81&lt;&gt;"",CHAR(10),"")&amp;$I81,"")&amp;IF(OR($H81&lt;&gt;"",$I81&lt;&gt;""),CHAR(10),"")&amp;"| stats count as count"&amp;IF($L81&lt;&gt;""," by "&amp;$L81,"")&amp;IF($M81&lt;&gt;"",CHAR(10)&amp;"| where count &gt;= "&amp;$M81,"")&amp;CHAR(10)&amp;"| sort - count"))</x:f>
      </x:c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8" t="str">
        <x:f>IF($A82&lt;&gt;"Yes","",IF($G82&lt;&gt;"",IFERROR(INDEX($O$6:$O$205,MATCH($G82,$B$6:$B$205,0)),"PARENT SEARCH NOT FOUND"),IFERROR(INDEX('Base Searches'!$E$6:$E$35,MATCH($F82,'Base Searches'!$B$6:$B$35,0)),"BASE NOT FOUND")))</x:f>
      </x:c>
      <x:c r="Q82" s="48" t="str">
        <x:f>IF(OR($A82&lt;&gt;"Yes",$B82=""),"",IF($H82&lt;&gt;"","| search "&amp;$H82,"")&amp;IF($I82&lt;&gt;"",IF($H82&lt;&gt;"",CHAR(10),"")&amp;$I82,"")&amp;IF($J82&lt;&gt;"",IF(OR($H82&lt;&gt;"",$I82&lt;&gt;""),CHAR(10),"")&amp;$J82,""))</x:f>
      </x:c>
      <x:c r="R82" s="48" t="str">
        <x:f>IF(OR($A82&lt;&gt;"Yes",$B82=""),"",IF($K82&lt;&gt;"Yes","Count disabled",IF($H82&lt;&gt;"","| search "&amp;$H82,"")&amp;IF($I82&lt;&gt;"",IF($H82&lt;&gt;"",CHAR(10),"")&amp;$I82,"")&amp;IF(OR($H82&lt;&gt;"",$I82&lt;&gt;""),CHAR(10),"")&amp;"| stats count as count"&amp;IF($L82&lt;&gt;""," by "&amp;$L82,"")&amp;IF($M82&lt;&gt;"",CHAR(10)&amp;"| where count &gt;= "&amp;$M82,"")&amp;CHAR(10)&amp;"| sort - count"))</x:f>
      </x:c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8" t="str">
        <x:f>IF($A83&lt;&gt;"Yes","",IF($G83&lt;&gt;"",IFERROR(INDEX($O$6:$O$205,MATCH($G83,$B$6:$B$205,0)),"PARENT SEARCH NOT FOUND"),IFERROR(INDEX('Base Searches'!$E$6:$E$35,MATCH($F83,'Base Searches'!$B$6:$B$35,0)),"BASE NOT FOUND")))</x:f>
      </x:c>
      <x:c r="Q83" s="48" t="str">
        <x:f>IF(OR($A83&lt;&gt;"Yes",$B83=""),"",IF($H83&lt;&gt;"","| search "&amp;$H83,"")&amp;IF($I83&lt;&gt;"",IF($H83&lt;&gt;"",CHAR(10),"")&amp;$I83,"")&amp;IF($J83&lt;&gt;"",IF(OR($H83&lt;&gt;"",$I83&lt;&gt;""),CHAR(10),"")&amp;$J83,""))</x:f>
      </x:c>
      <x:c r="R83" s="48" t="str">
        <x:f>IF(OR($A83&lt;&gt;"Yes",$B83=""),"",IF($K83&lt;&gt;"Yes","Count disabled",IF($H83&lt;&gt;"","| search "&amp;$H83,"")&amp;IF($I83&lt;&gt;"",IF($H83&lt;&gt;"",CHAR(10),"")&amp;$I83,"")&amp;IF(OR($H83&lt;&gt;"",$I83&lt;&gt;""),CHAR(10),"")&amp;"| stats count as count"&amp;IF($L83&lt;&gt;""," by "&amp;$L83,"")&amp;IF($M83&lt;&gt;"",CHAR(10)&amp;"| where count &gt;= "&amp;$M83,"")&amp;CHAR(10)&amp;"| sort - count"))</x:f>
      </x:c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8" t="str">
        <x:f>IF($A84&lt;&gt;"Yes","",IF($G84&lt;&gt;"",IFERROR(INDEX($O$6:$O$205,MATCH($G84,$B$6:$B$205,0)),"PARENT SEARCH NOT FOUND"),IFERROR(INDEX('Base Searches'!$E$6:$E$35,MATCH($F84,'Base Searches'!$B$6:$B$35,0)),"BASE NOT FOUND")))</x:f>
      </x:c>
      <x:c r="Q84" s="48" t="str">
        <x:f>IF(OR($A84&lt;&gt;"Yes",$B84=""),"",IF($H84&lt;&gt;"","| search "&amp;$H84,"")&amp;IF($I84&lt;&gt;"",IF($H84&lt;&gt;"",CHAR(10),"")&amp;$I84,"")&amp;IF($J84&lt;&gt;"",IF(OR($H84&lt;&gt;"",$I84&lt;&gt;""),CHAR(10),"")&amp;$J84,""))</x:f>
      </x:c>
      <x:c r="R84" s="48" t="str">
        <x:f>IF(OR($A84&lt;&gt;"Yes",$B84=""),"",IF($K84&lt;&gt;"Yes","Count disabled",IF($H84&lt;&gt;"","| search "&amp;$H84,"")&amp;IF($I84&lt;&gt;"",IF($H84&lt;&gt;"",CHAR(10),"")&amp;$I84,"")&amp;IF(OR($H84&lt;&gt;"",$I84&lt;&gt;""),CHAR(10),"")&amp;"| stats count as count"&amp;IF($L84&lt;&gt;""," by "&amp;$L84,"")&amp;IF($M84&lt;&gt;"",CHAR(10)&amp;"| where count &gt;= "&amp;$M84,"")&amp;CHAR(10)&amp;"| sort - count"))</x:f>
      </x:c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8" t="str">
        <x:f>IF($A85&lt;&gt;"Yes","",IF($G85&lt;&gt;"",IFERROR(INDEX($O$6:$O$205,MATCH($G85,$B$6:$B$205,0)),"PARENT SEARCH NOT FOUND"),IFERROR(INDEX('Base Searches'!$E$6:$E$35,MATCH($F85,'Base Searches'!$B$6:$B$35,0)),"BASE NOT FOUND")))</x:f>
      </x:c>
      <x:c r="Q85" s="48" t="str">
        <x:f>IF(OR($A85&lt;&gt;"Yes",$B85=""),"",IF($H85&lt;&gt;"","| search "&amp;$H85,"")&amp;IF($I85&lt;&gt;"",IF($H85&lt;&gt;"",CHAR(10),"")&amp;$I85,"")&amp;IF($J85&lt;&gt;"",IF(OR($H85&lt;&gt;"",$I85&lt;&gt;""),CHAR(10),"")&amp;$J85,""))</x:f>
      </x:c>
      <x:c r="R85" s="48" t="str">
        <x:f>IF(OR($A85&lt;&gt;"Yes",$B85=""),"",IF($K85&lt;&gt;"Yes","Count disabled",IF($H85&lt;&gt;"","| search "&amp;$H85,"")&amp;IF($I85&lt;&gt;"",IF($H85&lt;&gt;"",CHAR(10),"")&amp;$I85,"")&amp;IF(OR($H85&lt;&gt;"",$I85&lt;&gt;""),CHAR(10),"")&amp;"| stats count as count"&amp;IF($L85&lt;&gt;""," by "&amp;$L85,"")&amp;IF($M85&lt;&gt;"",CHAR(10)&amp;"| where count &gt;= "&amp;$M85,"")&amp;CHAR(10)&amp;"| sort - count"))</x:f>
      </x:c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8" t="str">
        <x:f>IF($A86&lt;&gt;"Yes","",IF($G86&lt;&gt;"",IFERROR(INDEX($O$6:$O$205,MATCH($G86,$B$6:$B$205,0)),"PARENT SEARCH NOT FOUND"),IFERROR(INDEX('Base Searches'!$E$6:$E$35,MATCH($F86,'Base Searches'!$B$6:$B$35,0)),"BASE NOT FOUND")))</x:f>
      </x:c>
      <x:c r="Q86" s="48" t="str">
        <x:f>IF(OR($A86&lt;&gt;"Yes",$B86=""),"",IF($H86&lt;&gt;"","| search "&amp;$H86,"")&amp;IF($I86&lt;&gt;"",IF($H86&lt;&gt;"",CHAR(10),"")&amp;$I86,"")&amp;IF($J86&lt;&gt;"",IF(OR($H86&lt;&gt;"",$I86&lt;&gt;""),CHAR(10),"")&amp;$J86,""))</x:f>
      </x:c>
      <x:c r="R86" s="48" t="str">
        <x:f>IF(OR($A86&lt;&gt;"Yes",$B86=""),"",IF($K86&lt;&gt;"Yes","Count disabled",IF($H86&lt;&gt;"","| search "&amp;$H86,"")&amp;IF($I86&lt;&gt;"",IF($H86&lt;&gt;"",CHAR(10),"")&amp;$I86,"")&amp;IF(OR($H86&lt;&gt;"",$I86&lt;&gt;""),CHAR(10),"")&amp;"| stats count as count"&amp;IF($L86&lt;&gt;""," by "&amp;$L86,"")&amp;IF($M86&lt;&gt;"",CHAR(10)&amp;"| where count &gt;= "&amp;$M86,"")&amp;CHAR(10)&amp;"| sort - count"))</x:f>
      </x:c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8" t="str">
        <x:f>IF($A87&lt;&gt;"Yes","",IF($G87&lt;&gt;"",IFERROR(INDEX($O$6:$O$205,MATCH($G87,$B$6:$B$205,0)),"PARENT SEARCH NOT FOUND"),IFERROR(INDEX('Base Searches'!$E$6:$E$35,MATCH($F87,'Base Searches'!$B$6:$B$35,0)),"BASE NOT FOUND")))</x:f>
      </x:c>
      <x:c r="Q87" s="48" t="str">
        <x:f>IF(OR($A87&lt;&gt;"Yes",$B87=""),"",IF($H87&lt;&gt;"","| search "&amp;$H87,"")&amp;IF($I87&lt;&gt;"",IF($H87&lt;&gt;"",CHAR(10),"")&amp;$I87,"")&amp;IF($J87&lt;&gt;"",IF(OR($H87&lt;&gt;"",$I87&lt;&gt;""),CHAR(10),"")&amp;$J87,""))</x:f>
      </x:c>
      <x:c r="R87" s="48" t="str">
        <x:f>IF(OR($A87&lt;&gt;"Yes",$B87=""),"",IF($K87&lt;&gt;"Yes","Count disabled",IF($H87&lt;&gt;"","| search "&amp;$H87,"")&amp;IF($I87&lt;&gt;"",IF($H87&lt;&gt;"",CHAR(10),"")&amp;$I87,"")&amp;IF(OR($H87&lt;&gt;"",$I87&lt;&gt;""),CHAR(10),"")&amp;"| stats count as count"&amp;IF($L87&lt;&gt;""," by "&amp;$L87,"")&amp;IF($M87&lt;&gt;"",CHAR(10)&amp;"| where count &gt;= "&amp;$M87,"")&amp;CHAR(10)&amp;"| sort - count"))</x:f>
      </x:c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8" t="str">
        <x:f>IF($A88&lt;&gt;"Yes","",IF($G88&lt;&gt;"",IFERROR(INDEX($O$6:$O$205,MATCH($G88,$B$6:$B$205,0)),"PARENT SEARCH NOT FOUND"),IFERROR(INDEX('Base Searches'!$E$6:$E$35,MATCH($F88,'Base Searches'!$B$6:$B$35,0)),"BASE NOT FOUND")))</x:f>
      </x:c>
      <x:c r="Q88" s="48" t="str">
        <x:f>IF(OR($A88&lt;&gt;"Yes",$B88=""),"",IF($H88&lt;&gt;"","| search "&amp;$H88,"")&amp;IF($I88&lt;&gt;"",IF($H88&lt;&gt;"",CHAR(10),"")&amp;$I88,"")&amp;IF($J88&lt;&gt;"",IF(OR($H88&lt;&gt;"",$I88&lt;&gt;""),CHAR(10),"")&amp;$J88,""))</x:f>
      </x:c>
      <x:c r="R88" s="48" t="str">
        <x:f>IF(OR($A88&lt;&gt;"Yes",$B88=""),"",IF($K88&lt;&gt;"Yes","Count disabled",IF($H88&lt;&gt;"","| search "&amp;$H88,"")&amp;IF($I88&lt;&gt;"",IF($H88&lt;&gt;"",CHAR(10),"")&amp;$I88,"")&amp;IF(OR($H88&lt;&gt;"",$I88&lt;&gt;""),CHAR(10),"")&amp;"| stats count as count"&amp;IF($L88&lt;&gt;""," by "&amp;$L88,"")&amp;IF($M88&lt;&gt;"",CHAR(10)&amp;"| where count &gt;= "&amp;$M88,"")&amp;CHAR(10)&amp;"| sort - count"))</x:f>
      </x:c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8" t="str">
        <x:f>IF($A89&lt;&gt;"Yes","",IF($G89&lt;&gt;"",IFERROR(INDEX($O$6:$O$205,MATCH($G89,$B$6:$B$205,0)),"PARENT SEARCH NOT FOUND"),IFERROR(INDEX('Base Searches'!$E$6:$E$35,MATCH($F89,'Base Searches'!$B$6:$B$35,0)),"BASE NOT FOUND")))</x:f>
      </x:c>
      <x:c r="Q89" s="48" t="str">
        <x:f>IF(OR($A89&lt;&gt;"Yes",$B89=""),"",IF($H89&lt;&gt;"","| search "&amp;$H89,"")&amp;IF($I89&lt;&gt;"",IF($H89&lt;&gt;"",CHAR(10),"")&amp;$I89,"")&amp;IF($J89&lt;&gt;"",IF(OR($H89&lt;&gt;"",$I89&lt;&gt;""),CHAR(10),"")&amp;$J89,""))</x:f>
      </x:c>
      <x:c r="R89" s="48" t="str">
        <x:f>IF(OR($A89&lt;&gt;"Yes",$B89=""),"",IF($K89&lt;&gt;"Yes","Count disabled",IF($H89&lt;&gt;"","| search "&amp;$H89,"")&amp;IF($I89&lt;&gt;"",IF($H89&lt;&gt;"",CHAR(10),"")&amp;$I89,"")&amp;IF(OR($H89&lt;&gt;"",$I89&lt;&gt;""),CHAR(10),"")&amp;"| stats count as count"&amp;IF($L89&lt;&gt;""," by "&amp;$L89,"")&amp;IF($M89&lt;&gt;"",CHAR(10)&amp;"| where count &gt;= "&amp;$M89,"")&amp;CHAR(10)&amp;"| sort - count"))</x:f>
      </x:c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8" t="str">
        <x:f>IF($A90&lt;&gt;"Yes","",IF($G90&lt;&gt;"",IFERROR(INDEX($O$6:$O$205,MATCH($G90,$B$6:$B$205,0)),"PARENT SEARCH NOT FOUND"),IFERROR(INDEX('Base Searches'!$E$6:$E$35,MATCH($F90,'Base Searches'!$B$6:$B$35,0)),"BASE NOT FOUND")))</x:f>
      </x:c>
      <x:c r="Q90" s="48" t="str">
        <x:f>IF(OR($A90&lt;&gt;"Yes",$B90=""),"",IF($H90&lt;&gt;"","| search "&amp;$H90,"")&amp;IF($I90&lt;&gt;"",IF($H90&lt;&gt;"",CHAR(10),"")&amp;$I90,"")&amp;IF($J90&lt;&gt;"",IF(OR($H90&lt;&gt;"",$I90&lt;&gt;""),CHAR(10),"")&amp;$J90,""))</x:f>
      </x:c>
      <x:c r="R90" s="48" t="str">
        <x:f>IF(OR($A90&lt;&gt;"Yes",$B90=""),"",IF($K90&lt;&gt;"Yes","Count disabled",IF($H90&lt;&gt;"","| search "&amp;$H90,"")&amp;IF($I90&lt;&gt;"",IF($H90&lt;&gt;"",CHAR(10),"")&amp;$I90,"")&amp;IF(OR($H90&lt;&gt;"",$I90&lt;&gt;""),CHAR(10),"")&amp;"| stats count as count"&amp;IF($L90&lt;&gt;""," by "&amp;$L90,"")&amp;IF($M90&lt;&gt;"",CHAR(10)&amp;"| where count &gt;= "&amp;$M90,"")&amp;CHAR(10)&amp;"| sort - count"))</x:f>
      </x:c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8" t="str">
        <x:f>IF($A91&lt;&gt;"Yes","",IF($G91&lt;&gt;"",IFERROR(INDEX($O$6:$O$205,MATCH($G91,$B$6:$B$205,0)),"PARENT SEARCH NOT FOUND"),IFERROR(INDEX('Base Searches'!$E$6:$E$35,MATCH($F91,'Base Searches'!$B$6:$B$35,0)),"BASE NOT FOUND")))</x:f>
      </x:c>
      <x:c r="Q91" s="48" t="str">
        <x:f>IF(OR($A91&lt;&gt;"Yes",$B91=""),"",IF($H91&lt;&gt;"","| search "&amp;$H91,"")&amp;IF($I91&lt;&gt;"",IF($H91&lt;&gt;"",CHAR(10),"")&amp;$I91,"")&amp;IF($J91&lt;&gt;"",IF(OR($H91&lt;&gt;"",$I91&lt;&gt;""),CHAR(10),"")&amp;$J91,""))</x:f>
      </x:c>
      <x:c r="R91" s="48" t="str">
        <x:f>IF(OR($A91&lt;&gt;"Yes",$B91=""),"",IF($K91&lt;&gt;"Yes","Count disabled",IF($H91&lt;&gt;"","| search "&amp;$H91,"")&amp;IF($I91&lt;&gt;"",IF($H91&lt;&gt;"",CHAR(10),"")&amp;$I91,"")&amp;IF(OR($H91&lt;&gt;"",$I91&lt;&gt;""),CHAR(10),"")&amp;"| stats count as count"&amp;IF($L91&lt;&gt;""," by "&amp;$L91,"")&amp;IF($M91&lt;&gt;"",CHAR(10)&amp;"| where count &gt;= "&amp;$M91,"")&amp;CHAR(10)&amp;"| sort - count"))</x:f>
      </x:c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8" t="str">
        <x:f>IF($A92&lt;&gt;"Yes","",IF($G92&lt;&gt;"",IFERROR(INDEX($O$6:$O$205,MATCH($G92,$B$6:$B$205,0)),"PARENT SEARCH NOT FOUND"),IFERROR(INDEX('Base Searches'!$E$6:$E$35,MATCH($F92,'Base Searches'!$B$6:$B$35,0)),"BASE NOT FOUND")))</x:f>
      </x:c>
      <x:c r="Q92" s="48" t="str">
        <x:f>IF(OR($A92&lt;&gt;"Yes",$B92=""),"",IF($H92&lt;&gt;"","| search "&amp;$H92,"")&amp;IF($I92&lt;&gt;"",IF($H92&lt;&gt;"",CHAR(10),"")&amp;$I92,"")&amp;IF($J92&lt;&gt;"",IF(OR($H92&lt;&gt;"",$I92&lt;&gt;""),CHAR(10),"")&amp;$J92,""))</x:f>
      </x:c>
      <x:c r="R92" s="48" t="str">
        <x:f>IF(OR($A92&lt;&gt;"Yes",$B92=""),"",IF($K92&lt;&gt;"Yes","Count disabled",IF($H92&lt;&gt;"","| search "&amp;$H92,"")&amp;IF($I92&lt;&gt;"",IF($H92&lt;&gt;"",CHAR(10),"")&amp;$I92,"")&amp;IF(OR($H92&lt;&gt;"",$I92&lt;&gt;""),CHAR(10),"")&amp;"| stats count as count"&amp;IF($L92&lt;&gt;""," by "&amp;$L92,"")&amp;IF($M92&lt;&gt;"",CHAR(10)&amp;"| where count &gt;= "&amp;$M92,"")&amp;CHAR(10)&amp;"| sort - count"))</x:f>
      </x:c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8" t="str">
        <x:f>IF($A93&lt;&gt;"Yes","",IF($G93&lt;&gt;"",IFERROR(INDEX($O$6:$O$205,MATCH($G93,$B$6:$B$205,0)),"PARENT SEARCH NOT FOUND"),IFERROR(INDEX('Base Searches'!$E$6:$E$35,MATCH($F93,'Base Searches'!$B$6:$B$35,0)),"BASE NOT FOUND")))</x:f>
      </x:c>
      <x:c r="Q93" s="48" t="str">
        <x:f>IF(OR($A93&lt;&gt;"Yes",$B93=""),"",IF($H93&lt;&gt;"","| search "&amp;$H93,"")&amp;IF($I93&lt;&gt;"",IF($H93&lt;&gt;"",CHAR(10),"")&amp;$I93,"")&amp;IF($J93&lt;&gt;"",IF(OR($H93&lt;&gt;"",$I93&lt;&gt;""),CHAR(10),"")&amp;$J93,""))</x:f>
      </x:c>
      <x:c r="R93" s="48" t="str">
        <x:f>IF(OR($A93&lt;&gt;"Yes",$B93=""),"",IF($K93&lt;&gt;"Yes","Count disabled",IF($H93&lt;&gt;"","| search "&amp;$H93,"")&amp;IF($I93&lt;&gt;"",IF($H93&lt;&gt;"",CHAR(10),"")&amp;$I93,"")&amp;IF(OR($H93&lt;&gt;"",$I93&lt;&gt;""),CHAR(10),"")&amp;"| stats count as count"&amp;IF($L93&lt;&gt;""," by "&amp;$L93,"")&amp;IF($M93&lt;&gt;"",CHAR(10)&amp;"| where count &gt;= "&amp;$M93,"")&amp;CHAR(10)&amp;"| sort - count"))</x:f>
      </x:c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8" t="str">
        <x:f>IF($A94&lt;&gt;"Yes","",IF($G94&lt;&gt;"",IFERROR(INDEX($O$6:$O$205,MATCH($G94,$B$6:$B$205,0)),"PARENT SEARCH NOT FOUND"),IFERROR(INDEX('Base Searches'!$E$6:$E$35,MATCH($F94,'Base Searches'!$B$6:$B$35,0)),"BASE NOT FOUND")))</x:f>
      </x:c>
      <x:c r="Q94" s="48" t="str">
        <x:f>IF(OR($A94&lt;&gt;"Yes",$B94=""),"",IF($H94&lt;&gt;"","| search "&amp;$H94,"")&amp;IF($I94&lt;&gt;"",IF($H94&lt;&gt;"",CHAR(10),"")&amp;$I94,"")&amp;IF($J94&lt;&gt;"",IF(OR($H94&lt;&gt;"",$I94&lt;&gt;""),CHAR(10),"")&amp;$J94,""))</x:f>
      </x:c>
      <x:c r="R94" s="48" t="str">
        <x:f>IF(OR($A94&lt;&gt;"Yes",$B94=""),"",IF($K94&lt;&gt;"Yes","Count disabled",IF($H94&lt;&gt;"","| search "&amp;$H94,"")&amp;IF($I94&lt;&gt;"",IF($H94&lt;&gt;"",CHAR(10),"")&amp;$I94,"")&amp;IF(OR($H94&lt;&gt;"",$I94&lt;&gt;""),CHAR(10),"")&amp;"| stats count as count"&amp;IF($L94&lt;&gt;""," by "&amp;$L94,"")&amp;IF($M94&lt;&gt;"",CHAR(10)&amp;"| where count &gt;= "&amp;$M94,"")&amp;CHAR(10)&amp;"| sort - count"))</x:f>
      </x:c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8" t="str">
        <x:f>IF($A95&lt;&gt;"Yes","",IF($G95&lt;&gt;"",IFERROR(INDEX($O$6:$O$205,MATCH($G95,$B$6:$B$205,0)),"PARENT SEARCH NOT FOUND"),IFERROR(INDEX('Base Searches'!$E$6:$E$35,MATCH($F95,'Base Searches'!$B$6:$B$35,0)),"BASE NOT FOUND")))</x:f>
      </x:c>
      <x:c r="Q95" s="48" t="str">
        <x:f>IF(OR($A95&lt;&gt;"Yes",$B95=""),"",IF($H95&lt;&gt;"","| search "&amp;$H95,"")&amp;IF($I95&lt;&gt;"",IF($H95&lt;&gt;"",CHAR(10),"")&amp;$I95,"")&amp;IF($J95&lt;&gt;"",IF(OR($H95&lt;&gt;"",$I95&lt;&gt;""),CHAR(10),"")&amp;$J95,""))</x:f>
      </x:c>
      <x:c r="R95" s="48" t="str">
        <x:f>IF(OR($A95&lt;&gt;"Yes",$B95=""),"",IF($K95&lt;&gt;"Yes","Count disabled",IF($H95&lt;&gt;"","| search "&amp;$H95,"")&amp;IF($I95&lt;&gt;"",IF($H95&lt;&gt;"",CHAR(10),"")&amp;$I95,"")&amp;IF(OR($H95&lt;&gt;"",$I95&lt;&gt;""),CHAR(10),"")&amp;"| stats count as count"&amp;IF($L95&lt;&gt;""," by "&amp;$L95,"")&amp;IF($M95&lt;&gt;"",CHAR(10)&amp;"| where count &gt;= "&amp;$M95,"")&amp;CHAR(10)&amp;"| sort - count"))</x:f>
      </x:c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8" t="str">
        <x:f>IF($A96&lt;&gt;"Yes","",IF($G96&lt;&gt;"",IFERROR(INDEX($O$6:$O$205,MATCH($G96,$B$6:$B$205,0)),"PARENT SEARCH NOT FOUND"),IFERROR(INDEX('Base Searches'!$E$6:$E$35,MATCH($F96,'Base Searches'!$B$6:$B$35,0)),"BASE NOT FOUND")))</x:f>
      </x:c>
      <x:c r="Q96" s="48" t="str">
        <x:f>IF(OR($A96&lt;&gt;"Yes",$B96=""),"",IF($H96&lt;&gt;"","| search "&amp;$H96,"")&amp;IF($I96&lt;&gt;"",IF($H96&lt;&gt;"",CHAR(10),"")&amp;$I96,"")&amp;IF($J96&lt;&gt;"",IF(OR($H96&lt;&gt;"",$I96&lt;&gt;""),CHAR(10),"")&amp;$J96,""))</x:f>
      </x:c>
      <x:c r="R96" s="48" t="str">
        <x:f>IF(OR($A96&lt;&gt;"Yes",$B96=""),"",IF($K96&lt;&gt;"Yes","Count disabled",IF($H96&lt;&gt;"","| search "&amp;$H96,"")&amp;IF($I96&lt;&gt;"",IF($H96&lt;&gt;"",CHAR(10),"")&amp;$I96,"")&amp;IF(OR($H96&lt;&gt;"",$I96&lt;&gt;""),CHAR(10),"")&amp;"| stats count as count"&amp;IF($L96&lt;&gt;""," by "&amp;$L96,"")&amp;IF($M96&lt;&gt;"",CHAR(10)&amp;"| where count &gt;= "&amp;$M96,"")&amp;CHAR(10)&amp;"| sort - count"))</x:f>
      </x:c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8" t="str">
        <x:f>IF($A97&lt;&gt;"Yes","",IF($G97&lt;&gt;"",IFERROR(INDEX($O$6:$O$205,MATCH($G97,$B$6:$B$205,0)),"PARENT SEARCH NOT FOUND"),IFERROR(INDEX('Base Searches'!$E$6:$E$35,MATCH($F97,'Base Searches'!$B$6:$B$35,0)),"BASE NOT FOUND")))</x:f>
      </x:c>
      <x:c r="Q97" s="48" t="str">
        <x:f>IF(OR($A97&lt;&gt;"Yes",$B97=""),"",IF($H97&lt;&gt;"","| search "&amp;$H97,"")&amp;IF($I97&lt;&gt;"",IF($H97&lt;&gt;"",CHAR(10),"")&amp;$I97,"")&amp;IF($J97&lt;&gt;"",IF(OR($H97&lt;&gt;"",$I97&lt;&gt;""),CHAR(10),"")&amp;$J97,""))</x:f>
      </x:c>
      <x:c r="R97" s="48" t="str">
        <x:f>IF(OR($A97&lt;&gt;"Yes",$B97=""),"",IF($K97&lt;&gt;"Yes","Count disabled",IF($H97&lt;&gt;"","| search "&amp;$H97,"")&amp;IF($I97&lt;&gt;"",IF($H97&lt;&gt;"",CHAR(10),"")&amp;$I97,"")&amp;IF(OR($H97&lt;&gt;"",$I97&lt;&gt;""),CHAR(10),"")&amp;"| stats count as count"&amp;IF($L97&lt;&gt;""," by "&amp;$L97,"")&amp;IF($M97&lt;&gt;"",CHAR(10)&amp;"| where count &gt;= "&amp;$M97,"")&amp;CHAR(10)&amp;"| sort - count"))</x:f>
      </x:c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8" t="str">
        <x:f>IF($A98&lt;&gt;"Yes","",IF($G98&lt;&gt;"",IFERROR(INDEX($O$6:$O$205,MATCH($G98,$B$6:$B$205,0)),"PARENT SEARCH NOT FOUND"),IFERROR(INDEX('Base Searches'!$E$6:$E$35,MATCH($F98,'Base Searches'!$B$6:$B$35,0)),"BASE NOT FOUND")))</x:f>
      </x:c>
      <x:c r="Q98" s="48" t="str">
        <x:f>IF(OR($A98&lt;&gt;"Yes",$B98=""),"",IF($H98&lt;&gt;"","| search "&amp;$H98,"")&amp;IF($I98&lt;&gt;"",IF($H98&lt;&gt;"",CHAR(10),"")&amp;$I98,"")&amp;IF($J98&lt;&gt;"",IF(OR($H98&lt;&gt;"",$I98&lt;&gt;""),CHAR(10),"")&amp;$J98,""))</x:f>
      </x:c>
      <x:c r="R98" s="48" t="str">
        <x:f>IF(OR($A98&lt;&gt;"Yes",$B98=""),"",IF($K98&lt;&gt;"Yes","Count disabled",IF($H98&lt;&gt;"","| search "&amp;$H98,"")&amp;IF($I98&lt;&gt;"",IF($H98&lt;&gt;"",CHAR(10),"")&amp;$I98,"")&amp;IF(OR($H98&lt;&gt;"",$I98&lt;&gt;""),CHAR(10),"")&amp;"| stats count as count"&amp;IF($L98&lt;&gt;""," by "&amp;$L98,"")&amp;IF($M98&lt;&gt;"",CHAR(10)&amp;"| where count &gt;= "&amp;$M98,"")&amp;CHAR(10)&amp;"| sort - count"))</x:f>
      </x:c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8" t="str">
        <x:f>IF($A99&lt;&gt;"Yes","",IF($G99&lt;&gt;"",IFERROR(INDEX($O$6:$O$205,MATCH($G99,$B$6:$B$205,0)),"PARENT SEARCH NOT FOUND"),IFERROR(INDEX('Base Searches'!$E$6:$E$35,MATCH($F99,'Base Searches'!$B$6:$B$35,0)),"BASE NOT FOUND")))</x:f>
      </x:c>
      <x:c r="Q99" s="48" t="str">
        <x:f>IF(OR($A99&lt;&gt;"Yes",$B99=""),"",IF($H99&lt;&gt;"","| search "&amp;$H99,"")&amp;IF($I99&lt;&gt;"",IF($H99&lt;&gt;"",CHAR(10),"")&amp;$I99,"")&amp;IF($J99&lt;&gt;"",IF(OR($H99&lt;&gt;"",$I99&lt;&gt;""),CHAR(10),"")&amp;$J99,""))</x:f>
      </x:c>
      <x:c r="R99" s="48" t="str">
        <x:f>IF(OR($A99&lt;&gt;"Yes",$B99=""),"",IF($K99&lt;&gt;"Yes","Count disabled",IF($H99&lt;&gt;"","| search "&amp;$H99,"")&amp;IF($I99&lt;&gt;"",IF($H99&lt;&gt;"",CHAR(10),"")&amp;$I99,"")&amp;IF(OR($H99&lt;&gt;"",$I99&lt;&gt;""),CHAR(10),"")&amp;"| stats count as count"&amp;IF($L99&lt;&gt;""," by "&amp;$L99,"")&amp;IF($M99&lt;&gt;"",CHAR(10)&amp;"| where count &gt;= "&amp;$M99,"")&amp;CHAR(10)&amp;"| sort - count"))</x:f>
      </x:c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8" t="str">
        <x:f>IF($A100&lt;&gt;"Yes","",IF($G100&lt;&gt;"",IFERROR(INDEX($O$6:$O$205,MATCH($G100,$B$6:$B$205,0)),"PARENT SEARCH NOT FOUND"),IFERROR(INDEX('Base Searches'!$E$6:$E$35,MATCH($F100,'Base Searches'!$B$6:$B$35,0)),"BASE NOT FOUND")))</x:f>
      </x:c>
      <x:c r="Q100" s="48" t="str">
        <x:f>IF(OR($A100&lt;&gt;"Yes",$B100=""),"",IF($H100&lt;&gt;"","| search "&amp;$H100,"")&amp;IF($I100&lt;&gt;"",IF($H100&lt;&gt;"",CHAR(10),"")&amp;$I100,"")&amp;IF($J100&lt;&gt;"",IF(OR($H100&lt;&gt;"",$I100&lt;&gt;""),CHAR(10),"")&amp;$J100,""))</x:f>
      </x:c>
      <x:c r="R100" s="48" t="str">
        <x:f>IF(OR($A100&lt;&gt;"Yes",$B100=""),"",IF($K100&lt;&gt;"Yes","Count disabled",IF($H100&lt;&gt;"","| search "&amp;$H100,"")&amp;IF($I100&lt;&gt;"",IF($H100&lt;&gt;"",CHAR(10),"")&amp;$I100,"")&amp;IF(OR($H100&lt;&gt;"",$I100&lt;&gt;""),CHAR(10),"")&amp;"| stats count as count"&amp;IF($L100&lt;&gt;""," by "&amp;$L100,"")&amp;IF($M100&lt;&gt;"",CHAR(10)&amp;"| where count &gt;= "&amp;$M100,"")&amp;CHAR(10)&amp;"| sort - count"))</x:f>
      </x:c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8" t="str">
        <x:f>IF($A101&lt;&gt;"Yes","",IF($G101&lt;&gt;"",IFERROR(INDEX($O$6:$O$205,MATCH($G101,$B$6:$B$205,0)),"PARENT SEARCH NOT FOUND"),IFERROR(INDEX('Base Searches'!$E$6:$E$35,MATCH($F101,'Base Searches'!$B$6:$B$35,0)),"BASE NOT FOUND")))</x:f>
      </x:c>
      <x:c r="Q101" s="48" t="str">
        <x:f>IF(OR($A101&lt;&gt;"Yes",$B101=""),"",IF($H101&lt;&gt;"","| search "&amp;$H101,"")&amp;IF($I101&lt;&gt;"",IF($H101&lt;&gt;"",CHAR(10),"")&amp;$I101,"")&amp;IF($J101&lt;&gt;"",IF(OR($H101&lt;&gt;"",$I101&lt;&gt;""),CHAR(10),"")&amp;$J101,""))</x:f>
      </x:c>
      <x:c r="R101" s="48" t="str">
        <x:f>IF(OR($A101&lt;&gt;"Yes",$B101=""),"",IF($K101&lt;&gt;"Yes","Count disabled",IF($H101&lt;&gt;"","| search "&amp;$H101,"")&amp;IF($I101&lt;&gt;"",IF($H101&lt;&gt;"",CHAR(10),"")&amp;$I101,"")&amp;IF(OR($H101&lt;&gt;"",$I101&lt;&gt;""),CHAR(10),"")&amp;"| stats count as count"&amp;IF($L101&lt;&gt;""," by "&amp;$L101,"")&amp;IF($M101&lt;&gt;"",CHAR(10)&amp;"| where count &gt;= "&amp;$M101,"")&amp;CHAR(10)&amp;"| sort - count"))</x:f>
      </x:c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8" t="str">
        <x:f>IF($A102&lt;&gt;"Yes","",IF($G102&lt;&gt;"",IFERROR(INDEX($O$6:$O$205,MATCH($G102,$B$6:$B$205,0)),"PARENT SEARCH NOT FOUND"),IFERROR(INDEX('Base Searches'!$E$6:$E$35,MATCH($F102,'Base Searches'!$B$6:$B$35,0)),"BASE NOT FOUND")))</x:f>
      </x:c>
      <x:c r="Q102" s="48" t="str">
        <x:f>IF(OR($A102&lt;&gt;"Yes",$B102=""),"",IF($H102&lt;&gt;"","| search "&amp;$H102,"")&amp;IF($I102&lt;&gt;"",IF($H102&lt;&gt;"",CHAR(10),"")&amp;$I102,"")&amp;IF($J102&lt;&gt;"",IF(OR($H102&lt;&gt;"",$I102&lt;&gt;""),CHAR(10),"")&amp;$J102,""))</x:f>
      </x:c>
      <x:c r="R102" s="48" t="str">
        <x:f>IF(OR($A102&lt;&gt;"Yes",$B102=""),"",IF($K102&lt;&gt;"Yes","Count disabled",IF($H102&lt;&gt;"","| search "&amp;$H102,"")&amp;IF($I102&lt;&gt;"",IF($H102&lt;&gt;"",CHAR(10),"")&amp;$I102,"")&amp;IF(OR($H102&lt;&gt;"",$I102&lt;&gt;""),CHAR(10),"")&amp;"| stats count as count"&amp;IF($L102&lt;&gt;""," by "&amp;$L102,"")&amp;IF($M102&lt;&gt;"",CHAR(10)&amp;"| where count &gt;= "&amp;$M102,"")&amp;CHAR(10)&amp;"| sort - count"))</x:f>
      </x:c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8" t="str">
        <x:f>IF($A103&lt;&gt;"Yes","",IF($G103&lt;&gt;"",IFERROR(INDEX($O$6:$O$205,MATCH($G103,$B$6:$B$205,0)),"PARENT SEARCH NOT FOUND"),IFERROR(INDEX('Base Searches'!$E$6:$E$35,MATCH($F103,'Base Searches'!$B$6:$B$35,0)),"BASE NOT FOUND")))</x:f>
      </x:c>
      <x:c r="Q103" s="48" t="str">
        <x:f>IF(OR($A103&lt;&gt;"Yes",$B103=""),"",IF($H103&lt;&gt;"","| search "&amp;$H103,"")&amp;IF($I103&lt;&gt;"",IF($H103&lt;&gt;"",CHAR(10),"")&amp;$I103,"")&amp;IF($J103&lt;&gt;"",IF(OR($H103&lt;&gt;"",$I103&lt;&gt;""),CHAR(10),"")&amp;$J103,""))</x:f>
      </x:c>
      <x:c r="R103" s="48" t="str">
        <x:f>IF(OR($A103&lt;&gt;"Yes",$B103=""),"",IF($K103&lt;&gt;"Yes","Count disabled",IF($H103&lt;&gt;"","| search "&amp;$H103,"")&amp;IF($I103&lt;&gt;"",IF($H103&lt;&gt;"",CHAR(10),"")&amp;$I103,"")&amp;IF(OR($H103&lt;&gt;"",$I103&lt;&gt;""),CHAR(10),"")&amp;"| stats count as count"&amp;IF($L103&lt;&gt;""," by "&amp;$L103,"")&amp;IF($M103&lt;&gt;"",CHAR(10)&amp;"| where count &gt;= "&amp;$M103,"")&amp;CHAR(10)&amp;"| sort - count"))</x:f>
      </x:c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8" t="str">
        <x:f>IF($A104&lt;&gt;"Yes","",IF($G104&lt;&gt;"",IFERROR(INDEX($O$6:$O$205,MATCH($G104,$B$6:$B$205,0)),"PARENT SEARCH NOT FOUND"),IFERROR(INDEX('Base Searches'!$E$6:$E$35,MATCH($F104,'Base Searches'!$B$6:$B$35,0)),"BASE NOT FOUND")))</x:f>
      </x:c>
      <x:c r="Q104" s="48" t="str">
        <x:f>IF(OR($A104&lt;&gt;"Yes",$B104=""),"",IF($H104&lt;&gt;"","| search "&amp;$H104,"")&amp;IF($I104&lt;&gt;"",IF($H104&lt;&gt;"",CHAR(10),"")&amp;$I104,"")&amp;IF($J104&lt;&gt;"",IF(OR($H104&lt;&gt;"",$I104&lt;&gt;""),CHAR(10),"")&amp;$J104,""))</x:f>
      </x:c>
      <x:c r="R104" s="48" t="str">
        <x:f>IF(OR($A104&lt;&gt;"Yes",$B104=""),"",IF($K104&lt;&gt;"Yes","Count disabled",IF($H104&lt;&gt;"","| search "&amp;$H104,"")&amp;IF($I104&lt;&gt;"",IF($H104&lt;&gt;"",CHAR(10),"")&amp;$I104,"")&amp;IF(OR($H104&lt;&gt;"",$I104&lt;&gt;""),CHAR(10),"")&amp;"| stats count as count"&amp;IF($L104&lt;&gt;""," by "&amp;$L104,"")&amp;IF($M104&lt;&gt;"",CHAR(10)&amp;"| where count &gt;= "&amp;$M104,"")&amp;CHAR(10)&amp;"| sort - count"))</x:f>
      </x:c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8" t="str">
        <x:f>IF($A105&lt;&gt;"Yes","",IF($G105&lt;&gt;"",IFERROR(INDEX($O$6:$O$205,MATCH($G105,$B$6:$B$205,0)),"PARENT SEARCH NOT FOUND"),IFERROR(INDEX('Base Searches'!$E$6:$E$35,MATCH($F105,'Base Searches'!$B$6:$B$35,0)),"BASE NOT FOUND")))</x:f>
      </x:c>
      <x:c r="Q105" s="48" t="str">
        <x:f>IF(OR($A105&lt;&gt;"Yes",$B105=""),"",IF($H105&lt;&gt;"","| search "&amp;$H105,"")&amp;IF($I105&lt;&gt;"",IF($H105&lt;&gt;"",CHAR(10),"")&amp;$I105,"")&amp;IF($J105&lt;&gt;"",IF(OR($H105&lt;&gt;"",$I105&lt;&gt;""),CHAR(10),"")&amp;$J105,""))</x:f>
      </x:c>
      <x:c r="R105" s="48" t="str">
        <x:f>IF(OR($A105&lt;&gt;"Yes",$B105=""),"",IF($K105&lt;&gt;"Yes","Count disabled",IF($H105&lt;&gt;"","| search "&amp;$H105,"")&amp;IF($I105&lt;&gt;"",IF($H105&lt;&gt;"",CHAR(10),"")&amp;$I105,"")&amp;IF(OR($H105&lt;&gt;"",$I105&lt;&gt;""),CHAR(10),"")&amp;"| stats count as count"&amp;IF($L105&lt;&gt;""," by "&amp;$L105,"")&amp;IF($M105&lt;&gt;"",CHAR(10)&amp;"| where count &gt;= "&amp;$M105,"")&amp;CHAR(10)&amp;"| sort - count"))</x:f>
      </x:c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8" t="str">
        <x:f>IF($A106&lt;&gt;"Yes","",IF($G106&lt;&gt;"",IFERROR(INDEX($O$6:$O$205,MATCH($G106,$B$6:$B$205,0)),"PARENT SEARCH NOT FOUND"),IFERROR(INDEX('Base Searches'!$E$6:$E$35,MATCH($F106,'Base Searches'!$B$6:$B$35,0)),"BASE NOT FOUND")))</x:f>
      </x:c>
      <x:c r="Q106" s="48" t="str">
        <x:f>IF(OR($A106&lt;&gt;"Yes",$B106=""),"",IF($H106&lt;&gt;"","| search "&amp;$H106,"")&amp;IF($I106&lt;&gt;"",IF($H106&lt;&gt;"",CHAR(10),"")&amp;$I106,"")&amp;IF($J106&lt;&gt;"",IF(OR($H106&lt;&gt;"",$I106&lt;&gt;""),CHAR(10),"")&amp;$J106,""))</x:f>
      </x:c>
      <x:c r="R106" s="48" t="str">
        <x:f>IF(OR($A106&lt;&gt;"Yes",$B106=""),"",IF($K106&lt;&gt;"Yes","Count disabled",IF($H106&lt;&gt;"","| search "&amp;$H106,"")&amp;IF($I106&lt;&gt;"",IF($H106&lt;&gt;"",CHAR(10),"")&amp;$I106,"")&amp;IF(OR($H106&lt;&gt;"",$I106&lt;&gt;""),CHAR(10),"")&amp;"| stats count as count"&amp;IF($L106&lt;&gt;""," by "&amp;$L106,"")&amp;IF($M106&lt;&gt;"",CHAR(10)&amp;"| where count &gt;= "&amp;$M106,"")&amp;CHAR(10)&amp;"| sort - count"))</x:f>
      </x:c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8" t="str">
        <x:f>IF($A107&lt;&gt;"Yes","",IF($G107&lt;&gt;"",IFERROR(INDEX($O$6:$O$205,MATCH($G107,$B$6:$B$205,0)),"PARENT SEARCH NOT FOUND"),IFERROR(INDEX('Base Searches'!$E$6:$E$35,MATCH($F107,'Base Searches'!$B$6:$B$35,0)),"BASE NOT FOUND")))</x:f>
      </x:c>
      <x:c r="Q107" s="48" t="str">
        <x:f>IF(OR($A107&lt;&gt;"Yes",$B107=""),"",IF($H107&lt;&gt;"","| search "&amp;$H107,"")&amp;IF($I107&lt;&gt;"",IF($H107&lt;&gt;"",CHAR(10),"")&amp;$I107,"")&amp;IF($J107&lt;&gt;"",IF(OR($H107&lt;&gt;"",$I107&lt;&gt;""),CHAR(10),"")&amp;$J107,""))</x:f>
      </x:c>
      <x:c r="R107" s="48" t="str">
        <x:f>IF(OR($A107&lt;&gt;"Yes",$B107=""),"",IF($K107&lt;&gt;"Yes","Count disabled",IF($H107&lt;&gt;"","| search "&amp;$H107,"")&amp;IF($I107&lt;&gt;"",IF($H107&lt;&gt;"",CHAR(10),"")&amp;$I107,"")&amp;IF(OR($H107&lt;&gt;"",$I107&lt;&gt;""),CHAR(10),"")&amp;"| stats count as count"&amp;IF($L107&lt;&gt;""," by "&amp;$L107,"")&amp;IF($M107&lt;&gt;"",CHAR(10)&amp;"| where count &gt;= "&amp;$M107,"")&amp;CHAR(10)&amp;"| sort - count"))</x:f>
      </x:c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8" t="str">
        <x:f>IF($A108&lt;&gt;"Yes","",IF($G108&lt;&gt;"",IFERROR(INDEX($O$6:$O$205,MATCH($G108,$B$6:$B$205,0)),"PARENT SEARCH NOT FOUND"),IFERROR(INDEX('Base Searches'!$E$6:$E$35,MATCH($F108,'Base Searches'!$B$6:$B$35,0)),"BASE NOT FOUND")))</x:f>
      </x:c>
      <x:c r="Q108" s="48" t="str">
        <x:f>IF(OR($A108&lt;&gt;"Yes",$B108=""),"",IF($H108&lt;&gt;"","| search "&amp;$H108,"")&amp;IF($I108&lt;&gt;"",IF($H108&lt;&gt;"",CHAR(10),"")&amp;$I108,"")&amp;IF($J108&lt;&gt;"",IF(OR($H108&lt;&gt;"",$I108&lt;&gt;""),CHAR(10),"")&amp;$J108,""))</x:f>
      </x:c>
      <x:c r="R108" s="48" t="str">
        <x:f>IF(OR($A108&lt;&gt;"Yes",$B108=""),"",IF($K108&lt;&gt;"Yes","Count disabled",IF($H108&lt;&gt;"","| search "&amp;$H108,"")&amp;IF($I108&lt;&gt;"",IF($H108&lt;&gt;"",CHAR(10),"")&amp;$I108,"")&amp;IF(OR($H108&lt;&gt;"",$I108&lt;&gt;""),CHAR(10),"")&amp;"| stats count as count"&amp;IF($L108&lt;&gt;""," by "&amp;$L108,"")&amp;IF($M108&lt;&gt;"",CHAR(10)&amp;"| where count &gt;= "&amp;$M108,"")&amp;CHAR(10)&amp;"| sort - count"))</x:f>
      </x:c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8" t="str">
        <x:f>IF($A109&lt;&gt;"Yes","",IF($G109&lt;&gt;"",IFERROR(INDEX($O$6:$O$205,MATCH($G109,$B$6:$B$205,0)),"PARENT SEARCH NOT FOUND"),IFERROR(INDEX('Base Searches'!$E$6:$E$35,MATCH($F109,'Base Searches'!$B$6:$B$35,0)),"BASE NOT FOUND")))</x:f>
      </x:c>
      <x:c r="Q109" s="48" t="str">
        <x:f>IF(OR($A109&lt;&gt;"Yes",$B109=""),"",IF($H109&lt;&gt;"","| search "&amp;$H109,"")&amp;IF($I109&lt;&gt;"",IF($H109&lt;&gt;"",CHAR(10),"")&amp;$I109,"")&amp;IF($J109&lt;&gt;"",IF(OR($H109&lt;&gt;"",$I109&lt;&gt;""),CHAR(10),"")&amp;$J109,""))</x:f>
      </x:c>
      <x:c r="R109" s="48" t="str">
        <x:f>IF(OR($A109&lt;&gt;"Yes",$B109=""),"",IF($K109&lt;&gt;"Yes","Count disabled",IF($H109&lt;&gt;"","| search "&amp;$H109,"")&amp;IF($I109&lt;&gt;"",IF($H109&lt;&gt;"",CHAR(10),"")&amp;$I109,"")&amp;IF(OR($H109&lt;&gt;"",$I109&lt;&gt;""),CHAR(10),"")&amp;"| stats count as count"&amp;IF($L109&lt;&gt;""," by "&amp;$L109,"")&amp;IF($M109&lt;&gt;"",CHAR(10)&amp;"| where count &gt;= "&amp;$M109,"")&amp;CHAR(10)&amp;"| sort - count"))</x:f>
      </x:c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8" t="str">
        <x:f>IF($A110&lt;&gt;"Yes","",IF($G110&lt;&gt;"",IFERROR(INDEX($O$6:$O$205,MATCH($G110,$B$6:$B$205,0)),"PARENT SEARCH NOT FOUND"),IFERROR(INDEX('Base Searches'!$E$6:$E$35,MATCH($F110,'Base Searches'!$B$6:$B$35,0)),"BASE NOT FOUND")))</x:f>
      </x:c>
      <x:c r="Q110" s="48" t="str">
        <x:f>IF(OR($A110&lt;&gt;"Yes",$B110=""),"",IF($H110&lt;&gt;"","| search "&amp;$H110,"")&amp;IF($I110&lt;&gt;"",IF($H110&lt;&gt;"",CHAR(10),"")&amp;$I110,"")&amp;IF($J110&lt;&gt;"",IF(OR($H110&lt;&gt;"",$I110&lt;&gt;""),CHAR(10),"")&amp;$J110,""))</x:f>
      </x:c>
      <x:c r="R110" s="48" t="str">
        <x:f>IF(OR($A110&lt;&gt;"Yes",$B110=""),"",IF($K110&lt;&gt;"Yes","Count disabled",IF($H110&lt;&gt;"","| search "&amp;$H110,"")&amp;IF($I110&lt;&gt;"",IF($H110&lt;&gt;"",CHAR(10),"")&amp;$I110,"")&amp;IF(OR($H110&lt;&gt;"",$I110&lt;&gt;""),CHAR(10),"")&amp;"| stats count as count"&amp;IF($L110&lt;&gt;""," by "&amp;$L110,"")&amp;IF($M110&lt;&gt;"",CHAR(10)&amp;"| where count &gt;= "&amp;$M110,"")&amp;CHAR(10)&amp;"| sort - count"))</x:f>
      </x:c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8" t="str">
        <x:f>IF($A111&lt;&gt;"Yes","",IF($G111&lt;&gt;"",IFERROR(INDEX($O$6:$O$205,MATCH($G111,$B$6:$B$205,0)),"PARENT SEARCH NOT FOUND"),IFERROR(INDEX('Base Searches'!$E$6:$E$35,MATCH($F111,'Base Searches'!$B$6:$B$35,0)),"BASE NOT FOUND")))</x:f>
      </x:c>
      <x:c r="Q111" s="48" t="str">
        <x:f>IF(OR($A111&lt;&gt;"Yes",$B111=""),"",IF($H111&lt;&gt;"","| search "&amp;$H111,"")&amp;IF($I111&lt;&gt;"",IF($H111&lt;&gt;"",CHAR(10),"")&amp;$I111,"")&amp;IF($J111&lt;&gt;"",IF(OR($H111&lt;&gt;"",$I111&lt;&gt;""),CHAR(10),"")&amp;$J111,""))</x:f>
      </x:c>
      <x:c r="R111" s="48" t="str">
        <x:f>IF(OR($A111&lt;&gt;"Yes",$B111=""),"",IF($K111&lt;&gt;"Yes","Count disabled",IF($H111&lt;&gt;"","| search "&amp;$H111,"")&amp;IF($I111&lt;&gt;"",IF($H111&lt;&gt;"",CHAR(10),"")&amp;$I111,"")&amp;IF(OR($H111&lt;&gt;"",$I111&lt;&gt;""),CHAR(10),"")&amp;"| stats count as count"&amp;IF($L111&lt;&gt;""," by "&amp;$L111,"")&amp;IF($M111&lt;&gt;"",CHAR(10)&amp;"| where count &gt;= "&amp;$M111,"")&amp;CHAR(10)&amp;"| sort - count"))</x:f>
      </x:c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8" t="str">
        <x:f>IF($A112&lt;&gt;"Yes","",IF($G112&lt;&gt;"",IFERROR(INDEX($O$6:$O$205,MATCH($G112,$B$6:$B$205,0)),"PARENT SEARCH NOT FOUND"),IFERROR(INDEX('Base Searches'!$E$6:$E$35,MATCH($F112,'Base Searches'!$B$6:$B$35,0)),"BASE NOT FOUND")))</x:f>
      </x:c>
      <x:c r="Q112" s="48" t="str">
        <x:f>IF(OR($A112&lt;&gt;"Yes",$B112=""),"",IF($H112&lt;&gt;"","| search "&amp;$H112,"")&amp;IF($I112&lt;&gt;"",IF($H112&lt;&gt;"",CHAR(10),"")&amp;$I112,"")&amp;IF($J112&lt;&gt;"",IF(OR($H112&lt;&gt;"",$I112&lt;&gt;""),CHAR(10),"")&amp;$J112,""))</x:f>
      </x:c>
      <x:c r="R112" s="48" t="str">
        <x:f>IF(OR($A112&lt;&gt;"Yes",$B112=""),"",IF($K112&lt;&gt;"Yes","Count disabled",IF($H112&lt;&gt;"","| search "&amp;$H112,"")&amp;IF($I112&lt;&gt;"",IF($H112&lt;&gt;"",CHAR(10),"")&amp;$I112,"")&amp;IF(OR($H112&lt;&gt;"",$I112&lt;&gt;""),CHAR(10),"")&amp;"| stats count as count"&amp;IF($L112&lt;&gt;""," by "&amp;$L112,"")&amp;IF($M112&lt;&gt;"",CHAR(10)&amp;"| where count &gt;= "&amp;$M112,"")&amp;CHAR(10)&amp;"| sort - count"))</x:f>
      </x:c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8" t="str">
        <x:f>IF($A113&lt;&gt;"Yes","",IF($G113&lt;&gt;"",IFERROR(INDEX($O$6:$O$205,MATCH($G113,$B$6:$B$205,0)),"PARENT SEARCH NOT FOUND"),IFERROR(INDEX('Base Searches'!$E$6:$E$35,MATCH($F113,'Base Searches'!$B$6:$B$35,0)),"BASE NOT FOUND")))</x:f>
      </x:c>
      <x:c r="Q113" s="48" t="str">
        <x:f>IF(OR($A113&lt;&gt;"Yes",$B113=""),"",IF($H113&lt;&gt;"","| search "&amp;$H113,"")&amp;IF($I113&lt;&gt;"",IF($H113&lt;&gt;"",CHAR(10),"")&amp;$I113,"")&amp;IF($J113&lt;&gt;"",IF(OR($H113&lt;&gt;"",$I113&lt;&gt;""),CHAR(10),"")&amp;$J113,""))</x:f>
      </x:c>
      <x:c r="R113" s="48" t="str">
        <x:f>IF(OR($A113&lt;&gt;"Yes",$B113=""),"",IF($K113&lt;&gt;"Yes","Count disabled",IF($H113&lt;&gt;"","| search "&amp;$H113,"")&amp;IF($I113&lt;&gt;"",IF($H113&lt;&gt;"",CHAR(10),"")&amp;$I113,"")&amp;IF(OR($H113&lt;&gt;"",$I113&lt;&gt;""),CHAR(10),"")&amp;"| stats count as count"&amp;IF($L113&lt;&gt;""," by "&amp;$L113,"")&amp;IF($M113&lt;&gt;"",CHAR(10)&amp;"| where count &gt;= "&amp;$M113,"")&amp;CHAR(10)&amp;"| sort - count"))</x:f>
      </x:c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8" t="str">
        <x:f>IF($A114&lt;&gt;"Yes","",IF($G114&lt;&gt;"",IFERROR(INDEX($O$6:$O$205,MATCH($G114,$B$6:$B$205,0)),"PARENT SEARCH NOT FOUND"),IFERROR(INDEX('Base Searches'!$E$6:$E$35,MATCH($F114,'Base Searches'!$B$6:$B$35,0)),"BASE NOT FOUND")))</x:f>
      </x:c>
      <x:c r="Q114" s="48" t="str">
        <x:f>IF(OR($A114&lt;&gt;"Yes",$B114=""),"",IF($H114&lt;&gt;"","| search "&amp;$H114,"")&amp;IF($I114&lt;&gt;"",IF($H114&lt;&gt;"",CHAR(10),"")&amp;$I114,"")&amp;IF($J114&lt;&gt;"",IF(OR($H114&lt;&gt;"",$I114&lt;&gt;""),CHAR(10),"")&amp;$J114,""))</x:f>
      </x:c>
      <x:c r="R114" s="48" t="str">
        <x:f>IF(OR($A114&lt;&gt;"Yes",$B114=""),"",IF($K114&lt;&gt;"Yes","Count disabled",IF($H114&lt;&gt;"","| search "&amp;$H114,"")&amp;IF($I114&lt;&gt;"",IF($H114&lt;&gt;"",CHAR(10),"")&amp;$I114,"")&amp;IF(OR($H114&lt;&gt;"",$I114&lt;&gt;""),CHAR(10),"")&amp;"| stats count as count"&amp;IF($L114&lt;&gt;""," by "&amp;$L114,"")&amp;IF($M114&lt;&gt;"",CHAR(10)&amp;"| where count &gt;= "&amp;$M114,"")&amp;CHAR(10)&amp;"| sort - count"))</x:f>
      </x:c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8" t="str">
        <x:f>IF($A115&lt;&gt;"Yes","",IF($G115&lt;&gt;"",IFERROR(INDEX($O$6:$O$205,MATCH($G115,$B$6:$B$205,0)),"PARENT SEARCH NOT FOUND"),IFERROR(INDEX('Base Searches'!$E$6:$E$35,MATCH($F115,'Base Searches'!$B$6:$B$35,0)),"BASE NOT FOUND")))</x:f>
      </x:c>
      <x:c r="Q115" s="48" t="str">
        <x:f>IF(OR($A115&lt;&gt;"Yes",$B115=""),"",IF($H115&lt;&gt;"","| search "&amp;$H115,"")&amp;IF($I115&lt;&gt;"",IF($H115&lt;&gt;"",CHAR(10),"")&amp;$I115,"")&amp;IF($J115&lt;&gt;"",IF(OR($H115&lt;&gt;"",$I115&lt;&gt;""),CHAR(10),"")&amp;$J115,""))</x:f>
      </x:c>
      <x:c r="R115" s="48" t="str">
        <x:f>IF(OR($A115&lt;&gt;"Yes",$B115=""),"",IF($K115&lt;&gt;"Yes","Count disabled",IF($H115&lt;&gt;"","| search "&amp;$H115,"")&amp;IF($I115&lt;&gt;"",IF($H115&lt;&gt;"",CHAR(10),"")&amp;$I115,"")&amp;IF(OR($H115&lt;&gt;"",$I115&lt;&gt;""),CHAR(10),"")&amp;"| stats count as count"&amp;IF($L115&lt;&gt;""," by "&amp;$L115,"")&amp;IF($M115&lt;&gt;"",CHAR(10)&amp;"| where count &gt;= "&amp;$M115,"")&amp;CHAR(10)&amp;"| sort - count"))</x:f>
      </x:c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8" t="str">
        <x:f>IF($A116&lt;&gt;"Yes","",IF($G116&lt;&gt;"",IFERROR(INDEX($O$6:$O$205,MATCH($G116,$B$6:$B$205,0)),"PARENT SEARCH NOT FOUND"),IFERROR(INDEX('Base Searches'!$E$6:$E$35,MATCH($F116,'Base Searches'!$B$6:$B$35,0)),"BASE NOT FOUND")))</x:f>
      </x:c>
      <x:c r="Q116" s="48" t="str">
        <x:f>IF(OR($A116&lt;&gt;"Yes",$B116=""),"",IF($H116&lt;&gt;"","| search "&amp;$H116,"")&amp;IF($I116&lt;&gt;"",IF($H116&lt;&gt;"",CHAR(10),"")&amp;$I116,"")&amp;IF($J116&lt;&gt;"",IF(OR($H116&lt;&gt;"",$I116&lt;&gt;""),CHAR(10),"")&amp;$J116,""))</x:f>
      </x:c>
      <x:c r="R116" s="48" t="str">
        <x:f>IF(OR($A116&lt;&gt;"Yes",$B116=""),"",IF($K116&lt;&gt;"Yes","Count disabled",IF($H116&lt;&gt;"","| search "&amp;$H116,"")&amp;IF($I116&lt;&gt;"",IF($H116&lt;&gt;"",CHAR(10),"")&amp;$I116,"")&amp;IF(OR($H116&lt;&gt;"",$I116&lt;&gt;""),CHAR(10),"")&amp;"| stats count as count"&amp;IF($L116&lt;&gt;""," by "&amp;$L116,"")&amp;IF($M116&lt;&gt;"",CHAR(10)&amp;"| where count &gt;= "&amp;$M116,"")&amp;CHAR(10)&amp;"| sort - count"))</x:f>
      </x:c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8" t="str">
        <x:f>IF($A117&lt;&gt;"Yes","",IF($G117&lt;&gt;"",IFERROR(INDEX($O$6:$O$205,MATCH($G117,$B$6:$B$205,0)),"PARENT SEARCH NOT FOUND"),IFERROR(INDEX('Base Searches'!$E$6:$E$35,MATCH($F117,'Base Searches'!$B$6:$B$35,0)),"BASE NOT FOUND")))</x:f>
      </x:c>
      <x:c r="Q117" s="48" t="str">
        <x:f>IF(OR($A117&lt;&gt;"Yes",$B117=""),"",IF($H117&lt;&gt;"","| search "&amp;$H117,"")&amp;IF($I117&lt;&gt;"",IF($H117&lt;&gt;"",CHAR(10),"")&amp;$I117,"")&amp;IF($J117&lt;&gt;"",IF(OR($H117&lt;&gt;"",$I117&lt;&gt;""),CHAR(10),"")&amp;$J117,""))</x:f>
      </x:c>
      <x:c r="R117" s="48" t="str">
        <x:f>IF(OR($A117&lt;&gt;"Yes",$B117=""),"",IF($K117&lt;&gt;"Yes","Count disabled",IF($H117&lt;&gt;"","| search "&amp;$H117,"")&amp;IF($I117&lt;&gt;"",IF($H117&lt;&gt;"",CHAR(10),"")&amp;$I117,"")&amp;IF(OR($H117&lt;&gt;"",$I117&lt;&gt;""),CHAR(10),"")&amp;"| stats count as count"&amp;IF($L117&lt;&gt;""," by "&amp;$L117,"")&amp;IF($M117&lt;&gt;"",CHAR(10)&amp;"| where count &gt;= "&amp;$M117,"")&amp;CHAR(10)&amp;"| sort - count"))</x:f>
      </x:c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8" t="str">
        <x:f>IF($A118&lt;&gt;"Yes","",IF($G118&lt;&gt;"",IFERROR(INDEX($O$6:$O$205,MATCH($G118,$B$6:$B$205,0)),"PARENT SEARCH NOT FOUND"),IFERROR(INDEX('Base Searches'!$E$6:$E$35,MATCH($F118,'Base Searches'!$B$6:$B$35,0)),"BASE NOT FOUND")))</x:f>
      </x:c>
      <x:c r="Q118" s="48" t="str">
        <x:f>IF(OR($A118&lt;&gt;"Yes",$B118=""),"",IF($H118&lt;&gt;"","| search "&amp;$H118,"")&amp;IF($I118&lt;&gt;"",IF($H118&lt;&gt;"",CHAR(10),"")&amp;$I118,"")&amp;IF($J118&lt;&gt;"",IF(OR($H118&lt;&gt;"",$I118&lt;&gt;""),CHAR(10),"")&amp;$J118,""))</x:f>
      </x:c>
      <x:c r="R118" s="48" t="str">
        <x:f>IF(OR($A118&lt;&gt;"Yes",$B118=""),"",IF($K118&lt;&gt;"Yes","Count disabled",IF($H118&lt;&gt;"","| search "&amp;$H118,"")&amp;IF($I118&lt;&gt;"",IF($H118&lt;&gt;"",CHAR(10),"")&amp;$I118,"")&amp;IF(OR($H118&lt;&gt;"",$I118&lt;&gt;""),CHAR(10),"")&amp;"| stats count as count"&amp;IF($L118&lt;&gt;""," by "&amp;$L118,"")&amp;IF($M118&lt;&gt;"",CHAR(10)&amp;"| where count &gt;= "&amp;$M118,"")&amp;CHAR(10)&amp;"| sort - count"))</x:f>
      </x:c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8" t="str">
        <x:f>IF($A119&lt;&gt;"Yes","",IF($G119&lt;&gt;"",IFERROR(INDEX($O$6:$O$205,MATCH($G119,$B$6:$B$205,0)),"PARENT SEARCH NOT FOUND"),IFERROR(INDEX('Base Searches'!$E$6:$E$35,MATCH($F119,'Base Searches'!$B$6:$B$35,0)),"BASE NOT FOUND")))</x:f>
      </x:c>
      <x:c r="Q119" s="48" t="str">
        <x:f>IF(OR($A119&lt;&gt;"Yes",$B119=""),"",IF($H119&lt;&gt;"","| search "&amp;$H119,"")&amp;IF($I119&lt;&gt;"",IF($H119&lt;&gt;"",CHAR(10),"")&amp;$I119,"")&amp;IF($J119&lt;&gt;"",IF(OR($H119&lt;&gt;"",$I119&lt;&gt;""),CHAR(10),"")&amp;$J119,""))</x:f>
      </x:c>
      <x:c r="R119" s="48" t="str">
        <x:f>IF(OR($A119&lt;&gt;"Yes",$B119=""),"",IF($K119&lt;&gt;"Yes","Count disabled",IF($H119&lt;&gt;"","| search "&amp;$H119,"")&amp;IF($I119&lt;&gt;"",IF($H119&lt;&gt;"",CHAR(10),"")&amp;$I119,"")&amp;IF(OR($H119&lt;&gt;"",$I119&lt;&gt;""),CHAR(10),"")&amp;"| stats count as count"&amp;IF($L119&lt;&gt;""," by "&amp;$L119,"")&amp;IF($M119&lt;&gt;"",CHAR(10)&amp;"| where count &gt;= "&amp;$M119,"")&amp;CHAR(10)&amp;"| sort - count"))</x:f>
      </x:c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8" t="str">
        <x:f>IF($A120&lt;&gt;"Yes","",IF($G120&lt;&gt;"",IFERROR(INDEX($O$6:$O$205,MATCH($G120,$B$6:$B$205,0)),"PARENT SEARCH NOT FOUND"),IFERROR(INDEX('Base Searches'!$E$6:$E$35,MATCH($F120,'Base Searches'!$B$6:$B$35,0)),"BASE NOT FOUND")))</x:f>
      </x:c>
      <x:c r="Q120" s="48" t="str">
        <x:f>IF(OR($A120&lt;&gt;"Yes",$B120=""),"",IF($H120&lt;&gt;"","| search "&amp;$H120,"")&amp;IF($I120&lt;&gt;"",IF($H120&lt;&gt;"",CHAR(10),"")&amp;$I120,"")&amp;IF($J120&lt;&gt;"",IF(OR($H120&lt;&gt;"",$I120&lt;&gt;""),CHAR(10),"")&amp;$J120,""))</x:f>
      </x:c>
      <x:c r="R120" s="48" t="str">
        <x:f>IF(OR($A120&lt;&gt;"Yes",$B120=""),"",IF($K120&lt;&gt;"Yes","Count disabled",IF($H120&lt;&gt;"","| search "&amp;$H120,"")&amp;IF($I120&lt;&gt;"",IF($H120&lt;&gt;"",CHAR(10),"")&amp;$I120,"")&amp;IF(OR($H120&lt;&gt;"",$I120&lt;&gt;""),CHAR(10),"")&amp;"| stats count as count"&amp;IF($L120&lt;&gt;""," by "&amp;$L120,"")&amp;IF($M120&lt;&gt;"",CHAR(10)&amp;"| where count &gt;= "&amp;$M120,"")&amp;CHAR(10)&amp;"| sort - count"))</x:f>
      </x:c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8" t="str">
        <x:f>IF($A121&lt;&gt;"Yes","",IF($G121&lt;&gt;"",IFERROR(INDEX($O$6:$O$205,MATCH($G121,$B$6:$B$205,0)),"PARENT SEARCH NOT FOUND"),IFERROR(INDEX('Base Searches'!$E$6:$E$35,MATCH($F121,'Base Searches'!$B$6:$B$35,0)),"BASE NOT FOUND")))</x:f>
      </x:c>
      <x:c r="Q121" s="48" t="str">
        <x:f>IF(OR($A121&lt;&gt;"Yes",$B121=""),"",IF($H121&lt;&gt;"","| search "&amp;$H121,"")&amp;IF($I121&lt;&gt;"",IF($H121&lt;&gt;"",CHAR(10),"")&amp;$I121,"")&amp;IF($J121&lt;&gt;"",IF(OR($H121&lt;&gt;"",$I121&lt;&gt;""),CHAR(10),"")&amp;$J121,""))</x:f>
      </x:c>
      <x:c r="R121" s="48" t="str">
        <x:f>IF(OR($A121&lt;&gt;"Yes",$B121=""),"",IF($K121&lt;&gt;"Yes","Count disabled",IF($H121&lt;&gt;"","| search "&amp;$H121,"")&amp;IF($I121&lt;&gt;"",IF($H121&lt;&gt;"",CHAR(10),"")&amp;$I121,"")&amp;IF(OR($H121&lt;&gt;"",$I121&lt;&gt;""),CHAR(10),"")&amp;"| stats count as count"&amp;IF($L121&lt;&gt;""," by "&amp;$L121,"")&amp;IF($M121&lt;&gt;"",CHAR(10)&amp;"| where count &gt;= "&amp;$M121,"")&amp;CHAR(10)&amp;"| sort - count"))</x:f>
      </x:c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8" t="str">
        <x:f>IF($A122&lt;&gt;"Yes","",IF($G122&lt;&gt;"",IFERROR(INDEX($O$6:$O$205,MATCH($G122,$B$6:$B$205,0)),"PARENT SEARCH NOT FOUND"),IFERROR(INDEX('Base Searches'!$E$6:$E$35,MATCH($F122,'Base Searches'!$B$6:$B$35,0)),"BASE NOT FOUND")))</x:f>
      </x:c>
      <x:c r="Q122" s="48" t="str">
        <x:f>IF(OR($A122&lt;&gt;"Yes",$B122=""),"",IF($H122&lt;&gt;"","| search "&amp;$H122,"")&amp;IF($I122&lt;&gt;"",IF($H122&lt;&gt;"",CHAR(10),"")&amp;$I122,"")&amp;IF($J122&lt;&gt;"",IF(OR($H122&lt;&gt;"",$I122&lt;&gt;""),CHAR(10),"")&amp;$J122,""))</x:f>
      </x:c>
      <x:c r="R122" s="48" t="str">
        <x:f>IF(OR($A122&lt;&gt;"Yes",$B122=""),"",IF($K122&lt;&gt;"Yes","Count disabled",IF($H122&lt;&gt;"","| search "&amp;$H122,"")&amp;IF($I122&lt;&gt;"",IF($H122&lt;&gt;"",CHAR(10),"")&amp;$I122,"")&amp;IF(OR($H122&lt;&gt;"",$I122&lt;&gt;""),CHAR(10),"")&amp;"| stats count as count"&amp;IF($L122&lt;&gt;""," by "&amp;$L122,"")&amp;IF($M122&lt;&gt;"",CHAR(10)&amp;"| where count &gt;= "&amp;$M122,"")&amp;CHAR(10)&amp;"| sort - count"))</x:f>
      </x:c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8" t="str">
        <x:f>IF($A123&lt;&gt;"Yes","",IF($G123&lt;&gt;"",IFERROR(INDEX($O$6:$O$205,MATCH($G123,$B$6:$B$205,0)),"PARENT SEARCH NOT FOUND"),IFERROR(INDEX('Base Searches'!$E$6:$E$35,MATCH($F123,'Base Searches'!$B$6:$B$35,0)),"BASE NOT FOUND")))</x:f>
      </x:c>
      <x:c r="Q123" s="48" t="str">
        <x:f>IF(OR($A123&lt;&gt;"Yes",$B123=""),"",IF($H123&lt;&gt;"","| search "&amp;$H123,"")&amp;IF($I123&lt;&gt;"",IF($H123&lt;&gt;"",CHAR(10),"")&amp;$I123,"")&amp;IF($J123&lt;&gt;"",IF(OR($H123&lt;&gt;"",$I123&lt;&gt;""),CHAR(10),"")&amp;$J123,""))</x:f>
      </x:c>
      <x:c r="R123" s="48" t="str">
        <x:f>IF(OR($A123&lt;&gt;"Yes",$B123=""),"",IF($K123&lt;&gt;"Yes","Count disabled",IF($H123&lt;&gt;"","| search "&amp;$H123,"")&amp;IF($I123&lt;&gt;"",IF($H123&lt;&gt;"",CHAR(10),"")&amp;$I123,"")&amp;IF(OR($H123&lt;&gt;"",$I123&lt;&gt;""),CHAR(10),"")&amp;"| stats count as count"&amp;IF($L123&lt;&gt;""," by "&amp;$L123,"")&amp;IF($M123&lt;&gt;"",CHAR(10)&amp;"| where count &gt;= "&amp;$M123,"")&amp;CHAR(10)&amp;"| sort - count"))</x:f>
      </x:c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8" t="str">
        <x:f>IF($A124&lt;&gt;"Yes","",IF($G124&lt;&gt;"",IFERROR(INDEX($O$6:$O$205,MATCH($G124,$B$6:$B$205,0)),"PARENT SEARCH NOT FOUND"),IFERROR(INDEX('Base Searches'!$E$6:$E$35,MATCH($F124,'Base Searches'!$B$6:$B$35,0)),"BASE NOT FOUND")))</x:f>
      </x:c>
      <x:c r="Q124" s="48" t="str">
        <x:f>IF(OR($A124&lt;&gt;"Yes",$B124=""),"",IF($H124&lt;&gt;"","| search "&amp;$H124,"")&amp;IF($I124&lt;&gt;"",IF($H124&lt;&gt;"",CHAR(10),"")&amp;$I124,"")&amp;IF($J124&lt;&gt;"",IF(OR($H124&lt;&gt;"",$I124&lt;&gt;""),CHAR(10),"")&amp;$J124,""))</x:f>
      </x:c>
      <x:c r="R124" s="48" t="str">
        <x:f>IF(OR($A124&lt;&gt;"Yes",$B124=""),"",IF($K124&lt;&gt;"Yes","Count disabled",IF($H124&lt;&gt;"","| search "&amp;$H124,"")&amp;IF($I124&lt;&gt;"",IF($H124&lt;&gt;"",CHAR(10),"")&amp;$I124,"")&amp;IF(OR($H124&lt;&gt;"",$I124&lt;&gt;""),CHAR(10),"")&amp;"| stats count as count"&amp;IF($L124&lt;&gt;""," by "&amp;$L124,"")&amp;IF($M124&lt;&gt;"",CHAR(10)&amp;"| where count &gt;= "&amp;$M124,"")&amp;CHAR(10)&amp;"| sort - count"))</x:f>
      </x:c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8" t="str">
        <x:f>IF($A125&lt;&gt;"Yes","",IF($G125&lt;&gt;"",IFERROR(INDEX($O$6:$O$205,MATCH($G125,$B$6:$B$205,0)),"PARENT SEARCH NOT FOUND"),IFERROR(INDEX('Base Searches'!$E$6:$E$35,MATCH($F125,'Base Searches'!$B$6:$B$35,0)),"BASE NOT FOUND")))</x:f>
      </x:c>
      <x:c r="Q125" s="48" t="str">
        <x:f>IF(OR($A125&lt;&gt;"Yes",$B125=""),"",IF($H125&lt;&gt;"","| search "&amp;$H125,"")&amp;IF($I125&lt;&gt;"",IF($H125&lt;&gt;"",CHAR(10),"")&amp;$I125,"")&amp;IF($J125&lt;&gt;"",IF(OR($H125&lt;&gt;"",$I125&lt;&gt;""),CHAR(10),"")&amp;$J125,""))</x:f>
      </x:c>
      <x:c r="R125" s="48" t="str">
        <x:f>IF(OR($A125&lt;&gt;"Yes",$B125=""),"",IF($K125&lt;&gt;"Yes","Count disabled",IF($H125&lt;&gt;"","| search "&amp;$H125,"")&amp;IF($I125&lt;&gt;"",IF($H125&lt;&gt;"",CHAR(10),"")&amp;$I125,"")&amp;IF(OR($H125&lt;&gt;"",$I125&lt;&gt;""),CHAR(10),"")&amp;"| stats count as count"&amp;IF($L125&lt;&gt;""," by "&amp;$L125,"")&amp;IF($M125&lt;&gt;"",CHAR(10)&amp;"| where count &gt;= "&amp;$M125,"")&amp;CHAR(10)&amp;"| sort - count"))</x:f>
      </x:c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8" t="str">
        <x:f>IF($A126&lt;&gt;"Yes","",IF($G126&lt;&gt;"",IFERROR(INDEX($O$6:$O$205,MATCH($G126,$B$6:$B$205,0)),"PARENT SEARCH NOT FOUND"),IFERROR(INDEX('Base Searches'!$E$6:$E$35,MATCH($F126,'Base Searches'!$B$6:$B$35,0)),"BASE NOT FOUND")))</x:f>
      </x:c>
      <x:c r="Q126" s="48" t="str">
        <x:f>IF(OR($A126&lt;&gt;"Yes",$B126=""),"",IF($H126&lt;&gt;"","| search "&amp;$H126,"")&amp;IF($I126&lt;&gt;"",IF($H126&lt;&gt;"",CHAR(10),"")&amp;$I126,"")&amp;IF($J126&lt;&gt;"",IF(OR($H126&lt;&gt;"",$I126&lt;&gt;""),CHAR(10),"")&amp;$J126,""))</x:f>
      </x:c>
      <x:c r="R126" s="48" t="str">
        <x:f>IF(OR($A126&lt;&gt;"Yes",$B126=""),"",IF($K126&lt;&gt;"Yes","Count disabled",IF($H126&lt;&gt;"","| search "&amp;$H126,"")&amp;IF($I126&lt;&gt;"",IF($H126&lt;&gt;"",CHAR(10),"")&amp;$I126,"")&amp;IF(OR($H126&lt;&gt;"",$I126&lt;&gt;""),CHAR(10),"")&amp;"| stats count as count"&amp;IF($L126&lt;&gt;""," by "&amp;$L126,"")&amp;IF($M126&lt;&gt;"",CHAR(10)&amp;"| where count &gt;= "&amp;$M126,"")&amp;CHAR(10)&amp;"| sort - count"))</x:f>
      </x:c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8" t="str">
        <x:f>IF($A127&lt;&gt;"Yes","",IF($G127&lt;&gt;"",IFERROR(INDEX($O$6:$O$205,MATCH($G127,$B$6:$B$205,0)),"PARENT SEARCH NOT FOUND"),IFERROR(INDEX('Base Searches'!$E$6:$E$35,MATCH($F127,'Base Searches'!$B$6:$B$35,0)),"BASE NOT FOUND")))</x:f>
      </x:c>
      <x:c r="Q127" s="48" t="str">
        <x:f>IF(OR($A127&lt;&gt;"Yes",$B127=""),"",IF($H127&lt;&gt;"","| search "&amp;$H127,"")&amp;IF($I127&lt;&gt;"",IF($H127&lt;&gt;"",CHAR(10),"")&amp;$I127,"")&amp;IF($J127&lt;&gt;"",IF(OR($H127&lt;&gt;"",$I127&lt;&gt;""),CHAR(10),"")&amp;$J127,""))</x:f>
      </x:c>
      <x:c r="R127" s="48" t="str">
        <x:f>IF(OR($A127&lt;&gt;"Yes",$B127=""),"",IF($K127&lt;&gt;"Yes","Count disabled",IF($H127&lt;&gt;"","| search "&amp;$H127,"")&amp;IF($I127&lt;&gt;"",IF($H127&lt;&gt;"",CHAR(10),"")&amp;$I127,"")&amp;IF(OR($H127&lt;&gt;"",$I127&lt;&gt;""),CHAR(10),"")&amp;"| stats count as count"&amp;IF($L127&lt;&gt;""," by "&amp;$L127,"")&amp;IF($M127&lt;&gt;"",CHAR(10)&amp;"| where count &gt;= "&amp;$M127,"")&amp;CHAR(10)&amp;"| sort - count"))</x:f>
      </x:c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8" t="str">
        <x:f>IF($A128&lt;&gt;"Yes","",IF($G128&lt;&gt;"",IFERROR(INDEX($O$6:$O$205,MATCH($G128,$B$6:$B$205,0)),"PARENT SEARCH NOT FOUND"),IFERROR(INDEX('Base Searches'!$E$6:$E$35,MATCH($F128,'Base Searches'!$B$6:$B$35,0)),"BASE NOT FOUND")))</x:f>
      </x:c>
      <x:c r="Q128" s="48" t="str">
        <x:f>IF(OR($A128&lt;&gt;"Yes",$B128=""),"",IF($H128&lt;&gt;"","| search "&amp;$H128,"")&amp;IF($I128&lt;&gt;"",IF($H128&lt;&gt;"",CHAR(10),"")&amp;$I128,"")&amp;IF($J128&lt;&gt;"",IF(OR($H128&lt;&gt;"",$I128&lt;&gt;""),CHAR(10),"")&amp;$J128,""))</x:f>
      </x:c>
      <x:c r="R128" s="48" t="str">
        <x:f>IF(OR($A128&lt;&gt;"Yes",$B128=""),"",IF($K128&lt;&gt;"Yes","Count disabled",IF($H128&lt;&gt;"","| search "&amp;$H128,"")&amp;IF($I128&lt;&gt;"",IF($H128&lt;&gt;"",CHAR(10),"")&amp;$I128,"")&amp;IF(OR($H128&lt;&gt;"",$I128&lt;&gt;""),CHAR(10),"")&amp;"| stats count as count"&amp;IF($L128&lt;&gt;""," by "&amp;$L128,"")&amp;IF($M128&lt;&gt;"",CHAR(10)&amp;"| where count &gt;= "&amp;$M128,"")&amp;CHAR(10)&amp;"| sort - count"))</x:f>
      </x:c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8" t="str">
        <x:f>IF($A129&lt;&gt;"Yes","",IF($G129&lt;&gt;"",IFERROR(INDEX($O$6:$O$205,MATCH($G129,$B$6:$B$205,0)),"PARENT SEARCH NOT FOUND"),IFERROR(INDEX('Base Searches'!$E$6:$E$35,MATCH($F129,'Base Searches'!$B$6:$B$35,0)),"BASE NOT FOUND")))</x:f>
      </x:c>
      <x:c r="Q129" s="48" t="str">
        <x:f>IF(OR($A129&lt;&gt;"Yes",$B129=""),"",IF($H129&lt;&gt;"","| search "&amp;$H129,"")&amp;IF($I129&lt;&gt;"",IF($H129&lt;&gt;"",CHAR(10),"")&amp;$I129,"")&amp;IF($J129&lt;&gt;"",IF(OR($H129&lt;&gt;"",$I129&lt;&gt;""),CHAR(10),"")&amp;$J129,""))</x:f>
      </x:c>
      <x:c r="R129" s="48" t="str">
        <x:f>IF(OR($A129&lt;&gt;"Yes",$B129=""),"",IF($K129&lt;&gt;"Yes","Count disabled",IF($H129&lt;&gt;"","| search "&amp;$H129,"")&amp;IF($I129&lt;&gt;"",IF($H129&lt;&gt;"",CHAR(10),"")&amp;$I129,"")&amp;IF(OR($H129&lt;&gt;"",$I129&lt;&gt;""),CHAR(10),"")&amp;"| stats count as count"&amp;IF($L129&lt;&gt;""," by "&amp;$L129,"")&amp;IF($M129&lt;&gt;"",CHAR(10)&amp;"| where count &gt;= "&amp;$M129,"")&amp;CHAR(10)&amp;"| sort - count"))</x:f>
      </x:c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8" t="str">
        <x:f>IF($A130&lt;&gt;"Yes","",IF($G130&lt;&gt;"",IFERROR(INDEX($O$6:$O$205,MATCH($G130,$B$6:$B$205,0)),"PARENT SEARCH NOT FOUND"),IFERROR(INDEX('Base Searches'!$E$6:$E$35,MATCH($F130,'Base Searches'!$B$6:$B$35,0)),"BASE NOT FOUND")))</x:f>
      </x:c>
      <x:c r="Q130" s="48" t="str">
        <x:f>IF(OR($A130&lt;&gt;"Yes",$B130=""),"",IF($H130&lt;&gt;"","| search "&amp;$H130,"")&amp;IF($I130&lt;&gt;"",IF($H130&lt;&gt;"",CHAR(10),"")&amp;$I130,"")&amp;IF($J130&lt;&gt;"",IF(OR($H130&lt;&gt;"",$I130&lt;&gt;""),CHAR(10),"")&amp;$J130,""))</x:f>
      </x:c>
      <x:c r="R130" s="48" t="str">
        <x:f>IF(OR($A130&lt;&gt;"Yes",$B130=""),"",IF($K130&lt;&gt;"Yes","Count disabled",IF($H130&lt;&gt;"","| search "&amp;$H130,"")&amp;IF($I130&lt;&gt;"",IF($H130&lt;&gt;"",CHAR(10),"")&amp;$I130,"")&amp;IF(OR($H130&lt;&gt;"",$I130&lt;&gt;""),CHAR(10),"")&amp;"| stats count as count"&amp;IF($L130&lt;&gt;""," by "&amp;$L130,"")&amp;IF($M130&lt;&gt;"",CHAR(10)&amp;"| where count &gt;= "&amp;$M130,"")&amp;CHAR(10)&amp;"| sort - count"))</x:f>
      </x:c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8" t="str">
        <x:f>IF($A131&lt;&gt;"Yes","",IF($G131&lt;&gt;"",IFERROR(INDEX($O$6:$O$205,MATCH($G131,$B$6:$B$205,0)),"PARENT SEARCH NOT FOUND"),IFERROR(INDEX('Base Searches'!$E$6:$E$35,MATCH($F131,'Base Searches'!$B$6:$B$35,0)),"BASE NOT FOUND")))</x:f>
      </x:c>
      <x:c r="Q131" s="48" t="str">
        <x:f>IF(OR($A131&lt;&gt;"Yes",$B131=""),"",IF($H131&lt;&gt;"","| search "&amp;$H131,"")&amp;IF($I131&lt;&gt;"",IF($H131&lt;&gt;"",CHAR(10),"")&amp;$I131,"")&amp;IF($J131&lt;&gt;"",IF(OR($H131&lt;&gt;"",$I131&lt;&gt;""),CHAR(10),"")&amp;$J131,""))</x:f>
      </x:c>
      <x:c r="R131" s="48" t="str">
        <x:f>IF(OR($A131&lt;&gt;"Yes",$B131=""),"",IF($K131&lt;&gt;"Yes","Count disabled",IF($H131&lt;&gt;"","| search "&amp;$H131,"")&amp;IF($I131&lt;&gt;"",IF($H131&lt;&gt;"",CHAR(10),"")&amp;$I131,"")&amp;IF(OR($H131&lt;&gt;"",$I131&lt;&gt;""),CHAR(10),"")&amp;"| stats count as count"&amp;IF($L131&lt;&gt;""," by "&amp;$L131,"")&amp;IF($M131&lt;&gt;"",CHAR(10)&amp;"| where count &gt;= "&amp;$M131,"")&amp;CHAR(10)&amp;"| sort - count"))</x:f>
      </x:c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8" t="str">
        <x:f>IF($A132&lt;&gt;"Yes","",IF($G132&lt;&gt;"",IFERROR(INDEX($O$6:$O$205,MATCH($G132,$B$6:$B$205,0)),"PARENT SEARCH NOT FOUND"),IFERROR(INDEX('Base Searches'!$E$6:$E$35,MATCH($F132,'Base Searches'!$B$6:$B$35,0)),"BASE NOT FOUND")))</x:f>
      </x:c>
      <x:c r="Q132" s="48" t="str">
        <x:f>IF(OR($A132&lt;&gt;"Yes",$B132=""),"",IF($H132&lt;&gt;"","| search "&amp;$H132,"")&amp;IF($I132&lt;&gt;"",IF($H132&lt;&gt;"",CHAR(10),"")&amp;$I132,"")&amp;IF($J132&lt;&gt;"",IF(OR($H132&lt;&gt;"",$I132&lt;&gt;""),CHAR(10),"")&amp;$J132,""))</x:f>
      </x:c>
      <x:c r="R132" s="48" t="str">
        <x:f>IF(OR($A132&lt;&gt;"Yes",$B132=""),"",IF($K132&lt;&gt;"Yes","Count disabled",IF($H132&lt;&gt;"","| search "&amp;$H132,"")&amp;IF($I132&lt;&gt;"",IF($H132&lt;&gt;"",CHAR(10),"")&amp;$I132,"")&amp;IF(OR($H132&lt;&gt;"",$I132&lt;&gt;""),CHAR(10),"")&amp;"| stats count as count"&amp;IF($L132&lt;&gt;""," by "&amp;$L132,"")&amp;IF($M132&lt;&gt;"",CHAR(10)&amp;"| where count &gt;= "&amp;$M132,"")&amp;CHAR(10)&amp;"| sort - count"))</x:f>
      </x:c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8" t="str">
        <x:f>IF($A133&lt;&gt;"Yes","",IF($G133&lt;&gt;"",IFERROR(INDEX($O$6:$O$205,MATCH($G133,$B$6:$B$205,0)),"PARENT SEARCH NOT FOUND"),IFERROR(INDEX('Base Searches'!$E$6:$E$35,MATCH($F133,'Base Searches'!$B$6:$B$35,0)),"BASE NOT FOUND")))</x:f>
      </x:c>
      <x:c r="Q133" s="48" t="str">
        <x:f>IF(OR($A133&lt;&gt;"Yes",$B133=""),"",IF($H133&lt;&gt;"","| search "&amp;$H133,"")&amp;IF($I133&lt;&gt;"",IF($H133&lt;&gt;"",CHAR(10),"")&amp;$I133,"")&amp;IF($J133&lt;&gt;"",IF(OR($H133&lt;&gt;"",$I133&lt;&gt;""),CHAR(10),"")&amp;$J133,""))</x:f>
      </x:c>
      <x:c r="R133" s="48" t="str">
        <x:f>IF(OR($A133&lt;&gt;"Yes",$B133=""),"",IF($K133&lt;&gt;"Yes","Count disabled",IF($H133&lt;&gt;"","| search "&amp;$H133,"")&amp;IF($I133&lt;&gt;"",IF($H133&lt;&gt;"",CHAR(10),"")&amp;$I133,"")&amp;IF(OR($H133&lt;&gt;"",$I133&lt;&gt;""),CHAR(10),"")&amp;"| stats count as count"&amp;IF($L133&lt;&gt;""," by "&amp;$L133,"")&amp;IF($M133&lt;&gt;"",CHAR(10)&amp;"| where count &gt;= "&amp;$M133,"")&amp;CHAR(10)&amp;"| sort - count"))</x:f>
      </x:c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8" t="str">
        <x:f>IF($A134&lt;&gt;"Yes","",IF($G134&lt;&gt;"",IFERROR(INDEX($O$6:$O$205,MATCH($G134,$B$6:$B$205,0)),"PARENT SEARCH NOT FOUND"),IFERROR(INDEX('Base Searches'!$E$6:$E$35,MATCH($F134,'Base Searches'!$B$6:$B$35,0)),"BASE NOT FOUND")))</x:f>
      </x:c>
      <x:c r="Q134" s="48" t="str">
        <x:f>IF(OR($A134&lt;&gt;"Yes",$B134=""),"",IF($H134&lt;&gt;"","| search "&amp;$H134,"")&amp;IF($I134&lt;&gt;"",IF($H134&lt;&gt;"",CHAR(10),"")&amp;$I134,"")&amp;IF($J134&lt;&gt;"",IF(OR($H134&lt;&gt;"",$I134&lt;&gt;""),CHAR(10),"")&amp;$J134,""))</x:f>
      </x:c>
      <x:c r="R134" s="48" t="str">
        <x:f>IF(OR($A134&lt;&gt;"Yes",$B134=""),"",IF($K134&lt;&gt;"Yes","Count disabled",IF($H134&lt;&gt;"","| search "&amp;$H134,"")&amp;IF($I134&lt;&gt;"",IF($H134&lt;&gt;"",CHAR(10),"")&amp;$I134,"")&amp;IF(OR($H134&lt;&gt;"",$I134&lt;&gt;""),CHAR(10),"")&amp;"| stats count as count"&amp;IF($L134&lt;&gt;""," by "&amp;$L134,"")&amp;IF($M134&lt;&gt;"",CHAR(10)&amp;"| where count &gt;= "&amp;$M134,"")&amp;CHAR(10)&amp;"| sort - count"))</x:f>
      </x:c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8" t="str">
        <x:f>IF($A135&lt;&gt;"Yes","",IF($G135&lt;&gt;"",IFERROR(INDEX($O$6:$O$205,MATCH($G135,$B$6:$B$205,0)),"PARENT SEARCH NOT FOUND"),IFERROR(INDEX('Base Searches'!$E$6:$E$35,MATCH($F135,'Base Searches'!$B$6:$B$35,0)),"BASE NOT FOUND")))</x:f>
      </x:c>
      <x:c r="Q135" s="48" t="str">
        <x:f>IF(OR($A135&lt;&gt;"Yes",$B135=""),"",IF($H135&lt;&gt;"","| search "&amp;$H135,"")&amp;IF($I135&lt;&gt;"",IF($H135&lt;&gt;"",CHAR(10),"")&amp;$I135,"")&amp;IF($J135&lt;&gt;"",IF(OR($H135&lt;&gt;"",$I135&lt;&gt;""),CHAR(10),"")&amp;$J135,""))</x:f>
      </x:c>
      <x:c r="R135" s="48" t="str">
        <x:f>IF(OR($A135&lt;&gt;"Yes",$B135=""),"",IF($K135&lt;&gt;"Yes","Count disabled",IF($H135&lt;&gt;"","| search "&amp;$H135,"")&amp;IF($I135&lt;&gt;"",IF($H135&lt;&gt;"",CHAR(10),"")&amp;$I135,"")&amp;IF(OR($H135&lt;&gt;"",$I135&lt;&gt;""),CHAR(10),"")&amp;"| stats count as count"&amp;IF($L135&lt;&gt;""," by "&amp;$L135,"")&amp;IF($M135&lt;&gt;"",CHAR(10)&amp;"| where count &gt;= "&amp;$M135,"")&amp;CHAR(10)&amp;"| sort - count"))</x:f>
      </x:c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8" t="str">
        <x:f>IF($A136&lt;&gt;"Yes","",IF($G136&lt;&gt;"",IFERROR(INDEX($O$6:$O$205,MATCH($G136,$B$6:$B$205,0)),"PARENT SEARCH NOT FOUND"),IFERROR(INDEX('Base Searches'!$E$6:$E$35,MATCH($F136,'Base Searches'!$B$6:$B$35,0)),"BASE NOT FOUND")))</x:f>
      </x:c>
      <x:c r="Q136" s="48" t="str">
        <x:f>IF(OR($A136&lt;&gt;"Yes",$B136=""),"",IF($H136&lt;&gt;"","| search "&amp;$H136,"")&amp;IF($I136&lt;&gt;"",IF($H136&lt;&gt;"",CHAR(10),"")&amp;$I136,"")&amp;IF($J136&lt;&gt;"",IF(OR($H136&lt;&gt;"",$I136&lt;&gt;""),CHAR(10),"")&amp;$J136,""))</x:f>
      </x:c>
      <x:c r="R136" s="48" t="str">
        <x:f>IF(OR($A136&lt;&gt;"Yes",$B136=""),"",IF($K136&lt;&gt;"Yes","Count disabled",IF($H136&lt;&gt;"","| search "&amp;$H136,"")&amp;IF($I136&lt;&gt;"",IF($H136&lt;&gt;"",CHAR(10),"")&amp;$I136,"")&amp;IF(OR($H136&lt;&gt;"",$I136&lt;&gt;""),CHAR(10),"")&amp;"| stats count as count"&amp;IF($L136&lt;&gt;""," by "&amp;$L136,"")&amp;IF($M136&lt;&gt;"",CHAR(10)&amp;"| where count &gt;= "&amp;$M136,"")&amp;CHAR(10)&amp;"| sort - count"))</x:f>
      </x:c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8" t="str">
        <x:f>IF($A137&lt;&gt;"Yes","",IF($G137&lt;&gt;"",IFERROR(INDEX($O$6:$O$205,MATCH($G137,$B$6:$B$205,0)),"PARENT SEARCH NOT FOUND"),IFERROR(INDEX('Base Searches'!$E$6:$E$35,MATCH($F137,'Base Searches'!$B$6:$B$35,0)),"BASE NOT FOUND")))</x:f>
      </x:c>
      <x:c r="Q137" s="48" t="str">
        <x:f>IF(OR($A137&lt;&gt;"Yes",$B137=""),"",IF($H137&lt;&gt;"","| search "&amp;$H137,"")&amp;IF($I137&lt;&gt;"",IF($H137&lt;&gt;"",CHAR(10),"")&amp;$I137,"")&amp;IF($J137&lt;&gt;"",IF(OR($H137&lt;&gt;"",$I137&lt;&gt;""),CHAR(10),"")&amp;$J137,""))</x:f>
      </x:c>
      <x:c r="R137" s="48" t="str">
        <x:f>IF(OR($A137&lt;&gt;"Yes",$B137=""),"",IF($K137&lt;&gt;"Yes","Count disabled",IF($H137&lt;&gt;"","| search "&amp;$H137,"")&amp;IF($I137&lt;&gt;"",IF($H137&lt;&gt;"",CHAR(10),"")&amp;$I137,"")&amp;IF(OR($H137&lt;&gt;"",$I137&lt;&gt;""),CHAR(10),"")&amp;"| stats count as count"&amp;IF($L137&lt;&gt;""," by "&amp;$L137,"")&amp;IF($M137&lt;&gt;"",CHAR(10)&amp;"| where count &gt;= "&amp;$M137,"")&amp;CHAR(10)&amp;"| sort - count"))</x:f>
      </x:c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8" t="str">
        <x:f>IF($A138&lt;&gt;"Yes","",IF($G138&lt;&gt;"",IFERROR(INDEX($O$6:$O$205,MATCH($G138,$B$6:$B$205,0)),"PARENT SEARCH NOT FOUND"),IFERROR(INDEX('Base Searches'!$E$6:$E$35,MATCH($F138,'Base Searches'!$B$6:$B$35,0)),"BASE NOT FOUND")))</x:f>
      </x:c>
      <x:c r="Q138" s="48" t="str">
        <x:f>IF(OR($A138&lt;&gt;"Yes",$B138=""),"",IF($H138&lt;&gt;"","| search "&amp;$H138,"")&amp;IF($I138&lt;&gt;"",IF($H138&lt;&gt;"",CHAR(10),"")&amp;$I138,"")&amp;IF($J138&lt;&gt;"",IF(OR($H138&lt;&gt;"",$I138&lt;&gt;""),CHAR(10),"")&amp;$J138,""))</x:f>
      </x:c>
      <x:c r="R138" s="48" t="str">
        <x:f>IF(OR($A138&lt;&gt;"Yes",$B138=""),"",IF($K138&lt;&gt;"Yes","Count disabled",IF($H138&lt;&gt;"","| search "&amp;$H138,"")&amp;IF($I138&lt;&gt;"",IF($H138&lt;&gt;"",CHAR(10),"")&amp;$I138,"")&amp;IF(OR($H138&lt;&gt;"",$I138&lt;&gt;""),CHAR(10),"")&amp;"| stats count as count"&amp;IF($L138&lt;&gt;""," by "&amp;$L138,"")&amp;IF($M138&lt;&gt;"",CHAR(10)&amp;"| where count &gt;= "&amp;$M138,"")&amp;CHAR(10)&amp;"| sort - count"))</x:f>
      </x:c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8" t="str">
        <x:f>IF($A139&lt;&gt;"Yes","",IF($G139&lt;&gt;"",IFERROR(INDEX($O$6:$O$205,MATCH($G139,$B$6:$B$205,0)),"PARENT SEARCH NOT FOUND"),IFERROR(INDEX('Base Searches'!$E$6:$E$35,MATCH($F139,'Base Searches'!$B$6:$B$35,0)),"BASE NOT FOUND")))</x:f>
      </x:c>
      <x:c r="Q139" s="48" t="str">
        <x:f>IF(OR($A139&lt;&gt;"Yes",$B139=""),"",IF($H139&lt;&gt;"","| search "&amp;$H139,"")&amp;IF($I139&lt;&gt;"",IF($H139&lt;&gt;"",CHAR(10),"")&amp;$I139,"")&amp;IF($J139&lt;&gt;"",IF(OR($H139&lt;&gt;"",$I139&lt;&gt;""),CHAR(10),"")&amp;$J139,""))</x:f>
      </x:c>
      <x:c r="R139" s="48" t="str">
        <x:f>IF(OR($A139&lt;&gt;"Yes",$B139=""),"",IF($K139&lt;&gt;"Yes","Count disabled",IF($H139&lt;&gt;"","| search "&amp;$H139,"")&amp;IF($I139&lt;&gt;"",IF($H139&lt;&gt;"",CHAR(10),"")&amp;$I139,"")&amp;IF(OR($H139&lt;&gt;"",$I139&lt;&gt;""),CHAR(10),"")&amp;"| stats count as count"&amp;IF($L139&lt;&gt;""," by "&amp;$L139,"")&amp;IF($M139&lt;&gt;"",CHAR(10)&amp;"| where count &gt;= "&amp;$M139,"")&amp;CHAR(10)&amp;"| sort - count"))</x:f>
      </x:c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8" t="str">
        <x:f>IF($A140&lt;&gt;"Yes","",IF($G140&lt;&gt;"",IFERROR(INDEX($O$6:$O$205,MATCH($G140,$B$6:$B$205,0)),"PARENT SEARCH NOT FOUND"),IFERROR(INDEX('Base Searches'!$E$6:$E$35,MATCH($F140,'Base Searches'!$B$6:$B$35,0)),"BASE NOT FOUND")))</x:f>
      </x:c>
      <x:c r="Q140" s="48" t="str">
        <x:f>IF(OR($A140&lt;&gt;"Yes",$B140=""),"",IF($H140&lt;&gt;"","| search "&amp;$H140,"")&amp;IF($I140&lt;&gt;"",IF($H140&lt;&gt;"",CHAR(10),"")&amp;$I140,"")&amp;IF($J140&lt;&gt;"",IF(OR($H140&lt;&gt;"",$I140&lt;&gt;""),CHAR(10),"")&amp;$J140,""))</x:f>
      </x:c>
      <x:c r="R140" s="48" t="str">
        <x:f>IF(OR($A140&lt;&gt;"Yes",$B140=""),"",IF($K140&lt;&gt;"Yes","Count disabled",IF($H140&lt;&gt;"","| search "&amp;$H140,"")&amp;IF($I140&lt;&gt;"",IF($H140&lt;&gt;"",CHAR(10),"")&amp;$I140,"")&amp;IF(OR($H140&lt;&gt;"",$I140&lt;&gt;""),CHAR(10),"")&amp;"| stats count as count"&amp;IF($L140&lt;&gt;""," by "&amp;$L140,"")&amp;IF($M140&lt;&gt;"",CHAR(10)&amp;"| where count &gt;= "&amp;$M140,"")&amp;CHAR(10)&amp;"| sort - count"))</x:f>
      </x:c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8" t="str">
        <x:f>IF($A141&lt;&gt;"Yes","",IF($G141&lt;&gt;"",IFERROR(INDEX($O$6:$O$205,MATCH($G141,$B$6:$B$205,0)),"PARENT SEARCH NOT FOUND"),IFERROR(INDEX('Base Searches'!$E$6:$E$35,MATCH($F141,'Base Searches'!$B$6:$B$35,0)),"BASE NOT FOUND")))</x:f>
      </x:c>
      <x:c r="Q141" s="48" t="str">
        <x:f>IF(OR($A141&lt;&gt;"Yes",$B141=""),"",IF($H141&lt;&gt;"","| search "&amp;$H141,"")&amp;IF($I141&lt;&gt;"",IF($H141&lt;&gt;"",CHAR(10),"")&amp;$I141,"")&amp;IF($J141&lt;&gt;"",IF(OR($H141&lt;&gt;"",$I141&lt;&gt;""),CHAR(10),"")&amp;$J141,""))</x:f>
      </x:c>
      <x:c r="R141" s="48" t="str">
        <x:f>IF(OR($A141&lt;&gt;"Yes",$B141=""),"",IF($K141&lt;&gt;"Yes","Count disabled",IF($H141&lt;&gt;"","| search "&amp;$H141,"")&amp;IF($I141&lt;&gt;"",IF($H141&lt;&gt;"",CHAR(10),"")&amp;$I141,"")&amp;IF(OR($H141&lt;&gt;"",$I141&lt;&gt;""),CHAR(10),"")&amp;"| stats count as count"&amp;IF($L141&lt;&gt;""," by "&amp;$L141,"")&amp;IF($M141&lt;&gt;"",CHAR(10)&amp;"| where count &gt;= "&amp;$M141,"")&amp;CHAR(10)&amp;"| sort - count"))</x:f>
      </x:c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8" t="str">
        <x:f>IF($A142&lt;&gt;"Yes","",IF($G142&lt;&gt;"",IFERROR(INDEX($O$6:$O$205,MATCH($G142,$B$6:$B$205,0)),"PARENT SEARCH NOT FOUND"),IFERROR(INDEX('Base Searches'!$E$6:$E$35,MATCH($F142,'Base Searches'!$B$6:$B$35,0)),"BASE NOT FOUND")))</x:f>
      </x:c>
      <x:c r="Q142" s="48" t="str">
        <x:f>IF(OR($A142&lt;&gt;"Yes",$B142=""),"",IF($H142&lt;&gt;"","| search "&amp;$H142,"")&amp;IF($I142&lt;&gt;"",IF($H142&lt;&gt;"",CHAR(10),"")&amp;$I142,"")&amp;IF($J142&lt;&gt;"",IF(OR($H142&lt;&gt;"",$I142&lt;&gt;""),CHAR(10),"")&amp;$J142,""))</x:f>
      </x:c>
      <x:c r="R142" s="48" t="str">
        <x:f>IF(OR($A142&lt;&gt;"Yes",$B142=""),"",IF($K142&lt;&gt;"Yes","Count disabled",IF($H142&lt;&gt;"","| search "&amp;$H142,"")&amp;IF($I142&lt;&gt;"",IF($H142&lt;&gt;"",CHAR(10),"")&amp;$I142,"")&amp;IF(OR($H142&lt;&gt;"",$I142&lt;&gt;""),CHAR(10),"")&amp;"| stats count as count"&amp;IF($L142&lt;&gt;""," by "&amp;$L142,"")&amp;IF($M142&lt;&gt;"",CHAR(10)&amp;"| where count &gt;= "&amp;$M142,"")&amp;CHAR(10)&amp;"| sort - count"))</x:f>
      </x:c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8" t="str">
        <x:f>IF($A143&lt;&gt;"Yes","",IF($G143&lt;&gt;"",IFERROR(INDEX($O$6:$O$205,MATCH($G143,$B$6:$B$205,0)),"PARENT SEARCH NOT FOUND"),IFERROR(INDEX('Base Searches'!$E$6:$E$35,MATCH($F143,'Base Searches'!$B$6:$B$35,0)),"BASE NOT FOUND")))</x:f>
      </x:c>
      <x:c r="Q143" s="48" t="str">
        <x:f>IF(OR($A143&lt;&gt;"Yes",$B143=""),"",IF($H143&lt;&gt;"","| search "&amp;$H143,"")&amp;IF($I143&lt;&gt;"",IF($H143&lt;&gt;"",CHAR(10),"")&amp;$I143,"")&amp;IF($J143&lt;&gt;"",IF(OR($H143&lt;&gt;"",$I143&lt;&gt;""),CHAR(10),"")&amp;$J143,""))</x:f>
      </x:c>
      <x:c r="R143" s="48" t="str">
        <x:f>IF(OR($A143&lt;&gt;"Yes",$B143=""),"",IF($K143&lt;&gt;"Yes","Count disabled",IF($H143&lt;&gt;"","| search "&amp;$H143,"")&amp;IF($I143&lt;&gt;"",IF($H143&lt;&gt;"",CHAR(10),"")&amp;$I143,"")&amp;IF(OR($H143&lt;&gt;"",$I143&lt;&gt;""),CHAR(10),"")&amp;"| stats count as count"&amp;IF($L143&lt;&gt;""," by "&amp;$L143,"")&amp;IF($M143&lt;&gt;"",CHAR(10)&amp;"| where count &gt;= "&amp;$M143,"")&amp;CHAR(10)&amp;"| sort - count"))</x:f>
      </x:c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8" t="str">
        <x:f>IF($A144&lt;&gt;"Yes","",IF($G144&lt;&gt;"",IFERROR(INDEX($O$6:$O$205,MATCH($G144,$B$6:$B$205,0)),"PARENT SEARCH NOT FOUND"),IFERROR(INDEX('Base Searches'!$E$6:$E$35,MATCH($F144,'Base Searches'!$B$6:$B$35,0)),"BASE NOT FOUND")))</x:f>
      </x:c>
      <x:c r="Q144" s="48" t="str">
        <x:f>IF(OR($A144&lt;&gt;"Yes",$B144=""),"",IF($H144&lt;&gt;"","| search "&amp;$H144,"")&amp;IF($I144&lt;&gt;"",IF($H144&lt;&gt;"",CHAR(10),"")&amp;$I144,"")&amp;IF($J144&lt;&gt;"",IF(OR($H144&lt;&gt;"",$I144&lt;&gt;""),CHAR(10),"")&amp;$J144,""))</x:f>
      </x:c>
      <x:c r="R144" s="48" t="str">
        <x:f>IF(OR($A144&lt;&gt;"Yes",$B144=""),"",IF($K144&lt;&gt;"Yes","Count disabled",IF($H144&lt;&gt;"","| search "&amp;$H144,"")&amp;IF($I144&lt;&gt;"",IF($H144&lt;&gt;"",CHAR(10),"")&amp;$I144,"")&amp;IF(OR($H144&lt;&gt;"",$I144&lt;&gt;""),CHAR(10),"")&amp;"| stats count as count"&amp;IF($L144&lt;&gt;""," by "&amp;$L144,"")&amp;IF($M144&lt;&gt;"",CHAR(10)&amp;"| where count &gt;= "&amp;$M144,"")&amp;CHAR(10)&amp;"| sort - count"))</x:f>
      </x:c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8" t="str">
        <x:f>IF($A145&lt;&gt;"Yes","",IF($G145&lt;&gt;"",IFERROR(INDEX($O$6:$O$205,MATCH($G145,$B$6:$B$205,0)),"PARENT SEARCH NOT FOUND"),IFERROR(INDEX('Base Searches'!$E$6:$E$35,MATCH($F145,'Base Searches'!$B$6:$B$35,0)),"BASE NOT FOUND")))</x:f>
      </x:c>
      <x:c r="Q145" s="48" t="str">
        <x:f>IF(OR($A145&lt;&gt;"Yes",$B145=""),"",IF($H145&lt;&gt;"","| search "&amp;$H145,"")&amp;IF($I145&lt;&gt;"",IF($H145&lt;&gt;"",CHAR(10),"")&amp;$I145,"")&amp;IF($J145&lt;&gt;"",IF(OR($H145&lt;&gt;"",$I145&lt;&gt;""),CHAR(10),"")&amp;$J145,""))</x:f>
      </x:c>
      <x:c r="R145" s="48" t="str">
        <x:f>IF(OR($A145&lt;&gt;"Yes",$B145=""),"",IF($K145&lt;&gt;"Yes","Count disabled",IF($H145&lt;&gt;"","| search "&amp;$H145,"")&amp;IF($I145&lt;&gt;"",IF($H145&lt;&gt;"",CHAR(10),"")&amp;$I145,"")&amp;IF(OR($H145&lt;&gt;"",$I145&lt;&gt;""),CHAR(10),"")&amp;"| stats count as count"&amp;IF($L145&lt;&gt;""," by "&amp;$L145,"")&amp;IF($M145&lt;&gt;"",CHAR(10)&amp;"| where count &gt;= "&amp;$M145,"")&amp;CHAR(10)&amp;"| sort - count"))</x:f>
      </x:c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8" t="str">
        <x:f>IF($A146&lt;&gt;"Yes","",IF($G146&lt;&gt;"",IFERROR(INDEX($O$6:$O$205,MATCH($G146,$B$6:$B$205,0)),"PARENT SEARCH NOT FOUND"),IFERROR(INDEX('Base Searches'!$E$6:$E$35,MATCH($F146,'Base Searches'!$B$6:$B$35,0)),"BASE NOT FOUND")))</x:f>
      </x:c>
      <x:c r="Q146" s="48" t="str">
        <x:f>IF(OR($A146&lt;&gt;"Yes",$B146=""),"",IF($H146&lt;&gt;"","| search "&amp;$H146,"")&amp;IF($I146&lt;&gt;"",IF($H146&lt;&gt;"",CHAR(10),"")&amp;$I146,"")&amp;IF($J146&lt;&gt;"",IF(OR($H146&lt;&gt;"",$I146&lt;&gt;""),CHAR(10),"")&amp;$J146,""))</x:f>
      </x:c>
      <x:c r="R146" s="48" t="str">
        <x:f>IF(OR($A146&lt;&gt;"Yes",$B146=""),"",IF($K146&lt;&gt;"Yes","Count disabled",IF($H146&lt;&gt;"","| search "&amp;$H146,"")&amp;IF($I146&lt;&gt;"",IF($H146&lt;&gt;"",CHAR(10),"")&amp;$I146,"")&amp;IF(OR($H146&lt;&gt;"",$I146&lt;&gt;""),CHAR(10),"")&amp;"| stats count as count"&amp;IF($L146&lt;&gt;""," by "&amp;$L146,"")&amp;IF($M146&lt;&gt;"",CHAR(10)&amp;"| where count &gt;= "&amp;$M146,"")&amp;CHAR(10)&amp;"| sort - count"))</x:f>
      </x:c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8" t="str">
        <x:f>IF($A147&lt;&gt;"Yes","",IF($G147&lt;&gt;"",IFERROR(INDEX($O$6:$O$205,MATCH($G147,$B$6:$B$205,0)),"PARENT SEARCH NOT FOUND"),IFERROR(INDEX('Base Searches'!$E$6:$E$35,MATCH($F147,'Base Searches'!$B$6:$B$35,0)),"BASE NOT FOUND")))</x:f>
      </x:c>
      <x:c r="Q147" s="48" t="str">
        <x:f>IF(OR($A147&lt;&gt;"Yes",$B147=""),"",IF($H147&lt;&gt;"","| search "&amp;$H147,"")&amp;IF($I147&lt;&gt;"",IF($H147&lt;&gt;"",CHAR(10),"")&amp;$I147,"")&amp;IF($J147&lt;&gt;"",IF(OR($H147&lt;&gt;"",$I147&lt;&gt;""),CHAR(10),"")&amp;$J147,""))</x:f>
      </x:c>
      <x:c r="R147" s="48" t="str">
        <x:f>IF(OR($A147&lt;&gt;"Yes",$B147=""),"",IF($K147&lt;&gt;"Yes","Count disabled",IF($H147&lt;&gt;"","| search "&amp;$H147,"")&amp;IF($I147&lt;&gt;"",IF($H147&lt;&gt;"",CHAR(10),"")&amp;$I147,"")&amp;IF(OR($H147&lt;&gt;"",$I147&lt;&gt;""),CHAR(10),"")&amp;"| stats count as count"&amp;IF($L147&lt;&gt;""," by "&amp;$L147,"")&amp;IF($M147&lt;&gt;"",CHAR(10)&amp;"| where count &gt;= "&amp;$M147,"")&amp;CHAR(10)&amp;"| sort - count"))</x:f>
      </x:c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8" t="str">
        <x:f>IF($A148&lt;&gt;"Yes","",IF($G148&lt;&gt;"",IFERROR(INDEX($O$6:$O$205,MATCH($G148,$B$6:$B$205,0)),"PARENT SEARCH NOT FOUND"),IFERROR(INDEX('Base Searches'!$E$6:$E$35,MATCH($F148,'Base Searches'!$B$6:$B$35,0)),"BASE NOT FOUND")))</x:f>
      </x:c>
      <x:c r="Q148" s="48" t="str">
        <x:f>IF(OR($A148&lt;&gt;"Yes",$B148=""),"",IF($H148&lt;&gt;"","| search "&amp;$H148,"")&amp;IF($I148&lt;&gt;"",IF($H148&lt;&gt;"",CHAR(10),"")&amp;$I148,"")&amp;IF($J148&lt;&gt;"",IF(OR($H148&lt;&gt;"",$I148&lt;&gt;""),CHAR(10),"")&amp;$J148,""))</x:f>
      </x:c>
      <x:c r="R148" s="48" t="str">
        <x:f>IF(OR($A148&lt;&gt;"Yes",$B148=""),"",IF($K148&lt;&gt;"Yes","Count disabled",IF($H148&lt;&gt;"","| search "&amp;$H148,"")&amp;IF($I148&lt;&gt;"",IF($H148&lt;&gt;"",CHAR(10),"")&amp;$I148,"")&amp;IF(OR($H148&lt;&gt;"",$I148&lt;&gt;""),CHAR(10),"")&amp;"| stats count as count"&amp;IF($L148&lt;&gt;""," by "&amp;$L148,"")&amp;IF($M148&lt;&gt;"",CHAR(10)&amp;"| where count &gt;= "&amp;$M148,"")&amp;CHAR(10)&amp;"| sort - count"))</x:f>
      </x:c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8" t="str">
        <x:f>IF($A149&lt;&gt;"Yes","",IF($G149&lt;&gt;"",IFERROR(INDEX($O$6:$O$205,MATCH($G149,$B$6:$B$205,0)),"PARENT SEARCH NOT FOUND"),IFERROR(INDEX('Base Searches'!$E$6:$E$35,MATCH($F149,'Base Searches'!$B$6:$B$35,0)),"BASE NOT FOUND")))</x:f>
      </x:c>
      <x:c r="Q149" s="48" t="str">
        <x:f>IF(OR($A149&lt;&gt;"Yes",$B149=""),"",IF($H149&lt;&gt;"","| search "&amp;$H149,"")&amp;IF($I149&lt;&gt;"",IF($H149&lt;&gt;"",CHAR(10),"")&amp;$I149,"")&amp;IF($J149&lt;&gt;"",IF(OR($H149&lt;&gt;"",$I149&lt;&gt;""),CHAR(10),"")&amp;$J149,""))</x:f>
      </x:c>
      <x:c r="R149" s="48" t="str">
        <x:f>IF(OR($A149&lt;&gt;"Yes",$B149=""),"",IF($K149&lt;&gt;"Yes","Count disabled",IF($H149&lt;&gt;"","| search "&amp;$H149,"")&amp;IF($I149&lt;&gt;"",IF($H149&lt;&gt;"",CHAR(10),"")&amp;$I149,"")&amp;IF(OR($H149&lt;&gt;"",$I149&lt;&gt;""),CHAR(10),"")&amp;"| stats count as count"&amp;IF($L149&lt;&gt;""," by "&amp;$L149,"")&amp;IF($M149&lt;&gt;"",CHAR(10)&amp;"| where count &gt;= "&amp;$M149,"")&amp;CHAR(10)&amp;"| sort - count"))</x:f>
      </x:c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8" t="str">
        <x:f>IF($A150&lt;&gt;"Yes","",IF($G150&lt;&gt;"",IFERROR(INDEX($O$6:$O$205,MATCH($G150,$B$6:$B$205,0)),"PARENT SEARCH NOT FOUND"),IFERROR(INDEX('Base Searches'!$E$6:$E$35,MATCH($F150,'Base Searches'!$B$6:$B$35,0)),"BASE NOT FOUND")))</x:f>
      </x:c>
      <x:c r="Q150" s="48" t="str">
        <x:f>IF(OR($A150&lt;&gt;"Yes",$B150=""),"",IF($H150&lt;&gt;"","| search "&amp;$H150,"")&amp;IF($I150&lt;&gt;"",IF($H150&lt;&gt;"",CHAR(10),"")&amp;$I150,"")&amp;IF($J150&lt;&gt;"",IF(OR($H150&lt;&gt;"",$I150&lt;&gt;""),CHAR(10),"")&amp;$J150,""))</x:f>
      </x:c>
      <x:c r="R150" s="48" t="str">
        <x:f>IF(OR($A150&lt;&gt;"Yes",$B150=""),"",IF($K150&lt;&gt;"Yes","Count disabled",IF($H150&lt;&gt;"","| search "&amp;$H150,"")&amp;IF($I150&lt;&gt;"",IF($H150&lt;&gt;"",CHAR(10),"")&amp;$I150,"")&amp;IF(OR($H150&lt;&gt;"",$I150&lt;&gt;""),CHAR(10),"")&amp;"| stats count as count"&amp;IF($L150&lt;&gt;""," by "&amp;$L150,"")&amp;IF($M150&lt;&gt;"",CHAR(10)&amp;"| where count &gt;= "&amp;$M150,"")&amp;CHAR(10)&amp;"| sort - count"))</x:f>
      </x:c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8" t="str">
        <x:f>IF($A151&lt;&gt;"Yes","",IF($G151&lt;&gt;"",IFERROR(INDEX($O$6:$O$205,MATCH($G151,$B$6:$B$205,0)),"PARENT SEARCH NOT FOUND"),IFERROR(INDEX('Base Searches'!$E$6:$E$35,MATCH($F151,'Base Searches'!$B$6:$B$35,0)),"BASE NOT FOUND")))</x:f>
      </x:c>
      <x:c r="Q151" s="48" t="str">
        <x:f>IF(OR($A151&lt;&gt;"Yes",$B151=""),"",IF($H151&lt;&gt;"","| search "&amp;$H151,"")&amp;IF($I151&lt;&gt;"",IF($H151&lt;&gt;"",CHAR(10),"")&amp;$I151,"")&amp;IF($J151&lt;&gt;"",IF(OR($H151&lt;&gt;"",$I151&lt;&gt;""),CHAR(10),"")&amp;$J151,""))</x:f>
      </x:c>
      <x:c r="R151" s="48" t="str">
        <x:f>IF(OR($A151&lt;&gt;"Yes",$B151=""),"",IF($K151&lt;&gt;"Yes","Count disabled",IF($H151&lt;&gt;"","| search "&amp;$H151,"")&amp;IF($I151&lt;&gt;"",IF($H151&lt;&gt;"",CHAR(10),"")&amp;$I151,"")&amp;IF(OR($H151&lt;&gt;"",$I151&lt;&gt;""),CHAR(10),"")&amp;"| stats count as count"&amp;IF($L151&lt;&gt;""," by "&amp;$L151,"")&amp;IF($M151&lt;&gt;"",CHAR(10)&amp;"| where count &gt;= "&amp;$M151,"")&amp;CHAR(10)&amp;"| sort - count"))</x:f>
      </x:c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8" t="str">
        <x:f>IF($A152&lt;&gt;"Yes","",IF($G152&lt;&gt;"",IFERROR(INDEX($O$6:$O$205,MATCH($G152,$B$6:$B$205,0)),"PARENT SEARCH NOT FOUND"),IFERROR(INDEX('Base Searches'!$E$6:$E$35,MATCH($F152,'Base Searches'!$B$6:$B$35,0)),"BASE NOT FOUND")))</x:f>
      </x:c>
      <x:c r="Q152" s="48" t="str">
        <x:f>IF(OR($A152&lt;&gt;"Yes",$B152=""),"",IF($H152&lt;&gt;"","| search "&amp;$H152,"")&amp;IF($I152&lt;&gt;"",IF($H152&lt;&gt;"",CHAR(10),"")&amp;$I152,"")&amp;IF($J152&lt;&gt;"",IF(OR($H152&lt;&gt;"",$I152&lt;&gt;""),CHAR(10),"")&amp;$J152,""))</x:f>
      </x:c>
      <x:c r="R152" s="48" t="str">
        <x:f>IF(OR($A152&lt;&gt;"Yes",$B152=""),"",IF($K152&lt;&gt;"Yes","Count disabled",IF($H152&lt;&gt;"","| search "&amp;$H152,"")&amp;IF($I152&lt;&gt;"",IF($H152&lt;&gt;"",CHAR(10),"")&amp;$I152,"")&amp;IF(OR($H152&lt;&gt;"",$I152&lt;&gt;""),CHAR(10),"")&amp;"| stats count as count"&amp;IF($L152&lt;&gt;""," by "&amp;$L152,"")&amp;IF($M152&lt;&gt;"",CHAR(10)&amp;"| where count &gt;= "&amp;$M152,"")&amp;CHAR(10)&amp;"| sort - count"))</x:f>
      </x:c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8" t="str">
        <x:f>IF($A153&lt;&gt;"Yes","",IF($G153&lt;&gt;"",IFERROR(INDEX($O$6:$O$205,MATCH($G153,$B$6:$B$205,0)),"PARENT SEARCH NOT FOUND"),IFERROR(INDEX('Base Searches'!$E$6:$E$35,MATCH($F153,'Base Searches'!$B$6:$B$35,0)),"BASE NOT FOUND")))</x:f>
      </x:c>
      <x:c r="Q153" s="48" t="str">
        <x:f>IF(OR($A153&lt;&gt;"Yes",$B153=""),"",IF($H153&lt;&gt;"","| search "&amp;$H153,"")&amp;IF($I153&lt;&gt;"",IF($H153&lt;&gt;"",CHAR(10),"")&amp;$I153,"")&amp;IF($J153&lt;&gt;"",IF(OR($H153&lt;&gt;"",$I153&lt;&gt;""),CHAR(10),"")&amp;$J153,""))</x:f>
      </x:c>
      <x:c r="R153" s="48" t="str">
        <x:f>IF(OR($A153&lt;&gt;"Yes",$B153=""),"",IF($K153&lt;&gt;"Yes","Count disabled",IF($H153&lt;&gt;"","| search "&amp;$H153,"")&amp;IF($I153&lt;&gt;"",IF($H153&lt;&gt;"",CHAR(10),"")&amp;$I153,"")&amp;IF(OR($H153&lt;&gt;"",$I153&lt;&gt;""),CHAR(10),"")&amp;"| stats count as count"&amp;IF($L153&lt;&gt;""," by "&amp;$L153,"")&amp;IF($M153&lt;&gt;"",CHAR(10)&amp;"| where count &gt;= "&amp;$M153,"")&amp;CHAR(10)&amp;"| sort - count"))</x:f>
      </x:c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8" t="str">
        <x:f>IF($A154&lt;&gt;"Yes","",IF($G154&lt;&gt;"",IFERROR(INDEX($O$6:$O$205,MATCH($G154,$B$6:$B$205,0)),"PARENT SEARCH NOT FOUND"),IFERROR(INDEX('Base Searches'!$E$6:$E$35,MATCH($F154,'Base Searches'!$B$6:$B$35,0)),"BASE NOT FOUND")))</x:f>
      </x:c>
      <x:c r="Q154" s="48" t="str">
        <x:f>IF(OR($A154&lt;&gt;"Yes",$B154=""),"",IF($H154&lt;&gt;"","| search "&amp;$H154,"")&amp;IF($I154&lt;&gt;"",IF($H154&lt;&gt;"",CHAR(10),"")&amp;$I154,"")&amp;IF($J154&lt;&gt;"",IF(OR($H154&lt;&gt;"",$I154&lt;&gt;""),CHAR(10),"")&amp;$J154,""))</x:f>
      </x:c>
      <x:c r="R154" s="48" t="str">
        <x:f>IF(OR($A154&lt;&gt;"Yes",$B154=""),"",IF($K154&lt;&gt;"Yes","Count disabled",IF($H154&lt;&gt;"","| search "&amp;$H154,"")&amp;IF($I154&lt;&gt;"",IF($H154&lt;&gt;"",CHAR(10),"")&amp;$I154,"")&amp;IF(OR($H154&lt;&gt;"",$I154&lt;&gt;""),CHAR(10),"")&amp;"| stats count as count"&amp;IF($L154&lt;&gt;""," by "&amp;$L154,"")&amp;IF($M154&lt;&gt;"",CHAR(10)&amp;"| where count &gt;= "&amp;$M154,"")&amp;CHAR(10)&amp;"| sort - count"))</x:f>
      </x:c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8" t="str">
        <x:f>IF($A155&lt;&gt;"Yes","",IF($G155&lt;&gt;"",IFERROR(INDEX($O$6:$O$205,MATCH($G155,$B$6:$B$205,0)),"PARENT SEARCH NOT FOUND"),IFERROR(INDEX('Base Searches'!$E$6:$E$35,MATCH($F155,'Base Searches'!$B$6:$B$35,0)),"BASE NOT FOUND")))</x:f>
      </x:c>
      <x:c r="Q155" s="48" t="str">
        <x:f>IF(OR($A155&lt;&gt;"Yes",$B155=""),"",IF($H155&lt;&gt;"","| search "&amp;$H155,"")&amp;IF($I155&lt;&gt;"",IF($H155&lt;&gt;"",CHAR(10),"")&amp;$I155,"")&amp;IF($J155&lt;&gt;"",IF(OR($H155&lt;&gt;"",$I155&lt;&gt;""),CHAR(10),"")&amp;$J155,""))</x:f>
      </x:c>
      <x:c r="R155" s="48" t="str">
        <x:f>IF(OR($A155&lt;&gt;"Yes",$B155=""),"",IF($K155&lt;&gt;"Yes","Count disabled",IF($H155&lt;&gt;"","| search "&amp;$H155,"")&amp;IF($I155&lt;&gt;"",IF($H155&lt;&gt;"",CHAR(10),"")&amp;$I155,"")&amp;IF(OR($H155&lt;&gt;"",$I155&lt;&gt;""),CHAR(10),"")&amp;"| stats count as count"&amp;IF($L155&lt;&gt;""," by "&amp;$L155,"")&amp;IF($M155&lt;&gt;"",CHAR(10)&amp;"| where count &gt;= "&amp;$M155,"")&amp;CHAR(10)&amp;"| sort - count"))</x:f>
      </x:c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8" t="str">
        <x:f>IF($A156&lt;&gt;"Yes","",IF($G156&lt;&gt;"",IFERROR(INDEX($O$6:$O$205,MATCH($G156,$B$6:$B$205,0)),"PARENT SEARCH NOT FOUND"),IFERROR(INDEX('Base Searches'!$E$6:$E$35,MATCH($F156,'Base Searches'!$B$6:$B$35,0)),"BASE NOT FOUND")))</x:f>
      </x:c>
      <x:c r="Q156" s="48" t="str">
        <x:f>IF(OR($A156&lt;&gt;"Yes",$B156=""),"",IF($H156&lt;&gt;"","| search "&amp;$H156,"")&amp;IF($I156&lt;&gt;"",IF($H156&lt;&gt;"",CHAR(10),"")&amp;$I156,"")&amp;IF($J156&lt;&gt;"",IF(OR($H156&lt;&gt;"",$I156&lt;&gt;""),CHAR(10),"")&amp;$J156,""))</x:f>
      </x:c>
      <x:c r="R156" s="48" t="str">
        <x:f>IF(OR($A156&lt;&gt;"Yes",$B156=""),"",IF($K156&lt;&gt;"Yes","Count disabled",IF($H156&lt;&gt;"","| search "&amp;$H156,"")&amp;IF($I156&lt;&gt;"",IF($H156&lt;&gt;"",CHAR(10),"")&amp;$I156,"")&amp;IF(OR($H156&lt;&gt;"",$I156&lt;&gt;""),CHAR(10),"")&amp;"| stats count as count"&amp;IF($L156&lt;&gt;""," by "&amp;$L156,"")&amp;IF($M156&lt;&gt;"",CHAR(10)&amp;"| where count &gt;= "&amp;$M156,"")&amp;CHAR(10)&amp;"| sort - count"))</x:f>
      </x:c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8" t="str">
        <x:f>IF($A157&lt;&gt;"Yes","",IF($G157&lt;&gt;"",IFERROR(INDEX($O$6:$O$205,MATCH($G157,$B$6:$B$205,0)),"PARENT SEARCH NOT FOUND"),IFERROR(INDEX('Base Searches'!$E$6:$E$35,MATCH($F157,'Base Searches'!$B$6:$B$35,0)),"BASE NOT FOUND")))</x:f>
      </x:c>
      <x:c r="Q157" s="48" t="str">
        <x:f>IF(OR($A157&lt;&gt;"Yes",$B157=""),"",IF($H157&lt;&gt;"","| search "&amp;$H157,"")&amp;IF($I157&lt;&gt;"",IF($H157&lt;&gt;"",CHAR(10),"")&amp;$I157,"")&amp;IF($J157&lt;&gt;"",IF(OR($H157&lt;&gt;"",$I157&lt;&gt;""),CHAR(10),"")&amp;$J157,""))</x:f>
      </x:c>
      <x:c r="R157" s="48" t="str">
        <x:f>IF(OR($A157&lt;&gt;"Yes",$B157=""),"",IF($K157&lt;&gt;"Yes","Count disabled",IF($H157&lt;&gt;"","| search "&amp;$H157,"")&amp;IF($I157&lt;&gt;"",IF($H157&lt;&gt;"",CHAR(10),"")&amp;$I157,"")&amp;IF(OR($H157&lt;&gt;"",$I157&lt;&gt;""),CHAR(10),"")&amp;"| stats count as count"&amp;IF($L157&lt;&gt;""," by "&amp;$L157,"")&amp;IF($M157&lt;&gt;"",CHAR(10)&amp;"| where count &gt;= "&amp;$M157,"")&amp;CHAR(10)&amp;"| sort - count"))</x:f>
      </x:c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8" t="str">
        <x:f>IF($A158&lt;&gt;"Yes","",IF($G158&lt;&gt;"",IFERROR(INDEX($O$6:$O$205,MATCH($G158,$B$6:$B$205,0)),"PARENT SEARCH NOT FOUND"),IFERROR(INDEX('Base Searches'!$E$6:$E$35,MATCH($F158,'Base Searches'!$B$6:$B$35,0)),"BASE NOT FOUND")))</x:f>
      </x:c>
      <x:c r="Q158" s="48" t="str">
        <x:f>IF(OR($A158&lt;&gt;"Yes",$B158=""),"",IF($H158&lt;&gt;"","| search "&amp;$H158,"")&amp;IF($I158&lt;&gt;"",IF($H158&lt;&gt;"",CHAR(10),"")&amp;$I158,"")&amp;IF($J158&lt;&gt;"",IF(OR($H158&lt;&gt;"",$I158&lt;&gt;""),CHAR(10),"")&amp;$J158,""))</x:f>
      </x:c>
      <x:c r="R158" s="48" t="str">
        <x:f>IF(OR($A158&lt;&gt;"Yes",$B158=""),"",IF($K158&lt;&gt;"Yes","Count disabled",IF($H158&lt;&gt;"","| search "&amp;$H158,"")&amp;IF($I158&lt;&gt;"",IF($H158&lt;&gt;"",CHAR(10),"")&amp;$I158,"")&amp;IF(OR($H158&lt;&gt;"",$I158&lt;&gt;""),CHAR(10),"")&amp;"| stats count as count"&amp;IF($L158&lt;&gt;""," by "&amp;$L158,"")&amp;IF($M158&lt;&gt;"",CHAR(10)&amp;"| where count &gt;= "&amp;$M158,"")&amp;CHAR(10)&amp;"| sort - count"))</x:f>
      </x:c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8" t="str">
        <x:f>IF($A159&lt;&gt;"Yes","",IF($G159&lt;&gt;"",IFERROR(INDEX($O$6:$O$205,MATCH($G159,$B$6:$B$205,0)),"PARENT SEARCH NOT FOUND"),IFERROR(INDEX('Base Searches'!$E$6:$E$35,MATCH($F159,'Base Searches'!$B$6:$B$35,0)),"BASE NOT FOUND")))</x:f>
      </x:c>
      <x:c r="Q159" s="48" t="str">
        <x:f>IF(OR($A159&lt;&gt;"Yes",$B159=""),"",IF($H159&lt;&gt;"","| search "&amp;$H159,"")&amp;IF($I159&lt;&gt;"",IF($H159&lt;&gt;"",CHAR(10),"")&amp;$I159,"")&amp;IF($J159&lt;&gt;"",IF(OR($H159&lt;&gt;"",$I159&lt;&gt;""),CHAR(10),"")&amp;$J159,""))</x:f>
      </x:c>
      <x:c r="R159" s="48" t="str">
        <x:f>IF(OR($A159&lt;&gt;"Yes",$B159=""),"",IF($K159&lt;&gt;"Yes","Count disabled",IF($H159&lt;&gt;"","| search "&amp;$H159,"")&amp;IF($I159&lt;&gt;"",IF($H159&lt;&gt;"",CHAR(10),"")&amp;$I159,"")&amp;IF(OR($H159&lt;&gt;"",$I159&lt;&gt;""),CHAR(10),"")&amp;"| stats count as count"&amp;IF($L159&lt;&gt;""," by "&amp;$L159,"")&amp;IF($M159&lt;&gt;"",CHAR(10)&amp;"| where count &gt;= "&amp;$M159,"")&amp;CHAR(10)&amp;"| sort - count"))</x:f>
      </x:c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8" t="str">
        <x:f>IF($A160&lt;&gt;"Yes","",IF($G160&lt;&gt;"",IFERROR(INDEX($O$6:$O$205,MATCH($G160,$B$6:$B$205,0)),"PARENT SEARCH NOT FOUND"),IFERROR(INDEX('Base Searches'!$E$6:$E$35,MATCH($F160,'Base Searches'!$B$6:$B$35,0)),"BASE NOT FOUND")))</x:f>
      </x:c>
      <x:c r="Q160" s="48" t="str">
        <x:f>IF(OR($A160&lt;&gt;"Yes",$B160=""),"",IF($H160&lt;&gt;"","| search "&amp;$H160,"")&amp;IF($I160&lt;&gt;"",IF($H160&lt;&gt;"",CHAR(10),"")&amp;$I160,"")&amp;IF($J160&lt;&gt;"",IF(OR($H160&lt;&gt;"",$I160&lt;&gt;""),CHAR(10),"")&amp;$J160,""))</x:f>
      </x:c>
      <x:c r="R160" s="48" t="str">
        <x:f>IF(OR($A160&lt;&gt;"Yes",$B160=""),"",IF($K160&lt;&gt;"Yes","Count disabled",IF($H160&lt;&gt;"","| search "&amp;$H160,"")&amp;IF($I160&lt;&gt;"",IF($H160&lt;&gt;"",CHAR(10),"")&amp;$I160,"")&amp;IF(OR($H160&lt;&gt;"",$I160&lt;&gt;""),CHAR(10),"")&amp;"| stats count as count"&amp;IF($L160&lt;&gt;""," by "&amp;$L160,"")&amp;IF($M160&lt;&gt;"",CHAR(10)&amp;"| where count &gt;= "&amp;$M160,"")&amp;CHAR(10)&amp;"| sort - count"))</x:f>
      </x:c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8" t="str">
        <x:f>IF($A161&lt;&gt;"Yes","",IF($G161&lt;&gt;"",IFERROR(INDEX($O$6:$O$205,MATCH($G161,$B$6:$B$205,0)),"PARENT SEARCH NOT FOUND"),IFERROR(INDEX('Base Searches'!$E$6:$E$35,MATCH($F161,'Base Searches'!$B$6:$B$35,0)),"BASE NOT FOUND")))</x:f>
      </x:c>
      <x:c r="Q161" s="48" t="str">
        <x:f>IF(OR($A161&lt;&gt;"Yes",$B161=""),"",IF($H161&lt;&gt;"","| search "&amp;$H161,"")&amp;IF($I161&lt;&gt;"",IF($H161&lt;&gt;"",CHAR(10),"")&amp;$I161,"")&amp;IF($J161&lt;&gt;"",IF(OR($H161&lt;&gt;"",$I161&lt;&gt;""),CHAR(10),"")&amp;$J161,""))</x:f>
      </x:c>
      <x:c r="R161" s="48" t="str">
        <x:f>IF(OR($A161&lt;&gt;"Yes",$B161=""),"",IF($K161&lt;&gt;"Yes","Count disabled",IF($H161&lt;&gt;"","| search "&amp;$H161,"")&amp;IF($I161&lt;&gt;"",IF($H161&lt;&gt;"",CHAR(10),"")&amp;$I161,"")&amp;IF(OR($H161&lt;&gt;"",$I161&lt;&gt;""),CHAR(10),"")&amp;"| stats count as count"&amp;IF($L161&lt;&gt;""," by "&amp;$L161,"")&amp;IF($M161&lt;&gt;"",CHAR(10)&amp;"| where count &gt;= "&amp;$M161,"")&amp;CHAR(10)&amp;"| sort - count"))</x:f>
      </x:c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8" t="str">
        <x:f>IF($A162&lt;&gt;"Yes","",IF($G162&lt;&gt;"",IFERROR(INDEX($O$6:$O$205,MATCH($G162,$B$6:$B$205,0)),"PARENT SEARCH NOT FOUND"),IFERROR(INDEX('Base Searches'!$E$6:$E$35,MATCH($F162,'Base Searches'!$B$6:$B$35,0)),"BASE NOT FOUND")))</x:f>
      </x:c>
      <x:c r="Q162" s="48" t="str">
        <x:f>IF(OR($A162&lt;&gt;"Yes",$B162=""),"",IF($H162&lt;&gt;"","| search "&amp;$H162,"")&amp;IF($I162&lt;&gt;"",IF($H162&lt;&gt;"",CHAR(10),"")&amp;$I162,"")&amp;IF($J162&lt;&gt;"",IF(OR($H162&lt;&gt;"",$I162&lt;&gt;""),CHAR(10),"")&amp;$J162,""))</x:f>
      </x:c>
      <x:c r="R162" s="48" t="str">
        <x:f>IF(OR($A162&lt;&gt;"Yes",$B162=""),"",IF($K162&lt;&gt;"Yes","Count disabled",IF($H162&lt;&gt;"","| search "&amp;$H162,"")&amp;IF($I162&lt;&gt;"",IF($H162&lt;&gt;"",CHAR(10),"")&amp;$I162,"")&amp;IF(OR($H162&lt;&gt;"",$I162&lt;&gt;""),CHAR(10),"")&amp;"| stats count as count"&amp;IF($L162&lt;&gt;""," by "&amp;$L162,"")&amp;IF($M162&lt;&gt;"",CHAR(10)&amp;"| where count &gt;= "&amp;$M162,"")&amp;CHAR(10)&amp;"| sort - count"))</x:f>
      </x:c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8" t="str">
        <x:f>IF($A163&lt;&gt;"Yes","",IF($G163&lt;&gt;"",IFERROR(INDEX($O$6:$O$205,MATCH($G163,$B$6:$B$205,0)),"PARENT SEARCH NOT FOUND"),IFERROR(INDEX('Base Searches'!$E$6:$E$35,MATCH($F163,'Base Searches'!$B$6:$B$35,0)),"BASE NOT FOUND")))</x:f>
      </x:c>
      <x:c r="Q163" s="48" t="str">
        <x:f>IF(OR($A163&lt;&gt;"Yes",$B163=""),"",IF($H163&lt;&gt;"","| search "&amp;$H163,"")&amp;IF($I163&lt;&gt;"",IF($H163&lt;&gt;"",CHAR(10),"")&amp;$I163,"")&amp;IF($J163&lt;&gt;"",IF(OR($H163&lt;&gt;"",$I163&lt;&gt;""),CHAR(10),"")&amp;$J163,""))</x:f>
      </x:c>
      <x:c r="R163" s="48" t="str">
        <x:f>IF(OR($A163&lt;&gt;"Yes",$B163=""),"",IF($K163&lt;&gt;"Yes","Count disabled",IF($H163&lt;&gt;"","| search "&amp;$H163,"")&amp;IF($I163&lt;&gt;"",IF($H163&lt;&gt;"",CHAR(10),"")&amp;$I163,"")&amp;IF(OR($H163&lt;&gt;"",$I163&lt;&gt;""),CHAR(10),"")&amp;"| stats count as count"&amp;IF($L163&lt;&gt;""," by "&amp;$L163,"")&amp;IF($M163&lt;&gt;"",CHAR(10)&amp;"| where count &gt;= "&amp;$M163,"")&amp;CHAR(10)&amp;"| sort - count"))</x:f>
      </x:c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8" t="str">
        <x:f>IF($A164&lt;&gt;"Yes","",IF($G164&lt;&gt;"",IFERROR(INDEX($O$6:$O$205,MATCH($G164,$B$6:$B$205,0)),"PARENT SEARCH NOT FOUND"),IFERROR(INDEX('Base Searches'!$E$6:$E$35,MATCH($F164,'Base Searches'!$B$6:$B$35,0)),"BASE NOT FOUND")))</x:f>
      </x:c>
      <x:c r="Q164" s="48" t="str">
        <x:f>IF(OR($A164&lt;&gt;"Yes",$B164=""),"",IF($H164&lt;&gt;"","| search "&amp;$H164,"")&amp;IF($I164&lt;&gt;"",IF($H164&lt;&gt;"",CHAR(10),"")&amp;$I164,"")&amp;IF($J164&lt;&gt;"",IF(OR($H164&lt;&gt;"",$I164&lt;&gt;""),CHAR(10),"")&amp;$J164,""))</x:f>
      </x:c>
      <x:c r="R164" s="48" t="str">
        <x:f>IF(OR($A164&lt;&gt;"Yes",$B164=""),"",IF($K164&lt;&gt;"Yes","Count disabled",IF($H164&lt;&gt;"","| search "&amp;$H164,"")&amp;IF($I164&lt;&gt;"",IF($H164&lt;&gt;"",CHAR(10),"")&amp;$I164,"")&amp;IF(OR($H164&lt;&gt;"",$I164&lt;&gt;""),CHAR(10),"")&amp;"| stats count as count"&amp;IF($L164&lt;&gt;""," by "&amp;$L164,"")&amp;IF($M164&lt;&gt;"",CHAR(10)&amp;"| where count &gt;= "&amp;$M164,"")&amp;CHAR(10)&amp;"| sort - count"))</x:f>
      </x:c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8" t="str">
        <x:f>IF($A165&lt;&gt;"Yes","",IF($G165&lt;&gt;"",IFERROR(INDEX($O$6:$O$205,MATCH($G165,$B$6:$B$205,0)),"PARENT SEARCH NOT FOUND"),IFERROR(INDEX('Base Searches'!$E$6:$E$35,MATCH($F165,'Base Searches'!$B$6:$B$35,0)),"BASE NOT FOUND")))</x:f>
      </x:c>
      <x:c r="Q165" s="48" t="str">
        <x:f>IF(OR($A165&lt;&gt;"Yes",$B165=""),"",IF($H165&lt;&gt;"","| search "&amp;$H165,"")&amp;IF($I165&lt;&gt;"",IF($H165&lt;&gt;"",CHAR(10),"")&amp;$I165,"")&amp;IF($J165&lt;&gt;"",IF(OR($H165&lt;&gt;"",$I165&lt;&gt;""),CHAR(10),"")&amp;$J165,""))</x:f>
      </x:c>
      <x:c r="R165" s="48" t="str">
        <x:f>IF(OR($A165&lt;&gt;"Yes",$B165=""),"",IF($K165&lt;&gt;"Yes","Count disabled",IF($H165&lt;&gt;"","| search "&amp;$H165,"")&amp;IF($I165&lt;&gt;"",IF($H165&lt;&gt;"",CHAR(10),"")&amp;$I165,"")&amp;IF(OR($H165&lt;&gt;"",$I165&lt;&gt;""),CHAR(10),"")&amp;"| stats count as count"&amp;IF($L165&lt;&gt;""," by "&amp;$L165,"")&amp;IF($M165&lt;&gt;"",CHAR(10)&amp;"| where count &gt;= "&amp;$M165,"")&amp;CHAR(10)&amp;"| sort - count"))</x:f>
      </x:c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8" t="str">
        <x:f>IF($A166&lt;&gt;"Yes","",IF($G166&lt;&gt;"",IFERROR(INDEX($O$6:$O$205,MATCH($G166,$B$6:$B$205,0)),"PARENT SEARCH NOT FOUND"),IFERROR(INDEX('Base Searches'!$E$6:$E$35,MATCH($F166,'Base Searches'!$B$6:$B$35,0)),"BASE NOT FOUND")))</x:f>
      </x:c>
      <x:c r="Q166" s="48" t="str">
        <x:f>IF(OR($A166&lt;&gt;"Yes",$B166=""),"",IF($H166&lt;&gt;"","| search "&amp;$H166,"")&amp;IF($I166&lt;&gt;"",IF($H166&lt;&gt;"",CHAR(10),"")&amp;$I166,"")&amp;IF($J166&lt;&gt;"",IF(OR($H166&lt;&gt;"",$I166&lt;&gt;""),CHAR(10),"")&amp;$J166,""))</x:f>
      </x:c>
      <x:c r="R166" s="48" t="str">
        <x:f>IF(OR($A166&lt;&gt;"Yes",$B166=""),"",IF($K166&lt;&gt;"Yes","Count disabled",IF($H166&lt;&gt;"","| search "&amp;$H166,"")&amp;IF($I166&lt;&gt;"",IF($H166&lt;&gt;"",CHAR(10),"")&amp;$I166,"")&amp;IF(OR($H166&lt;&gt;"",$I166&lt;&gt;""),CHAR(10),"")&amp;"| stats count as count"&amp;IF($L166&lt;&gt;""," by "&amp;$L166,"")&amp;IF($M166&lt;&gt;"",CHAR(10)&amp;"| where count &gt;= "&amp;$M166,"")&amp;CHAR(10)&amp;"| sort - count"))</x:f>
      </x:c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8" t="str">
        <x:f>IF($A167&lt;&gt;"Yes","",IF($G167&lt;&gt;"",IFERROR(INDEX($O$6:$O$205,MATCH($G167,$B$6:$B$205,0)),"PARENT SEARCH NOT FOUND"),IFERROR(INDEX('Base Searches'!$E$6:$E$35,MATCH($F167,'Base Searches'!$B$6:$B$35,0)),"BASE NOT FOUND")))</x:f>
      </x:c>
      <x:c r="Q167" s="48" t="str">
        <x:f>IF(OR($A167&lt;&gt;"Yes",$B167=""),"",IF($H167&lt;&gt;"","| search "&amp;$H167,"")&amp;IF($I167&lt;&gt;"",IF($H167&lt;&gt;"",CHAR(10),"")&amp;$I167,"")&amp;IF($J167&lt;&gt;"",IF(OR($H167&lt;&gt;"",$I167&lt;&gt;""),CHAR(10),"")&amp;$J167,""))</x:f>
      </x:c>
      <x:c r="R167" s="48" t="str">
        <x:f>IF(OR($A167&lt;&gt;"Yes",$B167=""),"",IF($K167&lt;&gt;"Yes","Count disabled",IF($H167&lt;&gt;"","| search "&amp;$H167,"")&amp;IF($I167&lt;&gt;"",IF($H167&lt;&gt;"",CHAR(10),"")&amp;$I167,"")&amp;IF(OR($H167&lt;&gt;"",$I167&lt;&gt;""),CHAR(10),"")&amp;"| stats count as count"&amp;IF($L167&lt;&gt;""," by "&amp;$L167,"")&amp;IF($M167&lt;&gt;"",CHAR(10)&amp;"| where count &gt;= "&amp;$M167,"")&amp;CHAR(10)&amp;"| sort - count"))</x:f>
      </x:c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8" t="str">
        <x:f>IF($A168&lt;&gt;"Yes","",IF($G168&lt;&gt;"",IFERROR(INDEX($O$6:$O$205,MATCH($G168,$B$6:$B$205,0)),"PARENT SEARCH NOT FOUND"),IFERROR(INDEX('Base Searches'!$E$6:$E$35,MATCH($F168,'Base Searches'!$B$6:$B$35,0)),"BASE NOT FOUND")))</x:f>
      </x:c>
      <x:c r="Q168" s="48" t="str">
        <x:f>IF(OR($A168&lt;&gt;"Yes",$B168=""),"",IF($H168&lt;&gt;"","| search "&amp;$H168,"")&amp;IF($I168&lt;&gt;"",IF($H168&lt;&gt;"",CHAR(10),"")&amp;$I168,"")&amp;IF($J168&lt;&gt;"",IF(OR($H168&lt;&gt;"",$I168&lt;&gt;""),CHAR(10),"")&amp;$J168,""))</x:f>
      </x:c>
      <x:c r="R168" s="48" t="str">
        <x:f>IF(OR($A168&lt;&gt;"Yes",$B168=""),"",IF($K168&lt;&gt;"Yes","Count disabled",IF($H168&lt;&gt;"","| search "&amp;$H168,"")&amp;IF($I168&lt;&gt;"",IF($H168&lt;&gt;"",CHAR(10),"")&amp;$I168,"")&amp;IF(OR($H168&lt;&gt;"",$I168&lt;&gt;""),CHAR(10),"")&amp;"| stats count as count"&amp;IF($L168&lt;&gt;""," by "&amp;$L168,"")&amp;IF($M168&lt;&gt;"",CHAR(10)&amp;"| where count &gt;= "&amp;$M168,"")&amp;CHAR(10)&amp;"| sort - count"))</x:f>
      </x:c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8" t="str">
        <x:f>IF($A169&lt;&gt;"Yes","",IF($G169&lt;&gt;"",IFERROR(INDEX($O$6:$O$205,MATCH($G169,$B$6:$B$205,0)),"PARENT SEARCH NOT FOUND"),IFERROR(INDEX('Base Searches'!$E$6:$E$35,MATCH($F169,'Base Searches'!$B$6:$B$35,0)),"BASE NOT FOUND")))</x:f>
      </x:c>
      <x:c r="Q169" s="48" t="str">
        <x:f>IF(OR($A169&lt;&gt;"Yes",$B169=""),"",IF($H169&lt;&gt;"","| search "&amp;$H169,"")&amp;IF($I169&lt;&gt;"",IF($H169&lt;&gt;"",CHAR(10),"")&amp;$I169,"")&amp;IF($J169&lt;&gt;"",IF(OR($H169&lt;&gt;"",$I169&lt;&gt;""),CHAR(10),"")&amp;$J169,""))</x:f>
      </x:c>
      <x:c r="R169" s="48" t="str">
        <x:f>IF(OR($A169&lt;&gt;"Yes",$B169=""),"",IF($K169&lt;&gt;"Yes","Count disabled",IF($H169&lt;&gt;"","| search "&amp;$H169,"")&amp;IF($I169&lt;&gt;"",IF($H169&lt;&gt;"",CHAR(10),"")&amp;$I169,"")&amp;IF(OR($H169&lt;&gt;"",$I169&lt;&gt;""),CHAR(10),"")&amp;"| stats count as count"&amp;IF($L169&lt;&gt;""," by "&amp;$L169,"")&amp;IF($M169&lt;&gt;"",CHAR(10)&amp;"| where count &gt;= "&amp;$M169,"")&amp;CHAR(10)&amp;"| sort - count"))</x:f>
      </x:c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8" t="str">
        <x:f>IF($A170&lt;&gt;"Yes","",IF($G170&lt;&gt;"",IFERROR(INDEX($O$6:$O$205,MATCH($G170,$B$6:$B$205,0)),"PARENT SEARCH NOT FOUND"),IFERROR(INDEX('Base Searches'!$E$6:$E$35,MATCH($F170,'Base Searches'!$B$6:$B$35,0)),"BASE NOT FOUND")))</x:f>
      </x:c>
      <x:c r="Q170" s="48" t="str">
        <x:f>IF(OR($A170&lt;&gt;"Yes",$B170=""),"",IF($H170&lt;&gt;"","| search "&amp;$H170,"")&amp;IF($I170&lt;&gt;"",IF($H170&lt;&gt;"",CHAR(10),"")&amp;$I170,"")&amp;IF($J170&lt;&gt;"",IF(OR($H170&lt;&gt;"",$I170&lt;&gt;""),CHAR(10),"")&amp;$J170,""))</x:f>
      </x:c>
      <x:c r="R170" s="48" t="str">
        <x:f>IF(OR($A170&lt;&gt;"Yes",$B170=""),"",IF($K170&lt;&gt;"Yes","Count disabled",IF($H170&lt;&gt;"","| search "&amp;$H170,"")&amp;IF($I170&lt;&gt;"",IF($H170&lt;&gt;"",CHAR(10),"")&amp;$I170,"")&amp;IF(OR($H170&lt;&gt;"",$I170&lt;&gt;""),CHAR(10),"")&amp;"| stats count as count"&amp;IF($L170&lt;&gt;""," by "&amp;$L170,"")&amp;IF($M170&lt;&gt;"",CHAR(10)&amp;"| where count &gt;= "&amp;$M170,"")&amp;CHAR(10)&amp;"| sort - count"))</x:f>
      </x:c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8" t="str">
        <x:f>IF($A171&lt;&gt;"Yes","",IF($G171&lt;&gt;"",IFERROR(INDEX($O$6:$O$205,MATCH($G171,$B$6:$B$205,0)),"PARENT SEARCH NOT FOUND"),IFERROR(INDEX('Base Searches'!$E$6:$E$35,MATCH($F171,'Base Searches'!$B$6:$B$35,0)),"BASE NOT FOUND")))</x:f>
      </x:c>
      <x:c r="Q171" s="48" t="str">
        <x:f>IF(OR($A171&lt;&gt;"Yes",$B171=""),"",IF($H171&lt;&gt;"","| search "&amp;$H171,"")&amp;IF($I171&lt;&gt;"",IF($H171&lt;&gt;"",CHAR(10),"")&amp;$I171,"")&amp;IF($J171&lt;&gt;"",IF(OR($H171&lt;&gt;"",$I171&lt;&gt;""),CHAR(10),"")&amp;$J171,""))</x:f>
      </x:c>
      <x:c r="R171" s="48" t="str">
        <x:f>IF(OR($A171&lt;&gt;"Yes",$B171=""),"",IF($K171&lt;&gt;"Yes","Count disabled",IF($H171&lt;&gt;"","| search "&amp;$H171,"")&amp;IF($I171&lt;&gt;"",IF($H171&lt;&gt;"",CHAR(10),"")&amp;$I171,"")&amp;IF(OR($H171&lt;&gt;"",$I171&lt;&gt;""),CHAR(10),"")&amp;"| stats count as count"&amp;IF($L171&lt;&gt;""," by "&amp;$L171,"")&amp;IF($M171&lt;&gt;"",CHAR(10)&amp;"| where count &gt;= "&amp;$M171,"")&amp;CHAR(10)&amp;"| sort - count"))</x:f>
      </x:c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8" t="str">
        <x:f>IF($A172&lt;&gt;"Yes","",IF($G172&lt;&gt;"",IFERROR(INDEX($O$6:$O$205,MATCH($G172,$B$6:$B$205,0)),"PARENT SEARCH NOT FOUND"),IFERROR(INDEX('Base Searches'!$E$6:$E$35,MATCH($F172,'Base Searches'!$B$6:$B$35,0)),"BASE NOT FOUND")))</x:f>
      </x:c>
      <x:c r="Q172" s="48" t="str">
        <x:f>IF(OR($A172&lt;&gt;"Yes",$B172=""),"",IF($H172&lt;&gt;"","| search "&amp;$H172,"")&amp;IF($I172&lt;&gt;"",IF($H172&lt;&gt;"",CHAR(10),"")&amp;$I172,"")&amp;IF($J172&lt;&gt;"",IF(OR($H172&lt;&gt;"",$I172&lt;&gt;""),CHAR(10),"")&amp;$J172,""))</x:f>
      </x:c>
      <x:c r="R172" s="48" t="str">
        <x:f>IF(OR($A172&lt;&gt;"Yes",$B172=""),"",IF($K172&lt;&gt;"Yes","Count disabled",IF($H172&lt;&gt;"","| search "&amp;$H172,"")&amp;IF($I172&lt;&gt;"",IF($H172&lt;&gt;"",CHAR(10),"")&amp;$I172,"")&amp;IF(OR($H172&lt;&gt;"",$I172&lt;&gt;""),CHAR(10),"")&amp;"| stats count as count"&amp;IF($L172&lt;&gt;""," by "&amp;$L172,"")&amp;IF($M172&lt;&gt;"",CHAR(10)&amp;"| where count &gt;= "&amp;$M172,"")&amp;CHAR(10)&amp;"| sort - count"))</x:f>
      </x:c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8" t="str">
        <x:f>IF($A173&lt;&gt;"Yes","",IF($G173&lt;&gt;"",IFERROR(INDEX($O$6:$O$205,MATCH($G173,$B$6:$B$205,0)),"PARENT SEARCH NOT FOUND"),IFERROR(INDEX('Base Searches'!$E$6:$E$35,MATCH($F173,'Base Searches'!$B$6:$B$35,0)),"BASE NOT FOUND")))</x:f>
      </x:c>
      <x:c r="Q173" s="48" t="str">
        <x:f>IF(OR($A173&lt;&gt;"Yes",$B173=""),"",IF($H173&lt;&gt;"","| search "&amp;$H173,"")&amp;IF($I173&lt;&gt;"",IF($H173&lt;&gt;"",CHAR(10),"")&amp;$I173,"")&amp;IF($J173&lt;&gt;"",IF(OR($H173&lt;&gt;"",$I173&lt;&gt;""),CHAR(10),"")&amp;$J173,""))</x:f>
      </x:c>
      <x:c r="R173" s="48" t="str">
        <x:f>IF(OR($A173&lt;&gt;"Yes",$B173=""),"",IF($K173&lt;&gt;"Yes","Count disabled",IF($H173&lt;&gt;"","| search "&amp;$H173,"")&amp;IF($I173&lt;&gt;"",IF($H173&lt;&gt;"",CHAR(10),"")&amp;$I173,"")&amp;IF(OR($H173&lt;&gt;"",$I173&lt;&gt;""),CHAR(10),"")&amp;"| stats count as count"&amp;IF($L173&lt;&gt;""," by "&amp;$L173,"")&amp;IF($M173&lt;&gt;"",CHAR(10)&amp;"| where count &gt;= "&amp;$M173,"")&amp;CHAR(10)&amp;"| sort - count"))</x:f>
      </x:c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8" t="str">
        <x:f>IF($A174&lt;&gt;"Yes","",IF($G174&lt;&gt;"",IFERROR(INDEX($O$6:$O$205,MATCH($G174,$B$6:$B$205,0)),"PARENT SEARCH NOT FOUND"),IFERROR(INDEX('Base Searches'!$E$6:$E$35,MATCH($F174,'Base Searches'!$B$6:$B$35,0)),"BASE NOT FOUND")))</x:f>
      </x:c>
      <x:c r="Q174" s="48" t="str">
        <x:f>IF(OR($A174&lt;&gt;"Yes",$B174=""),"",IF($H174&lt;&gt;"","| search "&amp;$H174,"")&amp;IF($I174&lt;&gt;"",IF($H174&lt;&gt;"",CHAR(10),"")&amp;$I174,"")&amp;IF($J174&lt;&gt;"",IF(OR($H174&lt;&gt;"",$I174&lt;&gt;""),CHAR(10),"")&amp;$J174,""))</x:f>
      </x:c>
      <x:c r="R174" s="48" t="str">
        <x:f>IF(OR($A174&lt;&gt;"Yes",$B174=""),"",IF($K174&lt;&gt;"Yes","Count disabled",IF($H174&lt;&gt;"","| search "&amp;$H174,"")&amp;IF($I174&lt;&gt;"",IF($H174&lt;&gt;"",CHAR(10),"")&amp;$I174,"")&amp;IF(OR($H174&lt;&gt;"",$I174&lt;&gt;""),CHAR(10),"")&amp;"| stats count as count"&amp;IF($L174&lt;&gt;""," by "&amp;$L174,"")&amp;IF($M174&lt;&gt;"",CHAR(10)&amp;"| where count &gt;= "&amp;$M174,"")&amp;CHAR(10)&amp;"| sort - count"))</x:f>
      </x:c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8" t="str">
        <x:f>IF($A175&lt;&gt;"Yes","",IF($G175&lt;&gt;"",IFERROR(INDEX($O$6:$O$205,MATCH($G175,$B$6:$B$205,0)),"PARENT SEARCH NOT FOUND"),IFERROR(INDEX('Base Searches'!$E$6:$E$35,MATCH($F175,'Base Searches'!$B$6:$B$35,0)),"BASE NOT FOUND")))</x:f>
      </x:c>
      <x:c r="Q175" s="48" t="str">
        <x:f>IF(OR($A175&lt;&gt;"Yes",$B175=""),"",IF($H175&lt;&gt;"","| search "&amp;$H175,"")&amp;IF($I175&lt;&gt;"",IF($H175&lt;&gt;"",CHAR(10),"")&amp;$I175,"")&amp;IF($J175&lt;&gt;"",IF(OR($H175&lt;&gt;"",$I175&lt;&gt;""),CHAR(10),"")&amp;$J175,""))</x:f>
      </x:c>
      <x:c r="R175" s="48" t="str">
        <x:f>IF(OR($A175&lt;&gt;"Yes",$B175=""),"",IF($K175&lt;&gt;"Yes","Count disabled",IF($H175&lt;&gt;"","| search "&amp;$H175,"")&amp;IF($I175&lt;&gt;"",IF($H175&lt;&gt;"",CHAR(10),"")&amp;$I175,"")&amp;IF(OR($H175&lt;&gt;"",$I175&lt;&gt;""),CHAR(10),"")&amp;"| stats count as count"&amp;IF($L175&lt;&gt;""," by "&amp;$L175,"")&amp;IF($M175&lt;&gt;"",CHAR(10)&amp;"| where count &gt;= "&amp;$M175,"")&amp;CHAR(10)&amp;"| sort - count"))</x:f>
      </x:c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8" t="str">
        <x:f>IF($A176&lt;&gt;"Yes","",IF($G176&lt;&gt;"",IFERROR(INDEX($O$6:$O$205,MATCH($G176,$B$6:$B$205,0)),"PARENT SEARCH NOT FOUND"),IFERROR(INDEX('Base Searches'!$E$6:$E$35,MATCH($F176,'Base Searches'!$B$6:$B$35,0)),"BASE NOT FOUND")))</x:f>
      </x:c>
      <x:c r="Q176" s="48" t="str">
        <x:f>IF(OR($A176&lt;&gt;"Yes",$B176=""),"",IF($H176&lt;&gt;"","| search "&amp;$H176,"")&amp;IF($I176&lt;&gt;"",IF($H176&lt;&gt;"",CHAR(10),"")&amp;$I176,"")&amp;IF($J176&lt;&gt;"",IF(OR($H176&lt;&gt;"",$I176&lt;&gt;""),CHAR(10),"")&amp;$J176,""))</x:f>
      </x:c>
      <x:c r="R176" s="48" t="str">
        <x:f>IF(OR($A176&lt;&gt;"Yes",$B176=""),"",IF($K176&lt;&gt;"Yes","Count disabled",IF($H176&lt;&gt;"","| search "&amp;$H176,"")&amp;IF($I176&lt;&gt;"",IF($H176&lt;&gt;"",CHAR(10),"")&amp;$I176,"")&amp;IF(OR($H176&lt;&gt;"",$I176&lt;&gt;""),CHAR(10),"")&amp;"| stats count as count"&amp;IF($L176&lt;&gt;""," by "&amp;$L176,"")&amp;IF($M176&lt;&gt;"",CHAR(10)&amp;"| where count &gt;= "&amp;$M176,"")&amp;CHAR(10)&amp;"| sort - count"))</x:f>
      </x:c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8" t="str">
        <x:f>IF($A177&lt;&gt;"Yes","",IF($G177&lt;&gt;"",IFERROR(INDEX($O$6:$O$205,MATCH($G177,$B$6:$B$205,0)),"PARENT SEARCH NOT FOUND"),IFERROR(INDEX('Base Searches'!$E$6:$E$35,MATCH($F177,'Base Searches'!$B$6:$B$35,0)),"BASE NOT FOUND")))</x:f>
      </x:c>
      <x:c r="Q177" s="48" t="str">
        <x:f>IF(OR($A177&lt;&gt;"Yes",$B177=""),"",IF($H177&lt;&gt;"","| search "&amp;$H177,"")&amp;IF($I177&lt;&gt;"",IF($H177&lt;&gt;"",CHAR(10),"")&amp;$I177,"")&amp;IF($J177&lt;&gt;"",IF(OR($H177&lt;&gt;"",$I177&lt;&gt;""),CHAR(10),"")&amp;$J177,""))</x:f>
      </x:c>
      <x:c r="R177" s="48" t="str">
        <x:f>IF(OR($A177&lt;&gt;"Yes",$B177=""),"",IF($K177&lt;&gt;"Yes","Count disabled",IF($H177&lt;&gt;"","| search "&amp;$H177,"")&amp;IF($I177&lt;&gt;"",IF($H177&lt;&gt;"",CHAR(10),"")&amp;$I177,"")&amp;IF(OR($H177&lt;&gt;"",$I177&lt;&gt;""),CHAR(10),"")&amp;"| stats count as count"&amp;IF($L177&lt;&gt;""," by "&amp;$L177,"")&amp;IF($M177&lt;&gt;"",CHAR(10)&amp;"| where count &gt;= "&amp;$M177,"")&amp;CHAR(10)&amp;"| sort - count"))</x:f>
      </x:c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8" t="str">
        <x:f>IF($A178&lt;&gt;"Yes","",IF($G178&lt;&gt;"",IFERROR(INDEX($O$6:$O$205,MATCH($G178,$B$6:$B$205,0)),"PARENT SEARCH NOT FOUND"),IFERROR(INDEX('Base Searches'!$E$6:$E$35,MATCH($F178,'Base Searches'!$B$6:$B$35,0)),"BASE NOT FOUND")))</x:f>
      </x:c>
      <x:c r="Q178" s="48" t="str">
        <x:f>IF(OR($A178&lt;&gt;"Yes",$B178=""),"",IF($H178&lt;&gt;"","| search "&amp;$H178,"")&amp;IF($I178&lt;&gt;"",IF($H178&lt;&gt;"",CHAR(10),"")&amp;$I178,"")&amp;IF($J178&lt;&gt;"",IF(OR($H178&lt;&gt;"",$I178&lt;&gt;""),CHAR(10),"")&amp;$J178,""))</x:f>
      </x:c>
      <x:c r="R178" s="48" t="str">
        <x:f>IF(OR($A178&lt;&gt;"Yes",$B178=""),"",IF($K178&lt;&gt;"Yes","Count disabled",IF($H178&lt;&gt;"","| search "&amp;$H178,"")&amp;IF($I178&lt;&gt;"",IF($H178&lt;&gt;"",CHAR(10),"")&amp;$I178,"")&amp;IF(OR($H178&lt;&gt;"",$I178&lt;&gt;""),CHAR(10),"")&amp;"| stats count as count"&amp;IF($L178&lt;&gt;""," by "&amp;$L178,"")&amp;IF($M178&lt;&gt;"",CHAR(10)&amp;"| where count &gt;= "&amp;$M178,"")&amp;CHAR(10)&amp;"| sort - count"))</x:f>
      </x:c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8" t="str">
        <x:f>IF($A179&lt;&gt;"Yes","",IF($G179&lt;&gt;"",IFERROR(INDEX($O$6:$O$205,MATCH($G179,$B$6:$B$205,0)),"PARENT SEARCH NOT FOUND"),IFERROR(INDEX('Base Searches'!$E$6:$E$35,MATCH($F179,'Base Searches'!$B$6:$B$35,0)),"BASE NOT FOUND")))</x:f>
      </x:c>
      <x:c r="Q179" s="48" t="str">
        <x:f>IF(OR($A179&lt;&gt;"Yes",$B179=""),"",IF($H179&lt;&gt;"","| search "&amp;$H179,"")&amp;IF($I179&lt;&gt;"",IF($H179&lt;&gt;"",CHAR(10),"")&amp;$I179,"")&amp;IF($J179&lt;&gt;"",IF(OR($H179&lt;&gt;"",$I179&lt;&gt;""),CHAR(10),"")&amp;$J179,""))</x:f>
      </x:c>
      <x:c r="R179" s="48" t="str">
        <x:f>IF(OR($A179&lt;&gt;"Yes",$B179=""),"",IF($K179&lt;&gt;"Yes","Count disabled",IF($H179&lt;&gt;"","| search "&amp;$H179,"")&amp;IF($I179&lt;&gt;"",IF($H179&lt;&gt;"",CHAR(10),"")&amp;$I179,"")&amp;IF(OR($H179&lt;&gt;"",$I179&lt;&gt;""),CHAR(10),"")&amp;"| stats count as count"&amp;IF($L179&lt;&gt;""," by "&amp;$L179,"")&amp;IF($M179&lt;&gt;"",CHAR(10)&amp;"| where count &gt;= "&amp;$M179,"")&amp;CHAR(10)&amp;"| sort - count"))</x:f>
      </x:c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8" t="str">
        <x:f>IF($A180&lt;&gt;"Yes","",IF($G180&lt;&gt;"",IFERROR(INDEX($O$6:$O$205,MATCH($G180,$B$6:$B$205,0)),"PARENT SEARCH NOT FOUND"),IFERROR(INDEX('Base Searches'!$E$6:$E$35,MATCH($F180,'Base Searches'!$B$6:$B$35,0)),"BASE NOT FOUND")))</x:f>
      </x:c>
      <x:c r="Q180" s="48" t="str">
        <x:f>IF(OR($A180&lt;&gt;"Yes",$B180=""),"",IF($H180&lt;&gt;"","| search "&amp;$H180,"")&amp;IF($I180&lt;&gt;"",IF($H180&lt;&gt;"",CHAR(10),"")&amp;$I180,"")&amp;IF($J180&lt;&gt;"",IF(OR($H180&lt;&gt;"",$I180&lt;&gt;""),CHAR(10),"")&amp;$J180,""))</x:f>
      </x:c>
      <x:c r="R180" s="48" t="str">
        <x:f>IF(OR($A180&lt;&gt;"Yes",$B180=""),"",IF($K180&lt;&gt;"Yes","Count disabled",IF($H180&lt;&gt;"","| search "&amp;$H180,"")&amp;IF($I180&lt;&gt;"",IF($H180&lt;&gt;"",CHAR(10),"")&amp;$I180,"")&amp;IF(OR($H180&lt;&gt;"",$I180&lt;&gt;""),CHAR(10),"")&amp;"| stats count as count"&amp;IF($L180&lt;&gt;""," by "&amp;$L180,"")&amp;IF($M180&lt;&gt;"",CHAR(10)&amp;"| where count &gt;= "&amp;$M180,"")&amp;CHAR(10)&amp;"| sort - count"))</x:f>
      </x:c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8" t="str">
        <x:f>IF($A181&lt;&gt;"Yes","",IF($G181&lt;&gt;"",IFERROR(INDEX($O$6:$O$205,MATCH($G181,$B$6:$B$205,0)),"PARENT SEARCH NOT FOUND"),IFERROR(INDEX('Base Searches'!$E$6:$E$35,MATCH($F181,'Base Searches'!$B$6:$B$35,0)),"BASE NOT FOUND")))</x:f>
      </x:c>
      <x:c r="Q181" s="48" t="str">
        <x:f>IF(OR($A181&lt;&gt;"Yes",$B181=""),"",IF($H181&lt;&gt;"","| search "&amp;$H181,"")&amp;IF($I181&lt;&gt;"",IF($H181&lt;&gt;"",CHAR(10),"")&amp;$I181,"")&amp;IF($J181&lt;&gt;"",IF(OR($H181&lt;&gt;"",$I181&lt;&gt;""),CHAR(10),"")&amp;$J181,""))</x:f>
      </x:c>
      <x:c r="R181" s="48" t="str">
        <x:f>IF(OR($A181&lt;&gt;"Yes",$B181=""),"",IF($K181&lt;&gt;"Yes","Count disabled",IF($H181&lt;&gt;"","| search "&amp;$H181,"")&amp;IF($I181&lt;&gt;"",IF($H181&lt;&gt;"",CHAR(10),"")&amp;$I181,"")&amp;IF(OR($H181&lt;&gt;"",$I181&lt;&gt;""),CHAR(10),"")&amp;"| stats count as count"&amp;IF($L181&lt;&gt;""," by "&amp;$L181,"")&amp;IF($M181&lt;&gt;"",CHAR(10)&amp;"| where count &gt;= "&amp;$M181,"")&amp;CHAR(10)&amp;"| sort - count"))</x:f>
      </x:c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8" t="str">
        <x:f>IF($A182&lt;&gt;"Yes","",IF($G182&lt;&gt;"",IFERROR(INDEX($O$6:$O$205,MATCH($G182,$B$6:$B$205,0)),"PARENT SEARCH NOT FOUND"),IFERROR(INDEX('Base Searches'!$E$6:$E$35,MATCH($F182,'Base Searches'!$B$6:$B$35,0)),"BASE NOT FOUND")))</x:f>
      </x:c>
      <x:c r="Q182" s="48" t="str">
        <x:f>IF(OR($A182&lt;&gt;"Yes",$B182=""),"",IF($H182&lt;&gt;"","| search "&amp;$H182,"")&amp;IF($I182&lt;&gt;"",IF($H182&lt;&gt;"",CHAR(10),"")&amp;$I182,"")&amp;IF($J182&lt;&gt;"",IF(OR($H182&lt;&gt;"",$I182&lt;&gt;""),CHAR(10),"")&amp;$J182,""))</x:f>
      </x:c>
      <x:c r="R182" s="48" t="str">
        <x:f>IF(OR($A182&lt;&gt;"Yes",$B182=""),"",IF($K182&lt;&gt;"Yes","Count disabled",IF($H182&lt;&gt;"","| search "&amp;$H182,"")&amp;IF($I182&lt;&gt;"",IF($H182&lt;&gt;"",CHAR(10),"")&amp;$I182,"")&amp;IF(OR($H182&lt;&gt;"",$I182&lt;&gt;""),CHAR(10),"")&amp;"| stats count as count"&amp;IF($L182&lt;&gt;""," by "&amp;$L182,"")&amp;IF($M182&lt;&gt;"",CHAR(10)&amp;"| where count &gt;= "&amp;$M182,"")&amp;CHAR(10)&amp;"| sort - count"))</x:f>
      </x:c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8" t="str">
        <x:f>IF($A183&lt;&gt;"Yes","",IF($G183&lt;&gt;"",IFERROR(INDEX($O$6:$O$205,MATCH($G183,$B$6:$B$205,0)),"PARENT SEARCH NOT FOUND"),IFERROR(INDEX('Base Searches'!$E$6:$E$35,MATCH($F183,'Base Searches'!$B$6:$B$35,0)),"BASE NOT FOUND")))</x:f>
      </x:c>
      <x:c r="Q183" s="48" t="str">
        <x:f>IF(OR($A183&lt;&gt;"Yes",$B183=""),"",IF($H183&lt;&gt;"","| search "&amp;$H183,"")&amp;IF($I183&lt;&gt;"",IF($H183&lt;&gt;"",CHAR(10),"")&amp;$I183,"")&amp;IF($J183&lt;&gt;"",IF(OR($H183&lt;&gt;"",$I183&lt;&gt;""),CHAR(10),"")&amp;$J183,""))</x:f>
      </x:c>
      <x:c r="R183" s="48" t="str">
        <x:f>IF(OR($A183&lt;&gt;"Yes",$B183=""),"",IF($K183&lt;&gt;"Yes","Count disabled",IF($H183&lt;&gt;"","| search "&amp;$H183,"")&amp;IF($I183&lt;&gt;"",IF($H183&lt;&gt;"",CHAR(10),"")&amp;$I183,"")&amp;IF(OR($H183&lt;&gt;"",$I183&lt;&gt;""),CHAR(10),"")&amp;"| stats count as count"&amp;IF($L183&lt;&gt;""," by "&amp;$L183,"")&amp;IF($M183&lt;&gt;"",CHAR(10)&amp;"| where count &gt;= "&amp;$M183,"")&amp;CHAR(10)&amp;"| sort - count"))</x:f>
      </x:c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8" t="str">
        <x:f>IF($A184&lt;&gt;"Yes","",IF($G184&lt;&gt;"",IFERROR(INDEX($O$6:$O$205,MATCH($G184,$B$6:$B$205,0)),"PARENT SEARCH NOT FOUND"),IFERROR(INDEX('Base Searches'!$E$6:$E$35,MATCH($F184,'Base Searches'!$B$6:$B$35,0)),"BASE NOT FOUND")))</x:f>
      </x:c>
      <x:c r="Q184" s="48" t="str">
        <x:f>IF(OR($A184&lt;&gt;"Yes",$B184=""),"",IF($H184&lt;&gt;"","| search "&amp;$H184,"")&amp;IF($I184&lt;&gt;"",IF($H184&lt;&gt;"",CHAR(10),"")&amp;$I184,"")&amp;IF($J184&lt;&gt;"",IF(OR($H184&lt;&gt;"",$I184&lt;&gt;""),CHAR(10),"")&amp;$J184,""))</x:f>
      </x:c>
      <x:c r="R184" s="48" t="str">
        <x:f>IF(OR($A184&lt;&gt;"Yes",$B184=""),"",IF($K184&lt;&gt;"Yes","Count disabled",IF($H184&lt;&gt;"","| search "&amp;$H184,"")&amp;IF($I184&lt;&gt;"",IF($H184&lt;&gt;"",CHAR(10),"")&amp;$I184,"")&amp;IF(OR($H184&lt;&gt;"",$I184&lt;&gt;""),CHAR(10),"")&amp;"| stats count as count"&amp;IF($L184&lt;&gt;""," by "&amp;$L184,"")&amp;IF($M184&lt;&gt;"",CHAR(10)&amp;"| where count &gt;= "&amp;$M184,"")&amp;CHAR(10)&amp;"| sort - count"))</x:f>
      </x:c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8" t="str">
        <x:f>IF($A185&lt;&gt;"Yes","",IF($G185&lt;&gt;"",IFERROR(INDEX($O$6:$O$205,MATCH($G185,$B$6:$B$205,0)),"PARENT SEARCH NOT FOUND"),IFERROR(INDEX('Base Searches'!$E$6:$E$35,MATCH($F185,'Base Searches'!$B$6:$B$35,0)),"BASE NOT FOUND")))</x:f>
      </x:c>
      <x:c r="Q185" s="48" t="str">
        <x:f>IF(OR($A185&lt;&gt;"Yes",$B185=""),"",IF($H185&lt;&gt;"","| search "&amp;$H185,"")&amp;IF($I185&lt;&gt;"",IF($H185&lt;&gt;"",CHAR(10),"")&amp;$I185,"")&amp;IF($J185&lt;&gt;"",IF(OR($H185&lt;&gt;"",$I185&lt;&gt;""),CHAR(10),"")&amp;$J185,""))</x:f>
      </x:c>
      <x:c r="R185" s="48" t="str">
        <x:f>IF(OR($A185&lt;&gt;"Yes",$B185=""),"",IF($K185&lt;&gt;"Yes","Count disabled",IF($H185&lt;&gt;"","| search "&amp;$H185,"")&amp;IF($I185&lt;&gt;"",IF($H185&lt;&gt;"",CHAR(10),"")&amp;$I185,"")&amp;IF(OR($H185&lt;&gt;"",$I185&lt;&gt;""),CHAR(10),"")&amp;"| stats count as count"&amp;IF($L185&lt;&gt;""," by "&amp;$L185,"")&amp;IF($M185&lt;&gt;"",CHAR(10)&amp;"| where count &gt;= "&amp;$M185,"")&amp;CHAR(10)&amp;"| sort - count"))</x:f>
      </x:c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8" t="str">
        <x:f>IF($A186&lt;&gt;"Yes","",IF($G186&lt;&gt;"",IFERROR(INDEX($O$6:$O$205,MATCH($G186,$B$6:$B$205,0)),"PARENT SEARCH NOT FOUND"),IFERROR(INDEX('Base Searches'!$E$6:$E$35,MATCH($F186,'Base Searches'!$B$6:$B$35,0)),"BASE NOT FOUND")))</x:f>
      </x:c>
      <x:c r="Q186" s="48" t="str">
        <x:f>IF(OR($A186&lt;&gt;"Yes",$B186=""),"",IF($H186&lt;&gt;"","| search "&amp;$H186,"")&amp;IF($I186&lt;&gt;"",IF($H186&lt;&gt;"",CHAR(10),"")&amp;$I186,"")&amp;IF($J186&lt;&gt;"",IF(OR($H186&lt;&gt;"",$I186&lt;&gt;""),CHAR(10),"")&amp;$J186,""))</x:f>
      </x:c>
      <x:c r="R186" s="48" t="str">
        <x:f>IF(OR($A186&lt;&gt;"Yes",$B186=""),"",IF($K186&lt;&gt;"Yes","Count disabled",IF($H186&lt;&gt;"","| search "&amp;$H186,"")&amp;IF($I186&lt;&gt;"",IF($H186&lt;&gt;"",CHAR(10),"")&amp;$I186,"")&amp;IF(OR($H186&lt;&gt;"",$I186&lt;&gt;""),CHAR(10),"")&amp;"| stats count as count"&amp;IF($L186&lt;&gt;""," by "&amp;$L186,"")&amp;IF($M186&lt;&gt;"",CHAR(10)&amp;"| where count &gt;= "&amp;$M186,"")&amp;CHAR(10)&amp;"| sort - count"))</x:f>
      </x:c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8" t="str">
        <x:f>IF($A187&lt;&gt;"Yes","",IF($G187&lt;&gt;"",IFERROR(INDEX($O$6:$O$205,MATCH($G187,$B$6:$B$205,0)),"PARENT SEARCH NOT FOUND"),IFERROR(INDEX('Base Searches'!$E$6:$E$35,MATCH($F187,'Base Searches'!$B$6:$B$35,0)),"BASE NOT FOUND")))</x:f>
      </x:c>
      <x:c r="Q187" s="48" t="str">
        <x:f>IF(OR($A187&lt;&gt;"Yes",$B187=""),"",IF($H187&lt;&gt;"","| search "&amp;$H187,"")&amp;IF($I187&lt;&gt;"",IF($H187&lt;&gt;"",CHAR(10),"")&amp;$I187,"")&amp;IF($J187&lt;&gt;"",IF(OR($H187&lt;&gt;"",$I187&lt;&gt;""),CHAR(10),"")&amp;$J187,""))</x:f>
      </x:c>
      <x:c r="R187" s="48" t="str">
        <x:f>IF(OR($A187&lt;&gt;"Yes",$B187=""),"",IF($K187&lt;&gt;"Yes","Count disabled",IF($H187&lt;&gt;"","| search "&amp;$H187,"")&amp;IF($I187&lt;&gt;"",IF($H187&lt;&gt;"",CHAR(10),"")&amp;$I187,"")&amp;IF(OR($H187&lt;&gt;"",$I187&lt;&gt;""),CHAR(10),"")&amp;"| stats count as count"&amp;IF($L187&lt;&gt;""," by "&amp;$L187,"")&amp;IF($M187&lt;&gt;"",CHAR(10)&amp;"| where count &gt;= "&amp;$M187,"")&amp;CHAR(10)&amp;"| sort - count"))</x:f>
      </x:c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8" t="str">
        <x:f>IF($A188&lt;&gt;"Yes","",IF($G188&lt;&gt;"",IFERROR(INDEX($O$6:$O$205,MATCH($G188,$B$6:$B$205,0)),"PARENT SEARCH NOT FOUND"),IFERROR(INDEX('Base Searches'!$E$6:$E$35,MATCH($F188,'Base Searches'!$B$6:$B$35,0)),"BASE NOT FOUND")))</x:f>
      </x:c>
      <x:c r="Q188" s="48" t="str">
        <x:f>IF(OR($A188&lt;&gt;"Yes",$B188=""),"",IF($H188&lt;&gt;"","| search "&amp;$H188,"")&amp;IF($I188&lt;&gt;"",IF($H188&lt;&gt;"",CHAR(10),"")&amp;$I188,"")&amp;IF($J188&lt;&gt;"",IF(OR($H188&lt;&gt;"",$I188&lt;&gt;""),CHAR(10),"")&amp;$J188,""))</x:f>
      </x:c>
      <x:c r="R188" s="48" t="str">
        <x:f>IF(OR($A188&lt;&gt;"Yes",$B188=""),"",IF($K188&lt;&gt;"Yes","Count disabled",IF($H188&lt;&gt;"","| search "&amp;$H188,"")&amp;IF($I188&lt;&gt;"",IF($H188&lt;&gt;"",CHAR(10),"")&amp;$I188,"")&amp;IF(OR($H188&lt;&gt;"",$I188&lt;&gt;""),CHAR(10),"")&amp;"| stats count as count"&amp;IF($L188&lt;&gt;""," by "&amp;$L188,"")&amp;IF($M188&lt;&gt;"",CHAR(10)&amp;"| where count &gt;= "&amp;$M188,"")&amp;CHAR(10)&amp;"| sort - count"))</x:f>
      </x:c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8" t="str">
        <x:f>IF($A189&lt;&gt;"Yes","",IF($G189&lt;&gt;"",IFERROR(INDEX($O$6:$O$205,MATCH($G189,$B$6:$B$205,0)),"PARENT SEARCH NOT FOUND"),IFERROR(INDEX('Base Searches'!$E$6:$E$35,MATCH($F189,'Base Searches'!$B$6:$B$35,0)),"BASE NOT FOUND")))</x:f>
      </x:c>
      <x:c r="Q189" s="48" t="str">
        <x:f>IF(OR($A189&lt;&gt;"Yes",$B189=""),"",IF($H189&lt;&gt;"","| search "&amp;$H189,"")&amp;IF($I189&lt;&gt;"",IF($H189&lt;&gt;"",CHAR(10),"")&amp;$I189,"")&amp;IF($J189&lt;&gt;"",IF(OR($H189&lt;&gt;"",$I189&lt;&gt;""),CHAR(10),"")&amp;$J189,""))</x:f>
      </x:c>
      <x:c r="R189" s="48" t="str">
        <x:f>IF(OR($A189&lt;&gt;"Yes",$B189=""),"",IF($K189&lt;&gt;"Yes","Count disabled",IF($H189&lt;&gt;"","| search "&amp;$H189,"")&amp;IF($I189&lt;&gt;"",IF($H189&lt;&gt;"",CHAR(10),"")&amp;$I189,"")&amp;IF(OR($H189&lt;&gt;"",$I189&lt;&gt;""),CHAR(10),"")&amp;"| stats count as count"&amp;IF($L189&lt;&gt;""," by "&amp;$L189,"")&amp;IF($M189&lt;&gt;"",CHAR(10)&amp;"| where count &gt;= "&amp;$M189,"")&amp;CHAR(10)&amp;"| sort - count"))</x:f>
      </x:c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8" t="str">
        <x:f>IF($A190&lt;&gt;"Yes","",IF($G190&lt;&gt;"",IFERROR(INDEX($O$6:$O$205,MATCH($G190,$B$6:$B$205,0)),"PARENT SEARCH NOT FOUND"),IFERROR(INDEX('Base Searches'!$E$6:$E$35,MATCH($F190,'Base Searches'!$B$6:$B$35,0)),"BASE NOT FOUND")))</x:f>
      </x:c>
      <x:c r="Q190" s="48" t="str">
        <x:f>IF(OR($A190&lt;&gt;"Yes",$B190=""),"",IF($H190&lt;&gt;"","| search "&amp;$H190,"")&amp;IF($I190&lt;&gt;"",IF($H190&lt;&gt;"",CHAR(10),"")&amp;$I190,"")&amp;IF($J190&lt;&gt;"",IF(OR($H190&lt;&gt;"",$I190&lt;&gt;""),CHAR(10),"")&amp;$J190,""))</x:f>
      </x:c>
      <x:c r="R190" s="48" t="str">
        <x:f>IF(OR($A190&lt;&gt;"Yes",$B190=""),"",IF($K190&lt;&gt;"Yes","Count disabled",IF($H190&lt;&gt;"","| search "&amp;$H190,"")&amp;IF($I190&lt;&gt;"",IF($H190&lt;&gt;"",CHAR(10),"")&amp;$I190,"")&amp;IF(OR($H190&lt;&gt;"",$I190&lt;&gt;""),CHAR(10),"")&amp;"| stats count as count"&amp;IF($L190&lt;&gt;""," by "&amp;$L190,"")&amp;IF($M190&lt;&gt;"",CHAR(10)&amp;"| where count &gt;= "&amp;$M190,"")&amp;CHAR(10)&amp;"| sort - count"))</x:f>
      </x:c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8" t="str">
        <x:f>IF($A191&lt;&gt;"Yes","",IF($G191&lt;&gt;"",IFERROR(INDEX($O$6:$O$205,MATCH($G191,$B$6:$B$205,0)),"PARENT SEARCH NOT FOUND"),IFERROR(INDEX('Base Searches'!$E$6:$E$35,MATCH($F191,'Base Searches'!$B$6:$B$35,0)),"BASE NOT FOUND")))</x:f>
      </x:c>
      <x:c r="Q191" s="48" t="str">
        <x:f>IF(OR($A191&lt;&gt;"Yes",$B191=""),"",IF($H191&lt;&gt;"","| search "&amp;$H191,"")&amp;IF($I191&lt;&gt;"",IF($H191&lt;&gt;"",CHAR(10),"")&amp;$I191,"")&amp;IF($J191&lt;&gt;"",IF(OR($H191&lt;&gt;"",$I191&lt;&gt;""),CHAR(10),"")&amp;$J191,""))</x:f>
      </x:c>
      <x:c r="R191" s="48" t="str">
        <x:f>IF(OR($A191&lt;&gt;"Yes",$B191=""),"",IF($K191&lt;&gt;"Yes","Count disabled",IF($H191&lt;&gt;"","| search "&amp;$H191,"")&amp;IF($I191&lt;&gt;"",IF($H191&lt;&gt;"",CHAR(10),"")&amp;$I191,"")&amp;IF(OR($H191&lt;&gt;"",$I191&lt;&gt;""),CHAR(10),"")&amp;"| stats count as count"&amp;IF($L191&lt;&gt;""," by "&amp;$L191,"")&amp;IF($M191&lt;&gt;"",CHAR(10)&amp;"| where count &gt;= "&amp;$M191,"")&amp;CHAR(10)&amp;"| sort - count"))</x:f>
      </x:c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8" t="str">
        <x:f>IF($A192&lt;&gt;"Yes","",IF($G192&lt;&gt;"",IFERROR(INDEX($O$6:$O$205,MATCH($G192,$B$6:$B$205,0)),"PARENT SEARCH NOT FOUND"),IFERROR(INDEX('Base Searches'!$E$6:$E$35,MATCH($F192,'Base Searches'!$B$6:$B$35,0)),"BASE NOT FOUND")))</x:f>
      </x:c>
      <x:c r="Q192" s="48" t="str">
        <x:f>IF(OR($A192&lt;&gt;"Yes",$B192=""),"",IF($H192&lt;&gt;"","| search "&amp;$H192,"")&amp;IF($I192&lt;&gt;"",IF($H192&lt;&gt;"",CHAR(10),"")&amp;$I192,"")&amp;IF($J192&lt;&gt;"",IF(OR($H192&lt;&gt;"",$I192&lt;&gt;""),CHAR(10),"")&amp;$J192,""))</x:f>
      </x:c>
      <x:c r="R192" s="48" t="str">
        <x:f>IF(OR($A192&lt;&gt;"Yes",$B192=""),"",IF($K192&lt;&gt;"Yes","Count disabled",IF($H192&lt;&gt;"","| search "&amp;$H192,"")&amp;IF($I192&lt;&gt;"",IF($H192&lt;&gt;"",CHAR(10),"")&amp;$I192,"")&amp;IF(OR($H192&lt;&gt;"",$I192&lt;&gt;""),CHAR(10),"")&amp;"| stats count as count"&amp;IF($L192&lt;&gt;""," by "&amp;$L192,"")&amp;IF($M192&lt;&gt;"",CHAR(10)&amp;"| where count &gt;= "&amp;$M192,"")&amp;CHAR(10)&amp;"| sort - count"))</x:f>
      </x:c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8" t="str">
        <x:f>IF($A193&lt;&gt;"Yes","",IF($G193&lt;&gt;"",IFERROR(INDEX($O$6:$O$205,MATCH($G193,$B$6:$B$205,0)),"PARENT SEARCH NOT FOUND"),IFERROR(INDEX('Base Searches'!$E$6:$E$35,MATCH($F193,'Base Searches'!$B$6:$B$35,0)),"BASE NOT FOUND")))</x:f>
      </x:c>
      <x:c r="Q193" s="48" t="str">
        <x:f>IF(OR($A193&lt;&gt;"Yes",$B193=""),"",IF($H193&lt;&gt;"","| search "&amp;$H193,"")&amp;IF($I193&lt;&gt;"",IF($H193&lt;&gt;"",CHAR(10),"")&amp;$I193,"")&amp;IF($J193&lt;&gt;"",IF(OR($H193&lt;&gt;"",$I193&lt;&gt;""),CHAR(10),"")&amp;$J193,""))</x:f>
      </x:c>
      <x:c r="R193" s="48" t="str">
        <x:f>IF(OR($A193&lt;&gt;"Yes",$B193=""),"",IF($K193&lt;&gt;"Yes","Count disabled",IF($H193&lt;&gt;"","| search "&amp;$H193,"")&amp;IF($I193&lt;&gt;"",IF($H193&lt;&gt;"",CHAR(10),"")&amp;$I193,"")&amp;IF(OR($H193&lt;&gt;"",$I193&lt;&gt;""),CHAR(10),"")&amp;"| stats count as count"&amp;IF($L193&lt;&gt;""," by "&amp;$L193,"")&amp;IF($M193&lt;&gt;"",CHAR(10)&amp;"| where count &gt;= "&amp;$M193,"")&amp;CHAR(10)&amp;"| sort - count"))</x:f>
      </x:c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8" t="str">
        <x:f>IF($A194&lt;&gt;"Yes","",IF($G194&lt;&gt;"",IFERROR(INDEX($O$6:$O$205,MATCH($G194,$B$6:$B$205,0)),"PARENT SEARCH NOT FOUND"),IFERROR(INDEX('Base Searches'!$E$6:$E$35,MATCH($F194,'Base Searches'!$B$6:$B$35,0)),"BASE NOT FOUND")))</x:f>
      </x:c>
      <x:c r="Q194" s="48" t="str">
        <x:f>IF(OR($A194&lt;&gt;"Yes",$B194=""),"",IF($H194&lt;&gt;"","| search "&amp;$H194,"")&amp;IF($I194&lt;&gt;"",IF($H194&lt;&gt;"",CHAR(10),"")&amp;$I194,"")&amp;IF($J194&lt;&gt;"",IF(OR($H194&lt;&gt;"",$I194&lt;&gt;""),CHAR(10),"")&amp;$J194,""))</x:f>
      </x:c>
      <x:c r="R194" s="48" t="str">
        <x:f>IF(OR($A194&lt;&gt;"Yes",$B194=""),"",IF($K194&lt;&gt;"Yes","Count disabled",IF($H194&lt;&gt;"","| search "&amp;$H194,"")&amp;IF($I194&lt;&gt;"",IF($H194&lt;&gt;"",CHAR(10),"")&amp;$I194,"")&amp;IF(OR($H194&lt;&gt;"",$I194&lt;&gt;""),CHAR(10),"")&amp;"| stats count as count"&amp;IF($L194&lt;&gt;""," by "&amp;$L194,"")&amp;IF($M194&lt;&gt;"",CHAR(10)&amp;"| where count &gt;= "&amp;$M194,"")&amp;CHAR(10)&amp;"| sort - count"))</x:f>
      </x:c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8" t="str">
        <x:f>IF($A195&lt;&gt;"Yes","",IF($G195&lt;&gt;"",IFERROR(INDEX($O$6:$O$205,MATCH($G195,$B$6:$B$205,0)),"PARENT SEARCH NOT FOUND"),IFERROR(INDEX('Base Searches'!$E$6:$E$35,MATCH($F195,'Base Searches'!$B$6:$B$35,0)),"BASE NOT FOUND")))</x:f>
      </x:c>
      <x:c r="Q195" s="48" t="str">
        <x:f>IF(OR($A195&lt;&gt;"Yes",$B195=""),"",IF($H195&lt;&gt;"","| search "&amp;$H195,"")&amp;IF($I195&lt;&gt;"",IF($H195&lt;&gt;"",CHAR(10),"")&amp;$I195,"")&amp;IF($J195&lt;&gt;"",IF(OR($H195&lt;&gt;"",$I195&lt;&gt;""),CHAR(10),"")&amp;$J195,""))</x:f>
      </x:c>
      <x:c r="R195" s="48" t="str">
        <x:f>IF(OR($A195&lt;&gt;"Yes",$B195=""),"",IF($K195&lt;&gt;"Yes","Count disabled",IF($H195&lt;&gt;"","| search "&amp;$H195,"")&amp;IF($I195&lt;&gt;"",IF($H195&lt;&gt;"",CHAR(10),"")&amp;$I195,"")&amp;IF(OR($H195&lt;&gt;"",$I195&lt;&gt;""),CHAR(10),"")&amp;"| stats count as count"&amp;IF($L195&lt;&gt;""," by "&amp;$L195,"")&amp;IF($M195&lt;&gt;"",CHAR(10)&amp;"| where count &gt;= "&amp;$M195,"")&amp;CHAR(10)&amp;"| sort - count"))</x:f>
      </x:c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8" t="str">
        <x:f>IF($A196&lt;&gt;"Yes","",IF($G196&lt;&gt;"",IFERROR(INDEX($O$6:$O$205,MATCH($G196,$B$6:$B$205,0)),"PARENT SEARCH NOT FOUND"),IFERROR(INDEX('Base Searches'!$E$6:$E$35,MATCH($F196,'Base Searches'!$B$6:$B$35,0)),"BASE NOT FOUND")))</x:f>
      </x:c>
      <x:c r="Q196" s="48" t="str">
        <x:f>IF(OR($A196&lt;&gt;"Yes",$B196=""),"",IF($H196&lt;&gt;"","| search "&amp;$H196,"")&amp;IF($I196&lt;&gt;"",IF($H196&lt;&gt;"",CHAR(10),"")&amp;$I196,"")&amp;IF($J196&lt;&gt;"",IF(OR($H196&lt;&gt;"",$I196&lt;&gt;""),CHAR(10),"")&amp;$J196,""))</x:f>
      </x:c>
      <x:c r="R196" s="48" t="str">
        <x:f>IF(OR($A196&lt;&gt;"Yes",$B196=""),"",IF($K196&lt;&gt;"Yes","Count disabled",IF($H196&lt;&gt;"","| search "&amp;$H196,"")&amp;IF($I196&lt;&gt;"",IF($H196&lt;&gt;"",CHAR(10),"")&amp;$I196,"")&amp;IF(OR($H196&lt;&gt;"",$I196&lt;&gt;""),CHAR(10),"")&amp;"| stats count as count"&amp;IF($L196&lt;&gt;""," by "&amp;$L196,"")&amp;IF($M196&lt;&gt;"",CHAR(10)&amp;"| where count &gt;= "&amp;$M196,"")&amp;CHAR(10)&amp;"| sort - count"))</x:f>
      </x:c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8" t="str">
        <x:f>IF($A197&lt;&gt;"Yes","",IF($G197&lt;&gt;"",IFERROR(INDEX($O$6:$O$205,MATCH($G197,$B$6:$B$205,0)),"PARENT SEARCH NOT FOUND"),IFERROR(INDEX('Base Searches'!$E$6:$E$35,MATCH($F197,'Base Searches'!$B$6:$B$35,0)),"BASE NOT FOUND")))</x:f>
      </x:c>
      <x:c r="Q197" s="48" t="str">
        <x:f>IF(OR($A197&lt;&gt;"Yes",$B197=""),"",IF($H197&lt;&gt;"","| search "&amp;$H197,"")&amp;IF($I197&lt;&gt;"",IF($H197&lt;&gt;"",CHAR(10),"")&amp;$I197,"")&amp;IF($J197&lt;&gt;"",IF(OR($H197&lt;&gt;"",$I197&lt;&gt;""),CHAR(10),"")&amp;$J197,""))</x:f>
      </x:c>
      <x:c r="R197" s="48" t="str">
        <x:f>IF(OR($A197&lt;&gt;"Yes",$B197=""),"",IF($K197&lt;&gt;"Yes","Count disabled",IF($H197&lt;&gt;"","| search "&amp;$H197,"")&amp;IF($I197&lt;&gt;"",IF($H197&lt;&gt;"",CHAR(10),"")&amp;$I197,"")&amp;IF(OR($H197&lt;&gt;"",$I197&lt;&gt;""),CHAR(10),"")&amp;"| stats count as count"&amp;IF($L197&lt;&gt;""," by "&amp;$L197,"")&amp;IF($M197&lt;&gt;"",CHAR(10)&amp;"| where count &gt;= "&amp;$M197,"")&amp;CHAR(10)&amp;"| sort - count"))</x:f>
      </x:c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8" t="str">
        <x:f>IF($A198&lt;&gt;"Yes","",IF($G198&lt;&gt;"",IFERROR(INDEX($O$6:$O$205,MATCH($G198,$B$6:$B$205,0)),"PARENT SEARCH NOT FOUND"),IFERROR(INDEX('Base Searches'!$E$6:$E$35,MATCH($F198,'Base Searches'!$B$6:$B$35,0)),"BASE NOT FOUND")))</x:f>
      </x:c>
      <x:c r="Q198" s="48" t="str">
        <x:f>IF(OR($A198&lt;&gt;"Yes",$B198=""),"",IF($H198&lt;&gt;"","| search "&amp;$H198,"")&amp;IF($I198&lt;&gt;"",IF($H198&lt;&gt;"",CHAR(10),"")&amp;$I198,"")&amp;IF($J198&lt;&gt;"",IF(OR($H198&lt;&gt;"",$I198&lt;&gt;""),CHAR(10),"")&amp;$J198,""))</x:f>
      </x:c>
      <x:c r="R198" s="48" t="str">
        <x:f>IF(OR($A198&lt;&gt;"Yes",$B198=""),"",IF($K198&lt;&gt;"Yes","Count disabled",IF($H198&lt;&gt;"","| search "&amp;$H198,"")&amp;IF($I198&lt;&gt;"",IF($H198&lt;&gt;"",CHAR(10),"")&amp;$I198,"")&amp;IF(OR($H198&lt;&gt;"",$I198&lt;&gt;""),CHAR(10),"")&amp;"| stats count as count"&amp;IF($L198&lt;&gt;""," by "&amp;$L198,"")&amp;IF($M198&lt;&gt;"",CHAR(10)&amp;"| where count &gt;= "&amp;$M198,"")&amp;CHAR(10)&amp;"| sort - count"))</x:f>
      </x:c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8" t="str">
        <x:f>IF($A199&lt;&gt;"Yes","",IF($G199&lt;&gt;"",IFERROR(INDEX($O$6:$O$205,MATCH($G199,$B$6:$B$205,0)),"PARENT SEARCH NOT FOUND"),IFERROR(INDEX('Base Searches'!$E$6:$E$35,MATCH($F199,'Base Searches'!$B$6:$B$35,0)),"BASE NOT FOUND")))</x:f>
      </x:c>
      <x:c r="Q199" s="48" t="str">
        <x:f>IF(OR($A199&lt;&gt;"Yes",$B199=""),"",IF($H199&lt;&gt;"","| search "&amp;$H199,"")&amp;IF($I199&lt;&gt;"",IF($H199&lt;&gt;"",CHAR(10),"")&amp;$I199,"")&amp;IF($J199&lt;&gt;"",IF(OR($H199&lt;&gt;"",$I199&lt;&gt;""),CHAR(10),"")&amp;$J199,""))</x:f>
      </x:c>
      <x:c r="R199" s="48" t="str">
        <x:f>IF(OR($A199&lt;&gt;"Yes",$B199=""),"",IF($K199&lt;&gt;"Yes","Count disabled",IF($H199&lt;&gt;"","| search "&amp;$H199,"")&amp;IF($I199&lt;&gt;"",IF($H199&lt;&gt;"",CHAR(10),"")&amp;$I199,"")&amp;IF(OR($H199&lt;&gt;"",$I199&lt;&gt;""),CHAR(10),"")&amp;"| stats count as count"&amp;IF($L199&lt;&gt;""," by "&amp;$L199,"")&amp;IF($M199&lt;&gt;"",CHAR(10)&amp;"| where count &gt;= "&amp;$M199,"")&amp;CHAR(10)&amp;"| sort - count"))</x:f>
      </x:c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8" t="str">
        <x:f>IF($A200&lt;&gt;"Yes","",IF($G200&lt;&gt;"",IFERROR(INDEX($O$6:$O$205,MATCH($G200,$B$6:$B$205,0)),"PARENT SEARCH NOT FOUND"),IFERROR(INDEX('Base Searches'!$E$6:$E$35,MATCH($F200,'Base Searches'!$B$6:$B$35,0)),"BASE NOT FOUND")))</x:f>
      </x:c>
      <x:c r="Q200" s="48" t="str">
        <x:f>IF(OR($A200&lt;&gt;"Yes",$B200=""),"",IF($H200&lt;&gt;"","| search "&amp;$H200,"")&amp;IF($I200&lt;&gt;"",IF($H200&lt;&gt;"",CHAR(10),"")&amp;$I200,"")&amp;IF($J200&lt;&gt;"",IF(OR($H200&lt;&gt;"",$I200&lt;&gt;""),CHAR(10),"")&amp;$J200,""))</x:f>
      </x:c>
      <x:c r="R200" s="48" t="str">
        <x:f>IF(OR($A200&lt;&gt;"Yes",$B200=""),"",IF($K200&lt;&gt;"Yes","Count disabled",IF($H200&lt;&gt;"","| search "&amp;$H200,"")&amp;IF($I200&lt;&gt;"",IF($H200&lt;&gt;"",CHAR(10),"")&amp;$I200,"")&amp;IF(OR($H200&lt;&gt;"",$I200&lt;&gt;""),CHAR(10),"")&amp;"| stats count as count"&amp;IF($L200&lt;&gt;""," by "&amp;$L200,"")&amp;IF($M200&lt;&gt;"",CHAR(10)&amp;"| where count &gt;= "&amp;$M200,"")&amp;CHAR(10)&amp;"| sort - count"))</x:f>
      </x:c>
    </x:row>
    <x:row r="201">
      <x:c r="A201" s="42"/>
      <x:c r="B201" s="42"/>
      <x:c r="C201" s="42"/>
      <x:c r="D201" s="42"/>
      <x:c r="E201" s="42"/>
      <x:c r="F201" s="42"/>
      <x:c r="G201" s="42"/>
      <x:c r="H201" s="42"/>
      <x:c r="I201" s="42"/>
      <x:c r="J201" s="42"/>
      <x:c r="K201" s="42"/>
      <x:c r="L201" s="42"/>
      <x:c r="M201" s="42"/>
      <x:c r="N201" s="42"/>
      <x:c r="O201" s="42"/>
      <x:c r="P201" s="48" t="str">
        <x:f>IF($A201&lt;&gt;"Yes","",IF($G201&lt;&gt;"",IFERROR(INDEX($O$6:$O$205,MATCH($G201,$B$6:$B$205,0)),"PARENT SEARCH NOT FOUND"),IFERROR(INDEX('Base Searches'!$E$6:$E$35,MATCH($F201,'Base Searches'!$B$6:$B$35,0)),"BASE NOT FOUND")))</x:f>
      </x:c>
      <x:c r="Q201" s="48" t="str">
        <x:f>IF(OR($A201&lt;&gt;"Yes",$B201=""),"",IF($H201&lt;&gt;"","| search "&amp;$H201,"")&amp;IF($I201&lt;&gt;"",IF($H201&lt;&gt;"",CHAR(10),"")&amp;$I201,"")&amp;IF($J201&lt;&gt;"",IF(OR($H201&lt;&gt;"",$I201&lt;&gt;""),CHAR(10),"")&amp;$J201,""))</x:f>
      </x:c>
      <x:c r="R201" s="48" t="str">
        <x:f>IF(OR($A201&lt;&gt;"Yes",$B201=""),"",IF($K201&lt;&gt;"Yes","Count disabled",IF($H201&lt;&gt;"","| search "&amp;$H201,"")&amp;IF($I201&lt;&gt;"",IF($H201&lt;&gt;"",CHAR(10),"")&amp;$I201,"")&amp;IF(OR($H201&lt;&gt;"",$I201&lt;&gt;""),CHAR(10),"")&amp;"| stats count as count"&amp;IF($L201&lt;&gt;""," by "&amp;$L201,"")&amp;IF($M201&lt;&gt;"",CHAR(10)&amp;"| where count &gt;= "&amp;$M201,"")&amp;CHAR(10)&amp;"| sort - count"))</x:f>
      </x:c>
    </x:row>
    <x:row r="202">
      <x:c r="A202" s="42"/>
      <x:c r="B202" s="42"/>
      <x:c r="C202" s="42"/>
      <x:c r="D202" s="42"/>
      <x:c r="E202" s="42"/>
      <x:c r="F202" s="42"/>
      <x:c r="G202" s="42"/>
      <x:c r="H202" s="42"/>
      <x:c r="I202" s="42"/>
      <x:c r="J202" s="42"/>
      <x:c r="K202" s="42"/>
      <x:c r="L202" s="42"/>
      <x:c r="M202" s="42"/>
      <x:c r="N202" s="42"/>
      <x:c r="O202" s="42"/>
      <x:c r="P202" s="48" t="str">
        <x:f>IF($A202&lt;&gt;"Yes","",IF($G202&lt;&gt;"",IFERROR(INDEX($O$6:$O$205,MATCH($G202,$B$6:$B$205,0)),"PARENT SEARCH NOT FOUND"),IFERROR(INDEX('Base Searches'!$E$6:$E$35,MATCH($F202,'Base Searches'!$B$6:$B$35,0)),"BASE NOT FOUND")))</x:f>
      </x:c>
      <x:c r="Q202" s="48" t="str">
        <x:f>IF(OR($A202&lt;&gt;"Yes",$B202=""),"",IF($H202&lt;&gt;"","| search "&amp;$H202,"")&amp;IF($I202&lt;&gt;"",IF($H202&lt;&gt;"",CHAR(10),"")&amp;$I202,"")&amp;IF($J202&lt;&gt;"",IF(OR($H202&lt;&gt;"",$I202&lt;&gt;""),CHAR(10),"")&amp;$J202,""))</x:f>
      </x:c>
      <x:c r="R202" s="48" t="str">
        <x:f>IF(OR($A202&lt;&gt;"Yes",$B202=""),"",IF($K202&lt;&gt;"Yes","Count disabled",IF($H202&lt;&gt;"","| search "&amp;$H202,"")&amp;IF($I202&lt;&gt;"",IF($H202&lt;&gt;"",CHAR(10),"")&amp;$I202,"")&amp;IF(OR($H202&lt;&gt;"",$I202&lt;&gt;""),CHAR(10),"")&amp;"| stats count as count"&amp;IF($L202&lt;&gt;""," by "&amp;$L202,"")&amp;IF($M202&lt;&gt;"",CHAR(10)&amp;"| where count &gt;= "&amp;$M202,"")&amp;CHAR(10)&amp;"| sort - count"))</x:f>
      </x:c>
    </x:row>
    <x:row r="203">
      <x:c r="A203" s="42"/>
      <x:c r="B203" s="42"/>
      <x:c r="C203" s="42"/>
      <x:c r="D203" s="42"/>
      <x:c r="E203" s="42"/>
      <x:c r="F203" s="42"/>
      <x:c r="G203" s="42"/>
      <x:c r="H203" s="42"/>
      <x:c r="I203" s="42"/>
      <x:c r="J203" s="42"/>
      <x:c r="K203" s="42"/>
      <x:c r="L203" s="42"/>
      <x:c r="M203" s="42"/>
      <x:c r="N203" s="42"/>
      <x:c r="O203" s="42"/>
      <x:c r="P203" s="48" t="str">
        <x:f>IF($A203&lt;&gt;"Yes","",IF($G203&lt;&gt;"",IFERROR(INDEX($O$6:$O$205,MATCH($G203,$B$6:$B$205,0)),"PARENT SEARCH NOT FOUND"),IFERROR(INDEX('Base Searches'!$E$6:$E$35,MATCH($F203,'Base Searches'!$B$6:$B$35,0)),"BASE NOT FOUND")))</x:f>
      </x:c>
      <x:c r="Q203" s="48" t="str">
        <x:f>IF(OR($A203&lt;&gt;"Yes",$B203=""),"",IF($H203&lt;&gt;"","| search "&amp;$H203,"")&amp;IF($I203&lt;&gt;"",IF($H203&lt;&gt;"",CHAR(10),"")&amp;$I203,"")&amp;IF($J203&lt;&gt;"",IF(OR($H203&lt;&gt;"",$I203&lt;&gt;""),CHAR(10),"")&amp;$J203,""))</x:f>
      </x:c>
      <x:c r="R203" s="48" t="str">
        <x:f>IF(OR($A203&lt;&gt;"Yes",$B203=""),"",IF($K203&lt;&gt;"Yes","Count disabled",IF($H203&lt;&gt;"","| search "&amp;$H203,"")&amp;IF($I203&lt;&gt;"",IF($H203&lt;&gt;"",CHAR(10),"")&amp;$I203,"")&amp;IF(OR($H203&lt;&gt;"",$I203&lt;&gt;""),CHAR(10),"")&amp;"| stats count as count"&amp;IF($L203&lt;&gt;""," by "&amp;$L203,"")&amp;IF($M203&lt;&gt;"",CHAR(10)&amp;"| where count &gt;= "&amp;$M203,"")&amp;CHAR(10)&amp;"| sort - count"))</x:f>
      </x:c>
    </x:row>
    <x:row r="204">
      <x:c r="A204" s="42"/>
      <x:c r="B204" s="42"/>
      <x:c r="C204" s="42"/>
      <x:c r="D204" s="42"/>
      <x:c r="E204" s="42"/>
      <x:c r="F204" s="42"/>
      <x:c r="G204" s="42"/>
      <x:c r="H204" s="42"/>
      <x:c r="I204" s="42"/>
      <x:c r="J204" s="42"/>
      <x:c r="K204" s="42"/>
      <x:c r="L204" s="42"/>
      <x:c r="M204" s="42"/>
      <x:c r="N204" s="42"/>
      <x:c r="O204" s="42"/>
      <x:c r="P204" s="48" t="str">
        <x:f>IF($A204&lt;&gt;"Yes","",IF($G204&lt;&gt;"",IFERROR(INDEX($O$6:$O$205,MATCH($G204,$B$6:$B$205,0)),"PARENT SEARCH NOT FOUND"),IFERROR(INDEX('Base Searches'!$E$6:$E$35,MATCH($F204,'Base Searches'!$B$6:$B$35,0)),"BASE NOT FOUND")))</x:f>
      </x:c>
      <x:c r="Q204" s="48" t="str">
        <x:f>IF(OR($A204&lt;&gt;"Yes",$B204=""),"",IF($H204&lt;&gt;"","| search "&amp;$H204,"")&amp;IF($I204&lt;&gt;"",IF($H204&lt;&gt;"",CHAR(10),"")&amp;$I204,"")&amp;IF($J204&lt;&gt;"",IF(OR($H204&lt;&gt;"",$I204&lt;&gt;""),CHAR(10),"")&amp;$J204,""))</x:f>
      </x:c>
      <x:c r="R204" s="48" t="str">
        <x:f>IF(OR($A204&lt;&gt;"Yes",$B204=""),"",IF($K204&lt;&gt;"Yes","Count disabled",IF($H204&lt;&gt;"","| search "&amp;$H204,"")&amp;IF($I204&lt;&gt;"",IF($H204&lt;&gt;"",CHAR(10),"")&amp;$I204,"")&amp;IF(OR($H204&lt;&gt;"",$I204&lt;&gt;""),CHAR(10),"")&amp;"| stats count as count"&amp;IF($L204&lt;&gt;""," by "&amp;$L204,"")&amp;IF($M204&lt;&gt;"",CHAR(10)&amp;"| where count &gt;= "&amp;$M204,"")&amp;CHAR(10)&amp;"| sort - count"))</x:f>
      </x:c>
    </x:row>
    <x:row r="205">
      <x:c r="A205" s="42"/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8" t="str">
        <x:f>IF($A205&lt;&gt;"Yes","",IF($G205&lt;&gt;"",IFERROR(INDEX($O$6:$O$205,MATCH($G205,$B$6:$B$205,0)),"PARENT SEARCH NOT FOUND"),IFERROR(INDEX('Base Searches'!$E$6:$E$35,MATCH($F205,'Base Searches'!$B$6:$B$35,0)),"BASE NOT FOUND")))</x:f>
      </x:c>
      <x:c r="Q205" s="48" t="str">
        <x:f>IF(OR($A205&lt;&gt;"Yes",$B205=""),"",IF($H205&lt;&gt;"","| search "&amp;$H205,"")&amp;IF($I205&lt;&gt;"",IF($H205&lt;&gt;"",CHAR(10),"")&amp;$I205,"")&amp;IF($J205&lt;&gt;"",IF(OR($H205&lt;&gt;"",$I205&lt;&gt;""),CHAR(10),"")&amp;$J205,""))</x:f>
      </x:c>
      <x:c r="R205" s="48" t="str">
        <x:f>IF(OR($A205&lt;&gt;"Yes",$B205=""),"",IF($K205&lt;&gt;"Yes","Count disabled",IF($H205&lt;&gt;"","| search "&amp;$H205,"")&amp;IF($I205&lt;&gt;"",IF($H205&lt;&gt;"",CHAR(10),"")&amp;$I205,"")&amp;IF(OR($H205&lt;&gt;"",$I205&lt;&gt;""),CHAR(10),"")&amp;"| stats count as count"&amp;IF($L205&lt;&gt;""," by "&amp;$L205,"")&amp;IF($M205&lt;&gt;"",CHAR(10)&amp;"| where count &gt;= "&amp;$M205,"")&amp;CHAR(10)&amp;"| sort - count"))</x:f>
      </x:c>
    </x:row>
  </x:sheetData>
  <x:mergeCells>
    <x:mergeCell ref="A1:R1"/>
    <x:mergeCell ref="A2:R3"/>
  </x:mergeCells>
  <x:conditionalFormatting sqref="A6:A205">
    <x:cfRule type="expression" dxfId="2" priority="1">
      <x:formula>A6="Yes"</x:formula>
    </x:cfRule>
  </x:conditionalFormatting>
  <x:conditionalFormatting sqref="D6:D205">
    <x:cfRule type="expression" dxfId="3" priority="2">
      <x:formula>D6="Helper"</x:formula>
    </x:cfRule>
  </x:conditionalFormatting>
  <x:conditionalFormatting sqref="K6:K205">
    <x:cfRule type="expression" dxfId="4" priority="3">
      <x:formula>K6="Yes"</x:formula>
    </x:cfRule>
  </x:conditionalFormatting>
  <x:dataValidations count="5">
    <x:dataValidation type="list" sqref="A6:A205">
      <x:formula1>"Yes,No"</x:formula1>
    </x:dataValidation>
    <x:dataValidation type="list" sqref="D6:D205">
      <x:formula1>"Panel,Helper,Standalone"</x:formula1>
    </x:dataValidation>
    <x:dataValidation type="list" sqref="F6:F205">
      <x:formula1>'Base Searches'!$B$6:$B$35</x:formula1>
    </x:dataValidation>
    <x:dataValidation type="list" sqref="G6:G205">
      <x:formula1>Searches!$B$6:$B$205</x:formula1>
    </x:dataValidation>
    <x:dataValidation type="list" sqref="K6:K205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18" hidden="0" customWidth="1"/>
    <x:col min="4" max="4" width="54" hidden="0" customWidth="1"/>
    <x:col min="5" max="5" width="72" hidden="0" customWidth="1"/>
    <x:col min="6" max="6" width="24" hidden="0" customWidth="1"/>
    <x:col min="7" max="7" width="22" hidden="0" customWidth="1"/>
    <x:col min="8" max="8" width="64" hidden="0" customWidth="1"/>
    <x:col min="9" max="9" width="24" hidden="0" customWidth="1"/>
    <x:col min="10" max="10" width="24" hidden="0" customWidth="1"/>
    <x:col min="12" max="12" width="24" hidden="0" customWidth="1"/>
    <x:col min="13" max="13" width="62" hidden="0" customWidth="1"/>
    <x:col min="14" max="14" width="18" hidden="0" customWidth="1"/>
    <x:col min="15" max="15" width="22" hidden="0" customWidth="1"/>
    <x:col min="16" max="16" width="24" hidden="0" customWidth="1"/>
    <x:col min="17" max="17" width="42" hidden="0" customWidth="1"/>
  </x:cols>
  <x:sheetData>
    <x:row r="1">
      <x:c r="A1" s="88" t="str">
        <x:v>Dashboard Studio Copy / Paste Pack</x:v>
      </x:c>
      <x:c r="B1" s="88"/>
      <x:c r="C1" s="88"/>
      <x:c r="D1" s="88"/>
      <x:c r="E1" s="88"/>
      <x:c r="F1" s="88"/>
      <x:c r="G1" s="88"/>
      <x:c r="H1" s="88"/>
      <x:c r="I1" s="88"/>
      <x:c r="J1" s="88"/>
      <x:c r="L1" s="88" t="str">
        <x:v>Recommended dynamic input deployment</x:v>
      </x:c>
      <x:c r="M1" s="88"/>
      <x:c r="N1" s="88"/>
      <x:c r="O1" s="88"/>
      <x:c r="P1" s="88"/>
      <x:c r="Q1" s="88"/>
    </x:row>
    <x:row r="2">
      <x:c r="A2" s="71" t="str">
        <x:v>V3 deployment view. Recommended inputs are a dynamic NOC / Main Location dropdown ($noc$) and a cascading managed Site / Location dropdown whose selected value becomes $scope$. Base and chain data sources remain reusable across every NOC/location.</x:v>
      </x:c>
      <x:c r="B2" s="71"/>
      <x:c r="C2" s="71"/>
      <x:c r="D2" s="71"/>
      <x:c r="E2" s="71"/>
      <x:c r="F2" s="71"/>
      <x:c r="G2" s="71"/>
      <x:c r="H2" s="71"/>
      <x:c r="I2" s="71"/>
      <x:c r="J2" s="71"/>
      <x:c r="L2" s="71" t="str">
        <x:v>Use the Scope Lookup Export CSV in Splunk. Once these two input data sources exist, adding NOCs/Locations only requires refreshing the lookup; base/chain searches and dashboard input structure stay unchanged.</x:v>
      </x:c>
      <x:c r="M2" s="71"/>
      <x:c r="N2" s="71"/>
      <x:c r="O2" s="71"/>
      <x:c r="P2" s="71"/>
      <x:c r="Q2" s="71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L3" s="24"/>
      <x:c r="M3" s="24"/>
      <x:c r="N3" s="24"/>
      <x:c r="O3" s="24"/>
      <x:c r="P3" s="24"/>
      <x:c r="Q3" s="24"/>
    </x:row>
    <x:row r="4">
      <x:c r="L4" s="76" t="str">
        <x:v>Component</x:v>
      </x:c>
      <x:c r="M4" s="76" t="str">
        <x:v>Value / SPL</x:v>
      </x:c>
      <x:c r="N4" s="76" t="str">
        <x:v>Token</x:v>
      </x:c>
      <x:c r="O4" s="76" t="str">
        <x:v>Data Source ID</x:v>
      </x:c>
      <x:c r="P4" s="76" t="str">
        <x:v>Setting</x:v>
      </x:c>
      <x:c r="Q4" s="76" t="str">
        <x:v>Notes</x:v>
      </x:c>
    </x:row>
    <x:row r="5">
      <x:c r="A5" s="92" t="str">
        <x:v>Current V3 scope model — dynamic NOC + cascading managed Location only</x:v>
      </x:c>
      <x:c r="B5" s="92"/>
      <x:c r="C5" s="92"/>
      <x:c r="D5" s="92"/>
      <x:c r="F5" s="92" t="str">
        <x:v>Base data sources</x:v>
      </x:c>
      <x:c r="G5" s="92"/>
      <x:c r="H5" s="92"/>
      <x:c r="I5" s="92"/>
      <x:c r="J5" s="92"/>
      <x:c r="L5" s="24" t="str">
        <x:v>Lookup file</x:v>
      </x:c>
      <x:c r="M5" s="24" t="str">
        <x:f>'Dashboard Config'!$B$11</x:f>
        <x:v>network_dashboard_scope.csv</x:v>
      </x:c>
      <x:c r="N5" s="24"/>
      <x:c r="O5" s="24"/>
      <x:c r="P5" s="24"/>
      <x:c r="Q5" s="24" t="str">
        <x:v>Save Scope Lookup Export as this CSV name and upload/replace the Splunk lookup.</x:v>
      </x:c>
    </x:row>
    <x:row r="6">
      <x:c r="A6" s="76" t="str">
        <x:v>Parent dropdown</x:v>
      </x:c>
      <x:c r="B6" s="76" t="str">
        <x:v>NOC / Main Location</x:v>
      </x:c>
      <x:c r="C6" s="76" t="str">
        <x:v>$noc$</x:v>
      </x:c>
      <x:c r="D6" s="76" t="str">
        <x:v>Derived dynamically from lookup rows</x:v>
      </x:c>
      <x:c r="F6" s="76" t="str">
        <x:v>Base Name</x:v>
      </x:c>
      <x:c r="G6" s="76" t="str">
        <x:v>Data Source ID</x:v>
      </x:c>
      <x:c r="H6" s="76" t="str">
        <x:v>Query</x:v>
      </x:c>
      <x:c r="I6" s="76" t="str">
        <x:v>Earliest</x:v>
      </x:c>
      <x:c r="J6" s="76" t="str">
        <x:v>Latest</x:v>
      </x:c>
      <x:c r="L6" s="24" t="str">
        <x:v>NOC dropdown</x:v>
      </x:c>
      <x:c r="M6" s="24" t="str">
        <x:v>Dynamic</x:v>
      </x:c>
      <x:c r="N6" s="24" t="str">
        <x:v>$noc$</x:v>
      </x:c>
      <x:c r="O6" s="24" t="str">
        <x:v>ds_input_noc</x:v>
      </x:c>
      <x:c r="P6" s="24" t="str">
        <x:v>input.dropdown</x:v>
      </x:c>
      <x:c r="Q6" s="24" t="str">
        <x:v>Enabled NOC / Main Location parent selector.</x:v>
      </x:c>
    </x:row>
    <x:row r="7">
      <x:c r="A7" s="48" t="str">
        <x:v>Child dropdown</x:v>
      </x:c>
      <x:c r="B7" s="48" t="str">
        <x:v>Managed Site / Location</x:v>
      </x:c>
      <x:c r="C7" s="48" t="str">
        <x:v>$scope$</x:v>
      </x:c>
      <x:c r="D7" s="48" t="str">
        <x:v>Filtered by selected $noc$</x:v>
      </x:c>
      <x:c r="F7" s="48" t="str">
        <x:f>IF('Base Searches'!$A$6&lt;&gt;"Yes","",'Base Searches'!$C$6)</x:f>
        <x:v>Interface State</x:v>
      </x:c>
      <x:c r="G7" s="48" t="str">
        <x:f>IF('Base Searches'!$A$6&lt;&gt;"Yes","",'Base Searches'!$E$6)</x:f>
        <x:v>ds_base_interface</x:v>
      </x:c>
      <x:c r="H7" s="48" t="str">
        <x:f>IF('Base Searches'!$A$6&lt;&gt;"Yes","",'Base Searches'!$I$6)</x:f>
        <x:v>index="network_eo" sourcetype="cisco:ios"
$scope$
("%LINK-3-UPDOWN" OR "%LINEPROTO-5-UPDOWN" OR "%PM-4-ERR_DISABLE")
| fields _time host source sourcetype _raw</x:v>
      </x:c>
      <x:c r="I7" s="48" t="str">
        <x:f>IF('Base Searches'!$A$6&lt;&gt;"Yes","","$"&amp;'Dashboard Config'!$B$9&amp;".earliest$")</x:f>
        <x:v>$global_time.earliest$</x:v>
      </x:c>
      <x:c r="J7" s="48" t="str">
        <x:f>IF('Base Searches'!$A$6&lt;&gt;"Yes","","$"&amp;'Dashboard Config'!$B$9&amp;".latest$")</x:f>
        <x:v>$global_time.latest$</x:v>
      </x:c>
      <x:c r="L7" s="24" t="str">
        <x:v>NOC input SPL</x:v>
      </x:c>
      <x:c r="M7" s="24" t="str">
        <x:f>'Dashboard Config'!$E$9</x:f>
        <x:v>| inputlookup network_dashboard_scope.csv
| where len(noc_id)&gt;0
| stats first(noc_label) as label by noc_id
| rename noc_id as value
| sort 0 label
| table label value</x:v>
      </x:c>
      <x:c r="N7" s="24" t="str">
        <x:f>"$"&amp;'Dashboard Config'!$B$10&amp;"$"</x:f>
        <x:v>$noc$</x:v>
      </x:c>
      <x:c r="O7" s="24" t="str">
        <x:f>'Dashboard Config'!$E$5</x:f>
        <x:v>ds_input_noc</x:v>
      </x:c>
      <x:c r="P7" s="24"/>
      <x:c r="Q7" s="24" t="str">
        <x:v>Returns label/value pairs for enabled NOCs.</x:v>
      </x:c>
    </x:row>
    <x:row r="8">
      <x:c r="A8" s="48" t="str">
        <x:v>Scope source</x:v>
      </x:c>
      <x:c r="B8" s="48" t="str">
        <x:v>Location Scope Rules</x:v>
      </x:c>
      <x:c r="C8" s="48"/>
      <x:c r="D8" s="48" t="str">
        <x:v>Selected child supplies host/IP/SPL scope</x:v>
      </x:c>
      <x:c r="F8" s="48" t="str">
        <x:f>IF('Base Searches'!$A$7&lt;&gt;"Yes","",'Base Searches'!$C$7)</x:f>
        <x:v>Layer 2 Control</x:v>
      </x:c>
      <x:c r="G8" s="48" t="str">
        <x:f>IF('Base Searches'!$A$7&lt;&gt;"Yes","",'Base Searches'!$E$7)</x:f>
        <x:v>ds_base_l2</x:v>
      </x:c>
      <x:c r="H8" s="48" t="str">
        <x:f>IF('Base Searches'!$A$7&lt;&gt;"Yes","",'Base Searches'!$I$7)</x:f>
        <x:v>index="network_eo" sourcetype="cisco:ios"
$scope$
("%SW_MATM-4-MACFLAP_NOTIF" OR "%SPANTREE-" OR "%UDLD-" OR "%EC-" OR "%LACP-" OR "%PAGP-")
| fields _time host source sourcetype _raw</x:v>
      </x:c>
      <x:c r="I8" s="48" t="str">
        <x:f>IF('Base Searches'!$A$7&lt;&gt;"Yes","","$"&amp;'Dashboard Config'!$B$9&amp;".earliest$")</x:f>
        <x:v>$global_time.earliest$</x:v>
      </x:c>
      <x:c r="J8" s="48" t="str">
        <x:f>IF('Base Searches'!$A$7&lt;&gt;"Yes","","$"&amp;'Dashboard Config'!$B$9&amp;".latest$")</x:f>
        <x:v>$global_time.latest$</x:v>
      </x:c>
      <x:c r="L8" s="24" t="str">
        <x:v>Location dropdown</x:v>
      </x:c>
      <x:c r="M8" s="24" t="str">
        <x:v>Dynamic</x:v>
      </x:c>
      <x:c r="N8" s="24" t="str">
        <x:v>$scope$</x:v>
      </x:c>
      <x:c r="O8" s="24" t="str">
        <x:v>ds_input_location</x:v>
      </x:c>
      <x:c r="P8" s="24" t="str">
        <x:v>input.dropdown</x:v>
      </x:c>
      <x:c r="Q8" s="24" t="str">
        <x:v>One managed Site / Location selected under the chosen NOC.</x:v>
      </x:c>
    </x:row>
    <x:row r="9">
      <x:c r="A9" s="48" t="str">
        <x:v>Scope maintenance</x:v>
      </x:c>
      <x:c r="B9" s="48" t="str">
        <x:v>NOCs → Locations → Scope Rules</x:v>
      </x:c>
      <x:c r="C9" s="48"/>
      <x:c r="D9" s="48" t="str">
        <x:v>One current source of truth</x:v>
      </x:c>
      <x:c r="F9" s="48" t="str">
        <x:f>IF('Base Searches'!$A$8&lt;&gt;"Yes","",'Base Searches'!$C$8)</x:f>
        <x:v>Routing / Layer 3</x:v>
      </x:c>
      <x:c r="G9" s="48" t="str">
        <x:f>IF('Base Searches'!$A$8&lt;&gt;"Yes","",'Base Searches'!$E$8)</x:f>
        <x:v>ds_base_l3</x:v>
      </x:c>
      <x:c r="H9" s="48" t="str">
        <x:f>IF('Base Searches'!$A$8&lt;&gt;"Yes","",'Base Searches'!$I$8)</x:f>
        <x:v>index="network_eo" sourcetype="cisco:ios"
$scope$
("%OSPF-" OR "%BGP-" OR "%HSRP-" OR "%GLBP-" OR "%BFD-" OR "Duplicate address" OR "%IP-4-DUPADDR")
| fields _time host source sourcetype _raw</x:v>
      </x:c>
      <x:c r="I9" s="48" t="str">
        <x:f>IF('Base Searches'!$A$8&lt;&gt;"Yes","","$"&amp;'Dashboard Config'!$B$9&amp;".earliest$")</x:f>
        <x:v>$global_time.earliest$</x:v>
      </x:c>
      <x:c r="J9" s="48" t="str">
        <x:f>IF('Base Searches'!$A$8&lt;&gt;"Yes","","$"&amp;'Dashboard Config'!$B$9&amp;".latest$")</x:f>
        <x:v>$global_time.latest$</x:v>
      </x:c>
      <x:c r="L9" s="24" t="str">
        <x:v>Location input SPL</x:v>
      </x:c>
      <x:c r="M9" s="24" t="str">
        <x:v>| inputlookup network_dashboard_scope.csv
| search noc_id="$noc$" record_type="LOCATION"
| sort 0 scope_sort scope_label
| rename scope_label as label scope_value as value
| table label value location_id</x:v>
      </x:c>
      <x:c r="N9" s="24" t="str">
        <x:v>$scope$</x:v>
      </x:c>
      <x:c r="O9" s="24" t="str">
        <x:v>ds_input_location</x:v>
      </x:c>
      <x:c r="P9" s="24" t="str">
        <x:v>isCascadingInput=true</x:v>
      </x:c>
      <x:c r="Q9" s="24" t="str">
        <x:v>Filters to child Locations owned by the selected NOC.</x:v>
      </x:c>
    </x:row>
    <x:row r="10">
      <x:c r="A10" s="48" t="str">
        <x:v>Lookup rows</x:v>
      </x:c>
      <x:c r="B10" s="48" t="str">
        <x:v>One row per valid managed Location</x:v>
      </x:c>
      <x:c r="C10" s="48"/>
      <x:c r="D10" s="48" t="str">
        <x:v>NOC dropdown is derived from those rows</x:v>
      </x:c>
      <x:c r="F10" s="48" t="str">
        <x:f>IF('Base Searches'!$A$9&lt;&gt;"Yes","",'Base Searches'!$C$9)</x:f>
        <x:v>Physical / Hardware</x:v>
      </x:c>
      <x:c r="G10" s="48" t="str">
        <x:f>IF('Base Searches'!$A$9&lt;&gt;"Yes","",'Base Searches'!$E$9)</x:f>
        <x:v>ds_base_physical</x:v>
      </x:c>
      <x:c r="H10" s="48" t="str">
        <x:f>IF('Base Searches'!$A$9&lt;&gt;"Yes","",'Base Searches'!$I$9)</x:f>
        <x:v>index="network_eo" sourcetype="cisco:ios"
$scope$
("%SFF8472-" OR "%PLATFORM_ENV-" OR "%ENVIRONMENT-" OR "%FAN-" OR "%POWER-" OR "%STACKMGR-" OR "%STACKWISE-")
| fields _time host source sourcetype _raw</x:v>
      </x:c>
      <x:c r="I10" s="48" t="str">
        <x:f>IF('Base Searches'!$A$9&lt;&gt;"Yes","","$"&amp;'Dashboard Config'!$B$9&amp;".earliest$")</x:f>
        <x:v>$global_time.earliest$</x:v>
      </x:c>
      <x:c r="J10" s="48" t="str">
        <x:f>IF('Base Searches'!$A$9&lt;&gt;"Yes","","$"&amp;'Dashboard Config'!$B$9&amp;".latest$")</x:f>
        <x:v>$global_time.latest$</x:v>
      </x:c>
      <x:c r="L10" s="24" t="str">
        <x:v>Scope used by bases</x:v>
      </x:c>
      <x:c r="M10" s="24" t="str">
        <x:f>"$"&amp;'Dashboard Config'!$B$8&amp;"$"</x:f>
        <x:v>$scope$</x:v>
      </x:c>
      <x:c r="N10" s="24" t="str">
        <x:f>"$"&amp;'Dashboard Config'!$B$8&amp;"$"</x:f>
        <x:v>$scope$</x:v>
      </x:c>
      <x:c r="O10" s="24"/>
      <x:c r="P10" s="24"/>
      <x:c r="Q10" s="24" t="str">
        <x:v>The Location dropdown value is a complete SPL scope fragment.</x:v>
      </x:c>
    </x:row>
    <x:row r="11">
      <x:c r="A11" s="48"/>
      <x:c r="B11" s="48"/>
      <x:c r="C11" s="48"/>
      <x:c r="D11" s="48"/>
      <x:c r="F11" s="48" t="str">
        <x:f>IF('Base Searches'!$A$10&lt;&gt;"Yes","",'Base Searches'!$C$10)</x:f>
        <x:v>Access / Authentication</x:v>
      </x:c>
      <x:c r="G11" s="48" t="str">
        <x:f>IF('Base Searches'!$A$10&lt;&gt;"Yes","",'Base Searches'!$E$10)</x:f>
        <x:v>ds_base_access</x:v>
      </x:c>
      <x:c r="H11" s="48" t="str">
        <x:f>IF('Base Searches'!$A$10&lt;&gt;"Yes","",'Base Searches'!$I$10)</x:f>
        <x:v>index="network_eo" sourcetype="cisco:ios"
$scope$
("%DOT1X-" OR "%MAB-" OR "%SESSION_MGR-" OR "%AUTHMGR-" OR "%ILPOWER-")
| fields _time host source sourcetype _raw</x:v>
      </x:c>
      <x:c r="I11" s="48" t="str">
        <x:f>IF('Base Searches'!$A$10&lt;&gt;"Yes","","$"&amp;'Dashboard Config'!$B$9&amp;".earliest$")</x:f>
        <x:v>$global_time.earliest$</x:v>
      </x:c>
      <x:c r="J11" s="48" t="str">
        <x:f>IF('Base Searches'!$A$10&lt;&gt;"Yes","","$"&amp;'Dashboard Config'!$B$9&amp;".latest$")</x:f>
        <x:v>$global_time.latest$</x:v>
      </x:c>
      <x:c r="L11" s="24" t="str">
        <x:v>Dashboard time</x:v>
      </x:c>
      <x:c r="M11" s="24" t="str">
        <x:f>"$"&amp;'Dashboard Config'!$B$9&amp;"$"</x:f>
        <x:v>$global_time$</x:v>
      </x:c>
      <x:c r="N11" s="24"/>
      <x:c r="O11" s="24"/>
      <x:c r="P11" s="24" t="str">
        <x:v>global input</x:v>
      </x:c>
      <x:c r="Q11" s="24" t="str">
        <x:v>Bind each ds.search earliest/latest to the global time token.</x:v>
      </x:c>
    </x:row>
    <x:row r="12">
      <x:c r="A12" s="48"/>
      <x:c r="B12" s="48"/>
      <x:c r="C12" s="48"/>
      <x:c r="D12" s="48"/>
      <x:c r="F12" s="48" t="str">
        <x:f>IF('Base Searches'!$A$11&lt;&gt;"Yes","",'Base Searches'!$C$11)</x:f>
        <x:v>Operations</x:v>
      </x:c>
      <x:c r="G12" s="48" t="str">
        <x:f>IF('Base Searches'!$A$11&lt;&gt;"Yes","",'Base Searches'!$E$11)</x:f>
        <x:v>ds_base_operations</x:v>
      </x:c>
      <x:c r="H12" s="48" t="str">
        <x:f>IF('Base Searches'!$A$11&lt;&gt;"Yes","",'Base Searches'!$I$11)</x:f>
        <x:v>index="network_eo" sourcetype="cisco:ios"
$scope$
("%SYS-5-CONFIG_I" OR "%SYS-5-RELOAD" OR "%SYS-5-RESTART" OR "%LOGIN-" OR "%SSH-" OR "%AAA-")
| fields _time host source sourcetype _raw</x:v>
      </x:c>
      <x:c r="I12" s="48" t="str">
        <x:f>IF('Base Searches'!$A$11&lt;&gt;"Yes","","$"&amp;'Dashboard Config'!$B$9&amp;".earliest$")</x:f>
        <x:v>$global_time.earliest$</x:v>
      </x:c>
      <x:c r="J12" s="48" t="str">
        <x:f>IF('Base Searches'!$A$11&lt;&gt;"Yes","","$"&amp;'Dashboard Config'!$B$9&amp;".latest$")</x:f>
        <x:v>$global_time.latest$</x:v>
      </x:c>
      <x:c r="L12" s="24" t="str">
        <x:v>Lookup sheet</x:v>
      </x:c>
      <x:c r="M12" s="24" t="str">
        <x:v>Scope Lookup Export</x:v>
      </x:c>
      <x:c r="N12" s="24"/>
      <x:c r="O12" s="24"/>
      <x:c r="P12" s="24"/>
      <x:c r="Q12" s="24" t="str">
        <x:v>CSV-ready output generated from the NOCs/Locations/Scope Rules tables.</x:v>
      </x:c>
    </x:row>
    <x:row r="13">
      <x:c r="A13" s="48"/>
      <x:c r="B13" s="48"/>
      <x:c r="C13" s="48"/>
      <x:c r="D13" s="48"/>
      <x:c r="F13" s="48" t="str">
        <x:f>IF('Base Searches'!$A$12&lt;&gt;"Yes","",'Base Searches'!$C$12)</x:f>
      </x:c>
      <x:c r="G13" s="48" t="str">
        <x:f>IF('Base Searches'!$A$12&lt;&gt;"Yes","",'Base Searches'!$E$12)</x:f>
      </x:c>
      <x:c r="H13" s="48" t="str">
        <x:f>IF('Base Searches'!$A$12&lt;&gt;"Yes","",'Base Searches'!$I$12)</x:f>
      </x:c>
      <x:c r="I13" s="48" t="str">
        <x:f>IF('Base Searches'!$A$12&lt;&gt;"Yes","","$"&amp;'Dashboard Config'!$B$9&amp;".earliest$")</x:f>
      </x:c>
      <x:c r="J13" s="48" t="str">
        <x:f>IF('Base Searches'!$A$12&lt;&gt;"Yes","","$"&amp;'Dashboard Config'!$B$9&amp;".latest$")</x:f>
      </x:c>
      <x:c r="L13" s="24" t="str">
        <x:v>Add new NOC</x:v>
      </x:c>
      <x:c r="M13" s="24" t="str">
        <x:v>Add row to NOCs + Locations + Scope Rules; refresh lookup</x:v>
      </x:c>
      <x:c r="N13" s="24"/>
      <x:c r="O13" s="24"/>
      <x:c r="P13" s="24"/>
      <x:c r="Q13" s="24" t="str">
        <x:v>No search duplication.</x:v>
      </x:c>
    </x:row>
    <x:row r="14">
      <x:c r="A14" s="48"/>
      <x:c r="B14" s="48"/>
      <x:c r="C14" s="48"/>
      <x:c r="D14" s="48"/>
      <x:c r="F14" s="48" t="str">
        <x:f>IF('Base Searches'!$A$13&lt;&gt;"Yes","",'Base Searches'!$C$13)</x:f>
      </x:c>
      <x:c r="G14" s="48" t="str">
        <x:f>IF('Base Searches'!$A$13&lt;&gt;"Yes","",'Base Searches'!$E$13)</x:f>
      </x:c>
      <x:c r="H14" s="48" t="str">
        <x:f>IF('Base Searches'!$A$13&lt;&gt;"Yes","",'Base Searches'!$I$13)</x:f>
      </x:c>
      <x:c r="I14" s="48" t="str">
        <x:f>IF('Base Searches'!$A$13&lt;&gt;"Yes","","$"&amp;'Dashboard Config'!$B$9&amp;".earliest$")</x:f>
      </x:c>
      <x:c r="J14" s="48" t="str">
        <x:f>IF('Base Searches'!$A$13&lt;&gt;"Yes","","$"&amp;'Dashboard Config'!$B$9&amp;".latest$")</x:f>
      </x:c>
      <x:c r="L14" s="24" t="str">
        <x:v>Add new Location</x:v>
      </x:c>
      <x:c r="M14" s="24" t="str">
        <x:v>Add one Locations row + its Scope Rules; refresh lookup</x:v>
      </x:c>
      <x:c r="N14" s="24"/>
      <x:c r="O14" s="24"/>
      <x:c r="P14" s="24"/>
      <x:c r="Q14" s="24" t="str">
        <x:v>Works whether the NOC has 4, 8, or more locations.</x:v>
      </x:c>
    </x:row>
    <x:row r="15">
      <x:c r="A15" s="48"/>
      <x:c r="B15" s="48"/>
      <x:c r="C15" s="48"/>
      <x:c r="D15" s="48"/>
      <x:c r="F15" s="48" t="str">
        <x:f>IF('Base Searches'!$A$14&lt;&gt;"Yes","",'Base Searches'!$C$14)</x:f>
      </x:c>
      <x:c r="G15" s="48" t="str">
        <x:f>IF('Base Searches'!$A$14&lt;&gt;"Yes","",'Base Searches'!$E$14)</x:f>
      </x:c>
      <x:c r="H15" s="48" t="str">
        <x:f>IF('Base Searches'!$A$14&lt;&gt;"Yes","",'Base Searches'!$I$14)</x:f>
      </x:c>
      <x:c r="I15" s="48" t="str">
        <x:f>IF('Base Searches'!$A$14&lt;&gt;"Yes","","$"&amp;'Dashboard Config'!$B$9&amp;".earliest$")</x:f>
      </x:c>
      <x:c r="J15" s="48" t="str">
        <x:f>IF('Base Searches'!$A$14&lt;&gt;"Yes","","$"&amp;'Dashboard Config'!$B$9&amp;".latest$")</x:f>
      </x:c>
      <x:c r="L15" s="24"/>
      <x:c r="M15" s="24"/>
      <x:c r="N15" s="24"/>
      <x:c r="O15" s="24"/>
      <x:c r="P15" s="24"/>
      <x:c r="Q15" s="24"/>
    </x:row>
    <x:row r="16">
      <x:c r="A16" s="48" t="str">
        <x:f>IF(NOCs!$A$14&lt;&gt;"Yes","",NOCs!$C$14)</x:f>
      </x:c>
      <x:c r="B16" s="48" t="str">
        <x:f>IF(NOCs!$A$14&lt;&gt;"Yes","",NOCs!$B$14)</x:f>
      </x:c>
      <x:c r="C16" s="48" t="str">
        <x:f>IF(NOCs!$A$14&lt;&gt;"Yes","",NOCs!$B$14)</x:f>
      </x:c>
      <x:c r="D16" s="48" t="str">
        <x:f>IF(NOCs!$A$14&lt;&gt;"Yes","",NOCs!$F$14)</x:f>
      </x:c>
      <x:c r="F16" s="48" t="str">
        <x:f>IF('Base Searches'!$A$15&lt;&gt;"Yes","",'Base Searches'!$C$15)</x:f>
      </x:c>
      <x:c r="G16" s="48" t="str">
        <x:f>IF('Base Searches'!$A$15&lt;&gt;"Yes","",'Base Searches'!$E$15)</x:f>
      </x:c>
      <x:c r="H16" s="48" t="str">
        <x:f>IF('Base Searches'!$A$15&lt;&gt;"Yes","",'Base Searches'!$I$15)</x:f>
      </x:c>
      <x:c r="I16" s="48" t="str">
        <x:f>IF('Base Searches'!$A$15&lt;&gt;"Yes","","$"&amp;'Dashboard Config'!$B$9&amp;".earliest$")</x:f>
      </x:c>
      <x:c r="J16" s="48" t="str">
        <x:f>IF('Base Searches'!$A$15&lt;&gt;"Yes","","$"&amp;'Dashboard Config'!$B$9&amp;".latest$")</x:f>
      </x:c>
      <x:c r="L16" s="24"/>
      <x:c r="M16" s="24"/>
      <x:c r="N16" s="24"/>
      <x:c r="O16" s="24"/>
      <x:c r="P16" s="24"/>
      <x:c r="Q16" s="24"/>
    </x:row>
    <x:row r="17">
      <x:c r="A17" s="48" t="str">
        <x:f>IF(NOCs!$A$15&lt;&gt;"Yes","",NOCs!$C$15)</x:f>
      </x:c>
      <x:c r="B17" s="48" t="str">
        <x:f>IF(NOCs!$A$15&lt;&gt;"Yes","",NOCs!$B$15)</x:f>
      </x:c>
      <x:c r="C17" s="48" t="str">
        <x:f>IF(NOCs!$A$15&lt;&gt;"Yes","",NOCs!$B$15)</x:f>
      </x:c>
      <x:c r="D17" s="48" t="str">
        <x:f>IF(NOCs!$A$15&lt;&gt;"Yes","",NOCs!$F$15)</x:f>
      </x:c>
      <x:c r="F17" s="48" t="str">
        <x:f>IF('Base Searches'!$A$16&lt;&gt;"Yes","",'Base Searches'!$C$16)</x:f>
      </x:c>
      <x:c r="G17" s="48" t="str">
        <x:f>IF('Base Searches'!$A$16&lt;&gt;"Yes","",'Base Searches'!$E$16)</x:f>
      </x:c>
      <x:c r="H17" s="48" t="str">
        <x:f>IF('Base Searches'!$A$16&lt;&gt;"Yes","",'Base Searches'!$I$16)</x:f>
      </x:c>
      <x:c r="I17" s="48" t="str">
        <x:f>IF('Base Searches'!$A$16&lt;&gt;"Yes","","$"&amp;'Dashboard Config'!$B$9&amp;".earliest$")</x:f>
      </x:c>
      <x:c r="J17" s="48" t="str">
        <x:f>IF('Base Searches'!$A$16&lt;&gt;"Yes","","$"&amp;'Dashboard Config'!$B$9&amp;".latest$")</x:f>
      </x:c>
      <x:c r="L17" s="24"/>
      <x:c r="M17" s="24"/>
      <x:c r="N17" s="24"/>
      <x:c r="O17" s="24"/>
      <x:c r="P17" s="24"/>
      <x:c r="Q17" s="24"/>
    </x:row>
    <x:row r="18">
      <x:c r="A18" s="48" t="str">
        <x:f>IF(NOCs!$A$16&lt;&gt;"Yes","",NOCs!$C$16)</x:f>
      </x:c>
      <x:c r="B18" s="48" t="str">
        <x:f>IF(NOCs!$A$16&lt;&gt;"Yes","",NOCs!$B$16)</x:f>
      </x:c>
      <x:c r="C18" s="48" t="str">
        <x:f>IF(NOCs!$A$16&lt;&gt;"Yes","",NOCs!$B$16)</x:f>
      </x:c>
      <x:c r="D18" s="48" t="str">
        <x:f>IF(NOCs!$A$16&lt;&gt;"Yes","",NOCs!$F$16)</x:f>
      </x:c>
      <x:c r="F18" s="48" t="str">
        <x:f>IF('Base Searches'!$A$17&lt;&gt;"Yes","",'Base Searches'!$C$17)</x:f>
      </x:c>
      <x:c r="G18" s="48" t="str">
        <x:f>IF('Base Searches'!$A$17&lt;&gt;"Yes","",'Base Searches'!$E$17)</x:f>
      </x:c>
      <x:c r="H18" s="48" t="str">
        <x:f>IF('Base Searches'!$A$17&lt;&gt;"Yes","",'Base Searches'!$I$17)</x:f>
      </x:c>
      <x:c r="I18" s="48" t="str">
        <x:f>IF('Base Searches'!$A$17&lt;&gt;"Yes","","$"&amp;'Dashboard Config'!$B$9&amp;".earliest$")</x:f>
      </x:c>
      <x:c r="J18" s="48" t="str">
        <x:f>IF('Base Searches'!$A$17&lt;&gt;"Yes","","$"&amp;'Dashboard Config'!$B$9&amp;".latest$")</x:f>
      </x:c>
      <x:c r="L18" s="24"/>
      <x:c r="M18" s="24"/>
      <x:c r="N18" s="24"/>
      <x:c r="O18" s="24"/>
      <x:c r="P18" s="24"/>
      <x:c r="Q18" s="24"/>
    </x:row>
    <x:row r="19">
      <x:c r="A19" s="48" t="str">
        <x:f>IF(NOCs!$A$17&lt;&gt;"Yes","",NOCs!$C$17)</x:f>
      </x:c>
      <x:c r="B19" s="48" t="str">
        <x:f>IF(NOCs!$A$17&lt;&gt;"Yes","",NOCs!$B$17)</x:f>
      </x:c>
      <x:c r="C19" s="48" t="str">
        <x:f>IF(NOCs!$A$17&lt;&gt;"Yes","",NOCs!$B$17)</x:f>
      </x:c>
      <x:c r="D19" s="48" t="str">
        <x:f>IF(NOCs!$A$17&lt;&gt;"Yes","",NOCs!$F$17)</x:f>
      </x:c>
      <x:c r="F19" s="48" t="str">
        <x:f>IF('Base Searches'!$A$18&lt;&gt;"Yes","",'Base Searches'!$C$18)</x:f>
      </x:c>
      <x:c r="G19" s="48" t="str">
        <x:f>IF('Base Searches'!$A$18&lt;&gt;"Yes","",'Base Searches'!$E$18)</x:f>
      </x:c>
      <x:c r="H19" s="48" t="str">
        <x:f>IF('Base Searches'!$A$18&lt;&gt;"Yes","",'Base Searches'!$I$18)</x:f>
      </x:c>
      <x:c r="I19" s="48" t="str">
        <x:f>IF('Base Searches'!$A$18&lt;&gt;"Yes","","$"&amp;'Dashboard Config'!$B$9&amp;".earliest$")</x:f>
      </x:c>
      <x:c r="J19" s="48" t="str">
        <x:f>IF('Base Searches'!$A$18&lt;&gt;"Yes","","$"&amp;'Dashboard Config'!$B$9&amp;".latest$")</x:f>
      </x:c>
      <x:c r="L19" s="24"/>
      <x:c r="M19" s="24"/>
      <x:c r="N19" s="24"/>
      <x:c r="O19" s="24"/>
      <x:c r="P19" s="24"/>
      <x:c r="Q19" s="24"/>
    </x:row>
    <x:row r="20">
      <x:c r="A20" s="48" t="str">
        <x:f>IF(NOCs!$A$18&lt;&gt;"Yes","",NOCs!$C$18)</x:f>
      </x:c>
      <x:c r="B20" s="48" t="str">
        <x:f>IF(NOCs!$A$18&lt;&gt;"Yes","",NOCs!$B$18)</x:f>
      </x:c>
      <x:c r="C20" s="48" t="str">
        <x:f>IF(NOCs!$A$18&lt;&gt;"Yes","",NOCs!$B$18)</x:f>
      </x:c>
      <x:c r="D20" s="48" t="str">
        <x:f>IF(NOCs!$A$18&lt;&gt;"Yes","",NOCs!$F$18)</x:f>
      </x:c>
      <x:c r="F20" s="48" t="str">
        <x:f>IF('Base Searches'!$A$19&lt;&gt;"Yes","",'Base Searches'!$C$19)</x:f>
      </x:c>
      <x:c r="G20" s="48" t="str">
        <x:f>IF('Base Searches'!$A$19&lt;&gt;"Yes","",'Base Searches'!$E$19)</x:f>
      </x:c>
      <x:c r="H20" s="48" t="str">
        <x:f>IF('Base Searches'!$A$19&lt;&gt;"Yes","",'Base Searches'!$I$19)</x:f>
      </x:c>
      <x:c r="I20" s="48" t="str">
        <x:f>IF('Base Searches'!$A$19&lt;&gt;"Yes","","$"&amp;'Dashboard Config'!$B$9&amp;".earliest$")</x:f>
      </x:c>
      <x:c r="J20" s="48" t="str">
        <x:f>IF('Base Searches'!$A$19&lt;&gt;"Yes","","$"&amp;'Dashboard Config'!$B$9&amp;".latest$")</x:f>
      </x:c>
      <x:c r="L20" s="24"/>
      <x:c r="M20" s="24"/>
      <x:c r="N20" s="24"/>
      <x:c r="O20" s="24"/>
      <x:c r="P20" s="24"/>
      <x:c r="Q20" s="24"/>
    </x:row>
    <x:row r="21">
      <x:c r="A21" s="48" t="str">
        <x:f>IF(NOCs!$A$19&lt;&gt;"Yes","",NOCs!$C$19)</x:f>
      </x:c>
      <x:c r="B21" s="48" t="str">
        <x:f>IF(NOCs!$A$19&lt;&gt;"Yes","",NOCs!$B$19)</x:f>
      </x:c>
      <x:c r="C21" s="48" t="str">
        <x:f>IF(NOCs!$A$19&lt;&gt;"Yes","",NOCs!$B$19)</x:f>
      </x:c>
      <x:c r="D21" s="48" t="str">
        <x:f>IF(NOCs!$A$19&lt;&gt;"Yes","",NOCs!$F$19)</x:f>
      </x:c>
      <x:c r="F21" s="48" t="str">
        <x:f>IF('Base Searches'!$A$20&lt;&gt;"Yes","",'Base Searches'!$C$20)</x:f>
      </x:c>
      <x:c r="G21" s="48" t="str">
        <x:f>IF('Base Searches'!$A$20&lt;&gt;"Yes","",'Base Searches'!$E$20)</x:f>
      </x:c>
      <x:c r="H21" s="48" t="str">
        <x:f>IF('Base Searches'!$A$20&lt;&gt;"Yes","",'Base Searches'!$I$20)</x:f>
      </x:c>
      <x:c r="I21" s="48" t="str">
        <x:f>IF('Base Searches'!$A$20&lt;&gt;"Yes","","$"&amp;'Dashboard Config'!$B$9&amp;".earliest$")</x:f>
      </x:c>
      <x:c r="J21" s="48" t="str">
        <x:f>IF('Base Searches'!$A$20&lt;&gt;"Yes","","$"&amp;'Dashboard Config'!$B$9&amp;".latest$")</x:f>
      </x:c>
      <x:c r="L21" s="24"/>
      <x:c r="M21" s="24"/>
      <x:c r="N21" s="24"/>
      <x:c r="O21" s="24"/>
      <x:c r="P21" s="24"/>
      <x:c r="Q21" s="24"/>
    </x:row>
    <x:row r="22">
      <x:c r="A22" s="48" t="str">
        <x:f>IF(NOCs!$A$20&lt;&gt;"Yes","",NOCs!$C$20)</x:f>
      </x:c>
      <x:c r="B22" s="48" t="str">
        <x:f>IF(NOCs!$A$20&lt;&gt;"Yes","",NOCs!$B$20)</x:f>
      </x:c>
      <x:c r="C22" s="48" t="str">
        <x:f>IF(NOCs!$A$20&lt;&gt;"Yes","",NOCs!$B$20)</x:f>
      </x:c>
      <x:c r="D22" s="48" t="str">
        <x:f>IF(NOCs!$A$20&lt;&gt;"Yes","",NOCs!$F$20)</x:f>
      </x:c>
      <x:c r="F22" s="48" t="str">
        <x:f>IF('Base Searches'!$A$21&lt;&gt;"Yes","",'Base Searches'!$C$21)</x:f>
      </x:c>
      <x:c r="G22" s="48" t="str">
        <x:f>IF('Base Searches'!$A$21&lt;&gt;"Yes","",'Base Searches'!$E$21)</x:f>
      </x:c>
      <x:c r="H22" s="48" t="str">
        <x:f>IF('Base Searches'!$A$21&lt;&gt;"Yes","",'Base Searches'!$I$21)</x:f>
      </x:c>
      <x:c r="I22" s="48" t="str">
        <x:f>IF('Base Searches'!$A$21&lt;&gt;"Yes","","$"&amp;'Dashboard Config'!$B$9&amp;".earliest$")</x:f>
      </x:c>
      <x:c r="J22" s="48" t="str">
        <x:f>IF('Base Searches'!$A$21&lt;&gt;"Yes","","$"&amp;'Dashboard Config'!$B$9&amp;".latest$")</x:f>
      </x:c>
      <x:c r="L22" s="24"/>
      <x:c r="M22" s="24"/>
      <x:c r="N22" s="24"/>
      <x:c r="O22" s="24"/>
      <x:c r="P22" s="24"/>
      <x:c r="Q22" s="24"/>
    </x:row>
    <x:row r="23">
      <x:c r="A23" s="48" t="str">
        <x:f>IF(NOCs!$A$21&lt;&gt;"Yes","",NOCs!$C$21)</x:f>
      </x:c>
      <x:c r="B23" s="48" t="str">
        <x:f>IF(NOCs!$A$21&lt;&gt;"Yes","",NOCs!$B$21)</x:f>
      </x:c>
      <x:c r="C23" s="48" t="str">
        <x:f>IF(NOCs!$A$21&lt;&gt;"Yes","",NOCs!$B$21)</x:f>
      </x:c>
      <x:c r="D23" s="48" t="str">
        <x:f>IF(NOCs!$A$21&lt;&gt;"Yes","",NOCs!$F$21)</x:f>
      </x:c>
      <x:c r="F23" s="48" t="str">
        <x:f>IF('Base Searches'!$A$22&lt;&gt;"Yes","",'Base Searches'!$C$22)</x:f>
      </x:c>
      <x:c r="G23" s="48" t="str">
        <x:f>IF('Base Searches'!$A$22&lt;&gt;"Yes","",'Base Searches'!$E$22)</x:f>
      </x:c>
      <x:c r="H23" s="48" t="str">
        <x:f>IF('Base Searches'!$A$22&lt;&gt;"Yes","",'Base Searches'!$I$22)</x:f>
      </x:c>
      <x:c r="I23" s="48" t="str">
        <x:f>IF('Base Searches'!$A$22&lt;&gt;"Yes","","$"&amp;'Dashboard Config'!$B$9&amp;".earliest$")</x:f>
      </x:c>
      <x:c r="J23" s="48" t="str">
        <x:f>IF('Base Searches'!$A$22&lt;&gt;"Yes","","$"&amp;'Dashboard Config'!$B$9&amp;".latest$")</x:f>
      </x:c>
      <x:c r="L23" s="24"/>
      <x:c r="M23" s="24"/>
      <x:c r="N23" s="24"/>
      <x:c r="O23" s="24"/>
      <x:c r="P23" s="24"/>
      <x:c r="Q23" s="24"/>
    </x:row>
    <x:row r="24">
      <x:c r="A24" s="48" t="str">
        <x:f>IF(NOCs!$A$22&lt;&gt;"Yes","",NOCs!$C$22)</x:f>
      </x:c>
      <x:c r="B24" s="48" t="str">
        <x:f>IF(NOCs!$A$22&lt;&gt;"Yes","",NOCs!$B$22)</x:f>
      </x:c>
      <x:c r="C24" s="48" t="str">
        <x:f>IF(NOCs!$A$22&lt;&gt;"Yes","",NOCs!$B$22)</x:f>
      </x:c>
      <x:c r="D24" s="48" t="str">
        <x:f>IF(NOCs!$A$22&lt;&gt;"Yes","",NOCs!$F$22)</x:f>
      </x:c>
      <x:c r="F24" s="48" t="str">
        <x:f>IF('Base Searches'!$A$23&lt;&gt;"Yes","",'Base Searches'!$C$23)</x:f>
      </x:c>
      <x:c r="G24" s="48" t="str">
        <x:f>IF('Base Searches'!$A$23&lt;&gt;"Yes","",'Base Searches'!$E$23)</x:f>
      </x:c>
      <x:c r="H24" s="48" t="str">
        <x:f>IF('Base Searches'!$A$23&lt;&gt;"Yes","",'Base Searches'!$I$23)</x:f>
      </x:c>
      <x:c r="I24" s="48" t="str">
        <x:f>IF('Base Searches'!$A$23&lt;&gt;"Yes","","$"&amp;'Dashboard Config'!$B$9&amp;".earliest$")</x:f>
      </x:c>
      <x:c r="J24" s="48" t="str">
        <x:f>IF('Base Searches'!$A$23&lt;&gt;"Yes","","$"&amp;'Dashboard Config'!$B$9&amp;".latest$")</x:f>
      </x:c>
      <x:c r="L24" s="24"/>
      <x:c r="M24" s="24"/>
      <x:c r="N24" s="24"/>
      <x:c r="O24" s="24"/>
      <x:c r="P24" s="24"/>
      <x:c r="Q24" s="24"/>
    </x:row>
    <x:row r="25">
      <x:c r="A25" s="48" t="str">
        <x:f>IF(NOCs!$A$23&lt;&gt;"Yes","",NOCs!$C$23)</x:f>
      </x:c>
      <x:c r="B25" s="48" t="str">
        <x:f>IF(NOCs!$A$23&lt;&gt;"Yes","",NOCs!$B$23)</x:f>
      </x:c>
      <x:c r="C25" s="48" t="str">
        <x:f>IF(NOCs!$A$23&lt;&gt;"Yes","",NOCs!$B$23)</x:f>
      </x:c>
      <x:c r="D25" s="48" t="str">
        <x:f>IF(NOCs!$A$23&lt;&gt;"Yes","",NOCs!$F$23)</x:f>
      </x:c>
      <x:c r="F25" s="48" t="str">
        <x:f>IF('Base Searches'!$A$24&lt;&gt;"Yes","",'Base Searches'!$C$24)</x:f>
      </x:c>
      <x:c r="G25" s="48" t="str">
        <x:f>IF('Base Searches'!$A$24&lt;&gt;"Yes","",'Base Searches'!$E$24)</x:f>
      </x:c>
      <x:c r="H25" s="48" t="str">
        <x:f>IF('Base Searches'!$A$24&lt;&gt;"Yes","",'Base Searches'!$I$24)</x:f>
      </x:c>
      <x:c r="I25" s="48" t="str">
        <x:f>IF('Base Searches'!$A$24&lt;&gt;"Yes","","$"&amp;'Dashboard Config'!$B$9&amp;".earliest$")</x:f>
      </x:c>
      <x:c r="J25" s="48" t="str">
        <x:f>IF('Base Searches'!$A$24&lt;&gt;"Yes","","$"&amp;'Dashboard Config'!$B$9&amp;".latest$")</x:f>
      </x:c>
    </x:row>
    <x:row r="26">
      <x:c r="A26" s="48" t="str">
        <x:f>IF(NOCs!$A$24&lt;&gt;"Yes","",NOCs!$C$24)</x:f>
      </x:c>
      <x:c r="B26" s="48" t="str">
        <x:f>IF(NOCs!$A$24&lt;&gt;"Yes","",NOCs!$B$24)</x:f>
      </x:c>
      <x:c r="C26" s="48" t="str">
        <x:f>IF(NOCs!$A$24&lt;&gt;"Yes","",NOCs!$B$24)</x:f>
      </x:c>
      <x:c r="D26" s="48" t="str">
        <x:f>IF(NOCs!$A$24&lt;&gt;"Yes","",NOCs!$F$24)</x:f>
      </x:c>
      <x:c r="F26" s="48" t="str">
        <x:f>IF('Base Searches'!$A$25&lt;&gt;"Yes","",'Base Searches'!$C$25)</x:f>
      </x:c>
      <x:c r="G26" s="48" t="str">
        <x:f>IF('Base Searches'!$A$25&lt;&gt;"Yes","",'Base Searches'!$E$25)</x:f>
      </x:c>
      <x:c r="H26" s="48" t="str">
        <x:f>IF('Base Searches'!$A$25&lt;&gt;"Yes","",'Base Searches'!$I$25)</x:f>
      </x:c>
      <x:c r="I26" s="48" t="str">
        <x:f>IF('Base Searches'!$A$25&lt;&gt;"Yes","","$"&amp;'Dashboard Config'!$B$9&amp;".earliest$")</x:f>
      </x:c>
      <x:c r="J26" s="48" t="str">
        <x:f>IF('Base Searches'!$A$25&lt;&gt;"Yes","","$"&amp;'Dashboard Config'!$B$9&amp;".latest$")</x:f>
      </x:c>
    </x:row>
    <x:row r="27">
      <x:c r="A27" s="48" t="str">
        <x:f>IF(NOCs!$A$25&lt;&gt;"Yes","",NOCs!$C$25)</x:f>
      </x:c>
      <x:c r="B27" s="48" t="str">
        <x:f>IF(NOCs!$A$25&lt;&gt;"Yes","",NOCs!$B$25)</x:f>
      </x:c>
      <x:c r="C27" s="48" t="str">
        <x:f>IF(NOCs!$A$25&lt;&gt;"Yes","",NOCs!$B$25)</x:f>
      </x:c>
      <x:c r="D27" s="48" t="str">
        <x:f>IF(NOCs!$A$25&lt;&gt;"Yes","",NOCs!$F$25)</x:f>
      </x:c>
      <x:c r="F27" s="48" t="str">
        <x:f>IF('Base Searches'!$A$26&lt;&gt;"Yes","",'Base Searches'!$C$26)</x:f>
      </x:c>
      <x:c r="G27" s="48" t="str">
        <x:f>IF('Base Searches'!$A$26&lt;&gt;"Yes","",'Base Searches'!$E$26)</x:f>
      </x:c>
      <x:c r="H27" s="48" t="str">
        <x:f>IF('Base Searches'!$A$26&lt;&gt;"Yes","",'Base Searches'!$I$26)</x:f>
      </x:c>
      <x:c r="I27" s="48" t="str">
        <x:f>IF('Base Searches'!$A$26&lt;&gt;"Yes","","$"&amp;'Dashboard Config'!$B$9&amp;".earliest$")</x:f>
      </x:c>
      <x:c r="J27" s="48" t="str">
        <x:f>IF('Base Searches'!$A$26&lt;&gt;"Yes","","$"&amp;'Dashboard Config'!$B$9&amp;".latest$")</x:f>
      </x:c>
    </x:row>
    <x:row r="28">
      <x:c r="A28" s="48" t="str">
        <x:f>IF(NOCs!$A$26&lt;&gt;"Yes","",NOCs!$C$26)</x:f>
      </x:c>
      <x:c r="B28" s="48" t="str">
        <x:f>IF(NOCs!$A$26&lt;&gt;"Yes","",NOCs!$B$26)</x:f>
      </x:c>
      <x:c r="C28" s="48" t="str">
        <x:f>IF(NOCs!$A$26&lt;&gt;"Yes","",NOCs!$B$26)</x:f>
      </x:c>
      <x:c r="D28" s="48" t="str">
        <x:f>IF(NOCs!$A$26&lt;&gt;"Yes","",NOCs!$F$26)</x:f>
      </x:c>
      <x:c r="F28" s="48" t="str">
        <x:f>IF('Base Searches'!$A$27&lt;&gt;"Yes","",'Base Searches'!$C$27)</x:f>
      </x:c>
      <x:c r="G28" s="48" t="str">
        <x:f>IF('Base Searches'!$A$27&lt;&gt;"Yes","",'Base Searches'!$E$27)</x:f>
      </x:c>
      <x:c r="H28" s="48" t="str">
        <x:f>IF('Base Searches'!$A$27&lt;&gt;"Yes","",'Base Searches'!$I$27)</x:f>
      </x:c>
      <x:c r="I28" s="48" t="str">
        <x:f>IF('Base Searches'!$A$27&lt;&gt;"Yes","","$"&amp;'Dashboard Config'!$B$9&amp;".earliest$")</x:f>
      </x:c>
      <x:c r="J28" s="48" t="str">
        <x:f>IF('Base Searches'!$A$27&lt;&gt;"Yes","","$"&amp;'Dashboard Config'!$B$9&amp;".latest$")</x:f>
      </x:c>
    </x:row>
    <x:row r="29">
      <x:c r="A29" s="48" t="str">
        <x:f>IF(NOCs!$A$27&lt;&gt;"Yes","",NOCs!$C$27)</x:f>
      </x:c>
      <x:c r="B29" s="48" t="str">
        <x:f>IF(NOCs!$A$27&lt;&gt;"Yes","",NOCs!$B$27)</x:f>
      </x:c>
      <x:c r="C29" s="48" t="str">
        <x:f>IF(NOCs!$A$27&lt;&gt;"Yes","",NOCs!$B$27)</x:f>
      </x:c>
      <x:c r="D29" s="48" t="str">
        <x:f>IF(NOCs!$A$27&lt;&gt;"Yes","",NOCs!$F$27)</x:f>
      </x:c>
      <x:c r="F29" s="48" t="str">
        <x:f>IF('Base Searches'!$A$28&lt;&gt;"Yes","",'Base Searches'!$C$28)</x:f>
      </x:c>
      <x:c r="G29" s="48" t="str">
        <x:f>IF('Base Searches'!$A$28&lt;&gt;"Yes","",'Base Searches'!$E$28)</x:f>
      </x:c>
      <x:c r="H29" s="48" t="str">
        <x:f>IF('Base Searches'!$A$28&lt;&gt;"Yes","",'Base Searches'!$I$28)</x:f>
      </x:c>
      <x:c r="I29" s="48" t="str">
        <x:f>IF('Base Searches'!$A$28&lt;&gt;"Yes","","$"&amp;'Dashboard Config'!$B$9&amp;".earliest$")</x:f>
      </x:c>
      <x:c r="J29" s="48" t="str">
        <x:f>IF('Base Searches'!$A$28&lt;&gt;"Yes","","$"&amp;'Dashboard Config'!$B$9&amp;".latest$")</x:f>
      </x:c>
    </x:row>
    <x:row r="30">
      <x:c r="A30" s="48" t="str">
        <x:f>IF(NOCs!$A$28&lt;&gt;"Yes","",NOCs!$C$28)</x:f>
      </x:c>
      <x:c r="B30" s="48" t="str">
        <x:f>IF(NOCs!$A$28&lt;&gt;"Yes","",NOCs!$B$28)</x:f>
      </x:c>
      <x:c r="C30" s="48" t="str">
        <x:f>IF(NOCs!$A$28&lt;&gt;"Yes","",NOCs!$B$28)</x:f>
      </x:c>
      <x:c r="D30" s="48" t="str">
        <x:f>IF(NOCs!$A$28&lt;&gt;"Yes","",NOCs!$F$28)</x:f>
      </x:c>
      <x:c r="F30" s="48" t="str">
        <x:f>IF('Base Searches'!$A$29&lt;&gt;"Yes","",'Base Searches'!$C$29)</x:f>
      </x:c>
      <x:c r="G30" s="48" t="str">
        <x:f>IF('Base Searches'!$A$29&lt;&gt;"Yes","",'Base Searches'!$E$29)</x:f>
      </x:c>
      <x:c r="H30" s="48" t="str">
        <x:f>IF('Base Searches'!$A$29&lt;&gt;"Yes","",'Base Searches'!$I$29)</x:f>
      </x:c>
      <x:c r="I30" s="48" t="str">
        <x:f>IF('Base Searches'!$A$29&lt;&gt;"Yes","","$"&amp;'Dashboard Config'!$B$9&amp;".earliest$")</x:f>
      </x:c>
      <x:c r="J30" s="48" t="str">
        <x:f>IF('Base Searches'!$A$29&lt;&gt;"Yes","","$"&amp;'Dashboard Config'!$B$9&amp;".latest$")</x:f>
      </x:c>
    </x:row>
    <x:row r="31">
      <x:c r="A31" s="48" t="str">
        <x:f>IF(NOCs!$A$29&lt;&gt;"Yes","",NOCs!$C$29)</x:f>
      </x:c>
      <x:c r="B31" s="48" t="str">
        <x:f>IF(NOCs!$A$29&lt;&gt;"Yes","",NOCs!$B$29)</x:f>
      </x:c>
      <x:c r="C31" s="48" t="str">
        <x:f>IF(NOCs!$A$29&lt;&gt;"Yes","",NOCs!$B$29)</x:f>
      </x:c>
      <x:c r="D31" s="48" t="str">
        <x:f>IF(NOCs!$A$29&lt;&gt;"Yes","",NOCs!$F$29)</x:f>
      </x:c>
      <x:c r="F31" s="48" t="str">
        <x:f>IF('Base Searches'!$A$30&lt;&gt;"Yes","",'Base Searches'!$C$30)</x:f>
      </x:c>
      <x:c r="G31" s="48" t="str">
        <x:f>IF('Base Searches'!$A$30&lt;&gt;"Yes","",'Base Searches'!$E$30)</x:f>
      </x:c>
      <x:c r="H31" s="48" t="str">
        <x:f>IF('Base Searches'!$A$30&lt;&gt;"Yes","",'Base Searches'!$I$30)</x:f>
      </x:c>
      <x:c r="I31" s="48" t="str">
        <x:f>IF('Base Searches'!$A$30&lt;&gt;"Yes","","$"&amp;'Dashboard Config'!$B$9&amp;".earliest$")</x:f>
      </x:c>
      <x:c r="J31" s="48" t="str">
        <x:f>IF('Base Searches'!$A$30&lt;&gt;"Yes","","$"&amp;'Dashboard Config'!$B$9&amp;".latest$")</x:f>
      </x:c>
    </x:row>
    <x:row r="32">
      <x:c r="A32" s="48" t="str">
        <x:f>IF(NOCs!$A$30&lt;&gt;"Yes","",NOCs!$C$30)</x:f>
      </x:c>
      <x:c r="B32" s="48" t="str">
        <x:f>IF(NOCs!$A$30&lt;&gt;"Yes","",NOCs!$B$30)</x:f>
      </x:c>
      <x:c r="C32" s="48" t="str">
        <x:f>IF(NOCs!$A$30&lt;&gt;"Yes","",NOCs!$B$30)</x:f>
      </x:c>
      <x:c r="D32" s="48" t="str">
        <x:f>IF(NOCs!$A$30&lt;&gt;"Yes","",NOCs!$F$30)</x:f>
      </x:c>
      <x:c r="F32" s="48" t="str">
        <x:f>IF('Base Searches'!$A$31&lt;&gt;"Yes","",'Base Searches'!$C$31)</x:f>
      </x:c>
      <x:c r="G32" s="48" t="str">
        <x:f>IF('Base Searches'!$A$31&lt;&gt;"Yes","",'Base Searches'!$E$31)</x:f>
      </x:c>
      <x:c r="H32" s="48" t="str">
        <x:f>IF('Base Searches'!$A$31&lt;&gt;"Yes","",'Base Searches'!$I$31)</x:f>
      </x:c>
      <x:c r="I32" s="48" t="str">
        <x:f>IF('Base Searches'!$A$31&lt;&gt;"Yes","","$"&amp;'Dashboard Config'!$B$9&amp;".earliest$")</x:f>
      </x:c>
      <x:c r="J32" s="48" t="str">
        <x:f>IF('Base Searches'!$A$31&lt;&gt;"Yes","","$"&amp;'Dashboard Config'!$B$9&amp;".latest$")</x:f>
      </x:c>
    </x:row>
    <x:row r="33">
      <x:c r="A33" s="48" t="str">
        <x:f>IF(NOCs!$A$31&lt;&gt;"Yes","",NOCs!$C$31)</x:f>
      </x:c>
      <x:c r="B33" s="48" t="str">
        <x:f>IF(NOCs!$A$31&lt;&gt;"Yes","",NOCs!$B$31)</x:f>
      </x:c>
      <x:c r="C33" s="48" t="str">
        <x:f>IF(NOCs!$A$31&lt;&gt;"Yes","",NOCs!$B$31)</x:f>
      </x:c>
      <x:c r="D33" s="48" t="str">
        <x:f>IF(NOCs!$A$31&lt;&gt;"Yes","",NOCs!$F$31)</x:f>
      </x:c>
      <x:c r="F33" s="48" t="str">
        <x:f>IF('Base Searches'!$A$32&lt;&gt;"Yes","",'Base Searches'!$C$32)</x:f>
      </x:c>
      <x:c r="G33" s="48" t="str">
        <x:f>IF('Base Searches'!$A$32&lt;&gt;"Yes","",'Base Searches'!$E$32)</x:f>
      </x:c>
      <x:c r="H33" s="48" t="str">
        <x:f>IF('Base Searches'!$A$32&lt;&gt;"Yes","",'Base Searches'!$I$32)</x:f>
      </x:c>
      <x:c r="I33" s="48" t="str">
        <x:f>IF('Base Searches'!$A$32&lt;&gt;"Yes","","$"&amp;'Dashboard Config'!$B$9&amp;".earliest$")</x:f>
      </x:c>
      <x:c r="J33" s="48" t="str">
        <x:f>IF('Base Searches'!$A$32&lt;&gt;"Yes","","$"&amp;'Dashboard Config'!$B$9&amp;".latest$")</x:f>
      </x:c>
    </x:row>
    <x:row r="34">
      <x:c r="A34" s="48" t="str">
        <x:f>IF(NOCs!$A$32&lt;&gt;"Yes","",NOCs!$C$32)</x:f>
      </x:c>
      <x:c r="B34" s="48" t="str">
        <x:f>IF(NOCs!$A$32&lt;&gt;"Yes","",NOCs!$B$32)</x:f>
      </x:c>
      <x:c r="C34" s="48" t="str">
        <x:f>IF(NOCs!$A$32&lt;&gt;"Yes","",NOCs!$B$32)</x:f>
      </x:c>
      <x:c r="D34" s="48" t="str">
        <x:f>IF(NOCs!$A$32&lt;&gt;"Yes","",NOCs!$F$32)</x:f>
      </x:c>
      <x:c r="F34" s="48" t="str">
        <x:f>IF('Base Searches'!$A$33&lt;&gt;"Yes","",'Base Searches'!$C$33)</x:f>
      </x:c>
      <x:c r="G34" s="48" t="str">
        <x:f>IF('Base Searches'!$A$33&lt;&gt;"Yes","",'Base Searches'!$E$33)</x:f>
      </x:c>
      <x:c r="H34" s="48" t="str">
        <x:f>IF('Base Searches'!$A$33&lt;&gt;"Yes","",'Base Searches'!$I$33)</x:f>
      </x:c>
      <x:c r="I34" s="48" t="str">
        <x:f>IF('Base Searches'!$A$33&lt;&gt;"Yes","","$"&amp;'Dashboard Config'!$B$9&amp;".earliest$")</x:f>
      </x:c>
      <x:c r="J34" s="48" t="str">
        <x:f>IF('Base Searches'!$A$33&lt;&gt;"Yes","","$"&amp;'Dashboard Config'!$B$9&amp;".latest$")</x:f>
      </x:c>
    </x:row>
    <x:row r="35">
      <x:c r="A35" s="48" t="str">
        <x:f>IF(NOCs!$A$33&lt;&gt;"Yes","",NOCs!$C$33)</x:f>
      </x:c>
      <x:c r="B35" s="48" t="str">
        <x:f>IF(NOCs!$A$33&lt;&gt;"Yes","",NOCs!$B$33)</x:f>
      </x:c>
      <x:c r="C35" s="48" t="str">
        <x:f>IF(NOCs!$A$33&lt;&gt;"Yes","",NOCs!$B$33)</x:f>
      </x:c>
      <x:c r="D35" s="48" t="str">
        <x:f>IF(NOCs!$A$33&lt;&gt;"Yes","",NOCs!$F$33)</x:f>
      </x:c>
      <x:c r="F35" s="48" t="str">
        <x:f>IF('Base Searches'!$A$34&lt;&gt;"Yes","",'Base Searches'!$C$34)</x:f>
      </x:c>
      <x:c r="G35" s="48" t="str">
        <x:f>IF('Base Searches'!$A$34&lt;&gt;"Yes","",'Base Searches'!$E$34)</x:f>
      </x:c>
      <x:c r="H35" s="48" t="str">
        <x:f>IF('Base Searches'!$A$34&lt;&gt;"Yes","",'Base Searches'!$I$34)</x:f>
      </x:c>
      <x:c r="I35" s="48" t="str">
        <x:f>IF('Base Searches'!$A$34&lt;&gt;"Yes","","$"&amp;'Dashboard Config'!$B$9&amp;".earliest$")</x:f>
      </x:c>
      <x:c r="J35" s="48" t="str">
        <x:f>IF('Base Searches'!$A$34&lt;&gt;"Yes","","$"&amp;'Dashboard Config'!$B$9&amp;".latest$")</x:f>
      </x:c>
    </x:row>
    <x:row r="36">
      <x:c r="A36" s="48" t="str">
        <x:f>IF(NOCs!$A$34&lt;&gt;"Yes","",NOCs!$C$34)</x:f>
      </x:c>
      <x:c r="B36" s="48" t="str">
        <x:f>IF(NOCs!$A$34&lt;&gt;"Yes","",NOCs!$B$34)</x:f>
      </x:c>
      <x:c r="C36" s="48" t="str">
        <x:f>IF(NOCs!$A$34&lt;&gt;"Yes","",NOCs!$B$34)</x:f>
      </x:c>
      <x:c r="D36" s="48" t="str">
        <x:f>IF(NOCs!$A$34&lt;&gt;"Yes","",NOCs!$F$34)</x:f>
      </x:c>
      <x:c r="F36" s="48" t="str">
        <x:f>IF('Base Searches'!$A$35&lt;&gt;"Yes","",'Base Searches'!$C$35)</x:f>
      </x:c>
      <x:c r="G36" s="48" t="str">
        <x:f>IF('Base Searches'!$A$35&lt;&gt;"Yes","",'Base Searches'!$E$35)</x:f>
      </x:c>
      <x:c r="H36" s="48" t="str">
        <x:f>IF('Base Searches'!$A$35&lt;&gt;"Yes","",'Base Searches'!$I$35)</x:f>
      </x:c>
      <x:c r="I36" s="48" t="str">
        <x:f>IF('Base Searches'!$A$35&lt;&gt;"Yes","","$"&amp;'Dashboard Config'!$B$9&amp;".earliest$")</x:f>
      </x:c>
      <x:c r="J36" s="48" t="str">
        <x:f>IF('Base Searches'!$A$35&lt;&gt;"Yes","","$"&amp;'Dashboard Config'!$B$9&amp;".latest$")</x:f>
      </x:c>
    </x:row>
    <x:row r="37">
      <x:c r="A37" s="48" t="str">
        <x:f>IF(NOCs!$A$35&lt;&gt;"Yes","",NOCs!$C$35)</x:f>
      </x:c>
      <x:c r="B37" s="48" t="str">
        <x:f>IF(NOCs!$A$35&lt;&gt;"Yes","",NOCs!$B$35)</x:f>
      </x:c>
      <x:c r="C37" s="48" t="str">
        <x:f>IF(NOCs!$A$35&lt;&gt;"Yes","",NOCs!$B$35)</x:f>
      </x:c>
      <x:c r="D37" s="48" t="str">
        <x:f>IF(NOCs!$A$35&lt;&gt;"Yes","",NOCs!$F$35)</x:f>
      </x:c>
    </x:row>
    <x:row r="38">
      <x:c r="A38" s="48" t="str">
        <x:f>IF(NOCs!$A$36&lt;&gt;"Yes","",NOCs!$C$36)</x:f>
      </x:c>
      <x:c r="B38" s="48" t="str">
        <x:f>IF(NOCs!$A$36&lt;&gt;"Yes","",NOCs!$B$36)</x:f>
      </x:c>
      <x:c r="C38" s="48" t="str">
        <x:f>IF(NOCs!$A$36&lt;&gt;"Yes","",NOCs!$B$36)</x:f>
      </x:c>
      <x:c r="D38" s="48" t="str">
        <x:f>IF(NOCs!$A$36&lt;&gt;"Yes","",NOCs!$F$36)</x:f>
      </x:c>
    </x:row>
    <x:row r="39">
      <x:c r="A39" s="48" t="str">
        <x:f>IF(NOCs!$A$37&lt;&gt;"Yes","",NOCs!$C$37)</x:f>
      </x:c>
      <x:c r="B39" s="48" t="str">
        <x:f>IF(NOCs!$A$37&lt;&gt;"Yes","",NOCs!$B$37)</x:f>
      </x:c>
      <x:c r="C39" s="48" t="str">
        <x:f>IF(NOCs!$A$37&lt;&gt;"Yes","",NOCs!$B$37)</x:f>
      </x:c>
      <x:c r="D39" s="48" t="str">
        <x:f>IF(NOCs!$A$37&lt;&gt;"Yes","",NOCs!$F$37)</x:f>
      </x:c>
    </x:row>
    <x:row r="40">
      <x:c r="A40" s="48" t="str">
        <x:f>IF(NOCs!$A$38&lt;&gt;"Yes","",NOCs!$C$38)</x:f>
      </x:c>
      <x:c r="B40" s="48" t="str">
        <x:f>IF(NOCs!$A$38&lt;&gt;"Yes","",NOCs!$B$38)</x:f>
      </x:c>
      <x:c r="C40" s="48" t="str">
        <x:f>IF(NOCs!$A$38&lt;&gt;"Yes","",NOCs!$B$38)</x:f>
      </x:c>
      <x:c r="D40" s="48" t="str">
        <x:f>IF(NOCs!$A$38&lt;&gt;"Yes","",NOCs!$F$38)</x:f>
      </x:c>
    </x:row>
    <x:row r="41">
      <x:c r="A41" s="48" t="str">
        <x:f>IF(NOCs!$A$39&lt;&gt;"Yes","",NOCs!$C$39)</x:f>
      </x:c>
      <x:c r="B41" s="48" t="str">
        <x:f>IF(NOCs!$A$39&lt;&gt;"Yes","",NOCs!$B$39)</x:f>
      </x:c>
      <x:c r="C41" s="48" t="str">
        <x:f>IF(NOCs!$A$39&lt;&gt;"Yes","",NOCs!$B$39)</x:f>
      </x:c>
      <x:c r="D41" s="48" t="str">
        <x:f>IF(NOCs!$A$39&lt;&gt;"Yes","",NOCs!$F$39)</x:f>
      </x:c>
    </x:row>
    <x:row r="42">
      <x:c r="A42" s="48" t="str">
        <x:f>IF(NOCs!$A$40&lt;&gt;"Yes","",NOCs!$C$40)</x:f>
      </x:c>
      <x:c r="B42" s="48" t="str">
        <x:f>IF(NOCs!$A$40&lt;&gt;"Yes","",NOCs!$B$40)</x:f>
      </x:c>
      <x:c r="C42" s="48" t="str">
        <x:f>IF(NOCs!$A$40&lt;&gt;"Yes","",NOCs!$B$40)</x:f>
      </x:c>
      <x:c r="D42" s="48" t="str">
        <x:f>IF(NOCs!$A$40&lt;&gt;"Yes","",NOCs!$F$40)</x:f>
      </x:c>
    </x:row>
    <x:row r="43">
      <x:c r="A43" s="48" t="str">
        <x:f>IF(NOCs!$A$41&lt;&gt;"Yes","",NOCs!$C$41)</x:f>
      </x:c>
      <x:c r="B43" s="48" t="str">
        <x:f>IF(NOCs!$A$41&lt;&gt;"Yes","",NOCs!$B$41)</x:f>
      </x:c>
      <x:c r="C43" s="48" t="str">
        <x:f>IF(NOCs!$A$41&lt;&gt;"Yes","",NOCs!$B$41)</x:f>
      </x:c>
      <x:c r="D43" s="48" t="str">
        <x:f>IF(NOCs!$A$41&lt;&gt;"Yes","",NOCs!$F$41)</x:f>
      </x:c>
    </x:row>
    <x:row r="44">
      <x:c r="A44" s="48" t="str">
        <x:f>IF(NOCs!$A$42&lt;&gt;"Yes","",NOCs!$C$42)</x:f>
      </x:c>
      <x:c r="B44" s="48" t="str">
        <x:f>IF(NOCs!$A$42&lt;&gt;"Yes","",NOCs!$B$42)</x:f>
      </x:c>
      <x:c r="C44" s="48" t="str">
        <x:f>IF(NOCs!$A$42&lt;&gt;"Yes","",NOCs!$B$42)</x:f>
      </x:c>
      <x:c r="D44" s="48" t="str">
        <x:f>IF(NOCs!$A$42&lt;&gt;"Yes","",NOCs!$F$42)</x:f>
      </x:c>
    </x:row>
    <x:row r="45">
      <x:c r="A45" s="48" t="str">
        <x:f>IF(NOCs!$A$43&lt;&gt;"Yes","",NOCs!$C$43)</x:f>
      </x:c>
      <x:c r="B45" s="48" t="str">
        <x:f>IF(NOCs!$A$43&lt;&gt;"Yes","",NOCs!$B$43)</x:f>
      </x:c>
      <x:c r="C45" s="48" t="str">
        <x:f>IF(NOCs!$A$43&lt;&gt;"Yes","",NOCs!$B$43)</x:f>
      </x:c>
      <x:c r="D45" s="48" t="str">
        <x:f>IF(NOCs!$A$43&lt;&gt;"Yes","",NOCs!$F$43)</x:f>
      </x:c>
    </x:row>
    <x:row r="46">
      <x:c r="A46" s="48" t="str">
        <x:f>IF(NOCs!$A$44&lt;&gt;"Yes","",NOCs!$C$44)</x:f>
      </x:c>
      <x:c r="B46" s="48" t="str">
        <x:f>IF(NOCs!$A$44&lt;&gt;"Yes","",NOCs!$B$44)</x:f>
      </x:c>
      <x:c r="C46" s="48" t="str">
        <x:f>IF(NOCs!$A$44&lt;&gt;"Yes","",NOCs!$B$44)</x:f>
      </x:c>
      <x:c r="D46" s="48" t="str">
        <x:f>IF(NOCs!$A$44&lt;&gt;"Yes","",NOCs!$F$44)</x:f>
      </x:c>
    </x:row>
    <x:row r="47">
      <x:c r="A47" s="48"/>
      <x:c r="B47" s="48"/>
      <x:c r="C47" s="48"/>
      <x:c r="D47" s="48"/>
    </x:row>
    <x:row r="48">
      <x:c r="A48" s="48"/>
      <x:c r="B48" s="48"/>
      <x:c r="C48" s="48"/>
      <x:c r="D48" s="48"/>
    </x:row>
    <x:row r="49">
      <x:c r="A49" s="48"/>
      <x:c r="B49" s="48"/>
      <x:c r="C49" s="48"/>
      <x:c r="D49" s="48"/>
    </x:row>
    <x:row r="50">
      <x:c r="A50" s="48"/>
      <x:c r="B50" s="48"/>
      <x:c r="C50" s="48"/>
      <x:c r="D50" s="48"/>
    </x:row>
    <x:row r="51">
      <x:c r="A51" s="48"/>
      <x:c r="B51" s="48"/>
      <x:c r="C51" s="48"/>
      <x:c r="D51" s="48"/>
    </x:row>
    <x:row r="52">
      <x:c r="A52" s="48"/>
      <x:c r="B52" s="48"/>
      <x:c r="C52" s="48"/>
      <x:c r="D52" s="48"/>
    </x:row>
    <x:row r="53">
      <x:c r="A53" s="48"/>
      <x:c r="B53" s="48"/>
      <x:c r="C53" s="48"/>
      <x:c r="D53" s="48"/>
    </x:row>
    <x:row r="54">
      <x:c r="A54" s="48"/>
      <x:c r="B54" s="48"/>
      <x:c r="C54" s="48"/>
      <x:c r="D54" s="48"/>
    </x:row>
    <x:row r="55">
      <x:c r="A55" s="48"/>
      <x:c r="B55" s="48"/>
      <x:c r="C55" s="48"/>
      <x:c r="D55" s="48"/>
    </x:row>
    <x:row r="56">
      <x:c r="A56" s="48"/>
      <x:c r="B56" s="48"/>
      <x:c r="C56" s="48"/>
      <x:c r="D56" s="48"/>
    </x:row>
    <x:row r="57">
      <x:c r="A57" s="48"/>
      <x:c r="B57" s="48"/>
      <x:c r="C57" s="48"/>
      <x:c r="D57" s="48"/>
    </x:row>
    <x:row r="58">
      <x:c r="A58" s="48"/>
      <x:c r="B58" s="48"/>
      <x:c r="C58" s="48"/>
      <x:c r="D58" s="48"/>
    </x:row>
    <x:row r="59">
      <x:c r="A59" s="48"/>
      <x:c r="B59" s="48"/>
      <x:c r="C59" s="48"/>
      <x:c r="D59" s="48"/>
    </x:row>
    <x:row r="60">
      <x:c r="A60" s="48"/>
      <x:c r="B60" s="48"/>
      <x:c r="C60" s="48"/>
      <x:c r="D60" s="48"/>
    </x:row>
    <x:row r="61">
      <x:c r="A61" s="48"/>
      <x:c r="B61" s="48"/>
      <x:c r="C61" s="48"/>
      <x:c r="D61" s="48"/>
    </x:row>
    <x:row r="62">
      <x:c r="A62" s="48"/>
      <x:c r="B62" s="48"/>
      <x:c r="C62" s="48"/>
      <x:c r="D62" s="48"/>
    </x:row>
    <x:row r="63">
      <x:c r="A63" s="48"/>
      <x:c r="B63" s="48"/>
      <x:c r="C63" s="48"/>
      <x:c r="D63" s="48"/>
    </x:row>
    <x:row r="64">
      <x:c r="A64" s="48"/>
      <x:c r="B64" s="48"/>
      <x:c r="C64" s="48"/>
      <x:c r="D64" s="48"/>
    </x:row>
    <x:row r="65">
      <x:c r="A65" s="48"/>
      <x:c r="B65" s="48"/>
      <x:c r="C65" s="48"/>
      <x:c r="D65" s="48"/>
    </x:row>
    <x:row r="66">
      <x:c r="A66" s="48"/>
      <x:c r="B66" s="48"/>
      <x:c r="C66" s="48"/>
      <x:c r="D66" s="48"/>
    </x:row>
    <x:row r="67">
      <x:c r="A67" s="48"/>
      <x:c r="B67" s="48"/>
      <x:c r="C67" s="48"/>
      <x:c r="D67" s="48"/>
    </x:row>
    <x:row r="68">
      <x:c r="A68" s="48"/>
      <x:c r="B68" s="48"/>
      <x:c r="C68" s="48"/>
      <x:c r="D68" s="48"/>
    </x:row>
    <x:row r="69">
      <x:c r="A69" s="48"/>
      <x:c r="B69" s="48"/>
      <x:c r="C69" s="48"/>
      <x:c r="D69" s="48"/>
    </x:row>
    <x:row r="70">
      <x:c r="A70" s="48"/>
      <x:c r="B70" s="48"/>
      <x:c r="C70" s="48"/>
      <x:c r="D70" s="48"/>
    </x:row>
    <x:row r="71">
      <x:c r="A71" s="48"/>
      <x:c r="B71" s="48"/>
      <x:c r="C71" s="48"/>
      <x:c r="D71" s="48"/>
    </x:row>
    <x:row r="72">
      <x:c r="A72" s="48"/>
      <x:c r="B72" s="48"/>
      <x:c r="C72" s="48"/>
      <x:c r="D72" s="48"/>
    </x:row>
    <x:row r="73">
      <x:c r="A73" s="48"/>
      <x:c r="B73" s="48"/>
      <x:c r="C73" s="48"/>
      <x:c r="D73" s="48"/>
    </x:row>
    <x:row r="74">
      <x:c r="A74" s="48"/>
      <x:c r="B74" s="48"/>
      <x:c r="C74" s="48"/>
      <x:c r="D74" s="48"/>
    </x:row>
    <x:row r="75">
      <x:c r="A75" s="48"/>
      <x:c r="B75" s="48"/>
      <x:c r="C75" s="48"/>
      <x:c r="D75" s="48"/>
    </x:row>
    <x:row r="76">
      <x:c r="A76" s="48"/>
      <x:c r="B76" s="48"/>
      <x:c r="C76" s="48"/>
      <x:c r="D76" s="48"/>
    </x:row>
    <x:row r="77">
      <x:c r="A77" s="48"/>
      <x:c r="B77" s="48"/>
      <x:c r="C77" s="48"/>
      <x:c r="D77" s="48"/>
    </x:row>
    <x:row r="78">
      <x:c r="A78" s="48"/>
      <x:c r="B78" s="48"/>
      <x:c r="C78" s="48"/>
      <x:c r="D78" s="48"/>
    </x:row>
    <x:row r="79">
      <x:c r="A79" s="48"/>
      <x:c r="B79" s="48"/>
      <x:c r="C79" s="48"/>
      <x:c r="D79" s="48"/>
    </x:row>
    <x:row r="80">
      <x:c r="A80" s="48"/>
      <x:c r="B80" s="48"/>
      <x:c r="C80" s="48"/>
      <x:c r="D80" s="48"/>
    </x:row>
    <x:row r="81">
      <x:c r="A81" s="48"/>
      <x:c r="B81" s="48"/>
      <x:c r="C81" s="48"/>
      <x:c r="D81" s="48"/>
    </x:row>
    <x:row r="82">
      <x:c r="A82" s="48"/>
      <x:c r="B82" s="48"/>
      <x:c r="C82" s="48"/>
      <x:c r="D82" s="48"/>
    </x:row>
    <x:row r="83">
      <x:c r="A83" s="48"/>
      <x:c r="B83" s="48"/>
      <x:c r="C83" s="48"/>
      <x:c r="D83" s="48"/>
    </x:row>
    <x:row r="84">
      <x:c r="A84" s="48"/>
      <x:c r="B84" s="48"/>
      <x:c r="C84" s="48"/>
      <x:c r="D84" s="48"/>
    </x:row>
    <x:row r="85">
      <x:c r="A85" s="48"/>
      <x:c r="B85" s="48"/>
      <x:c r="C85" s="48"/>
      <x:c r="D85" s="48"/>
    </x:row>
    <x:row r="86">
      <x:c r="A86" s="48"/>
      <x:c r="B86" s="48"/>
      <x:c r="C86" s="48"/>
      <x:c r="D86" s="48"/>
    </x:row>
    <x:row r="87">
      <x:c r="A87" s="48"/>
      <x:c r="B87" s="48"/>
      <x:c r="C87" s="48"/>
      <x:c r="D87" s="48"/>
    </x:row>
    <x:row r="88">
      <x:c r="A88" s="48"/>
      <x:c r="B88" s="48"/>
      <x:c r="C88" s="48"/>
      <x:c r="D88" s="48"/>
    </x:row>
    <x:row r="89">
      <x:c r="A89" s="48"/>
      <x:c r="B89" s="48"/>
      <x:c r="C89" s="48"/>
      <x:c r="D89" s="48"/>
    </x:row>
    <x:row r="90">
      <x:c r="A90" s="48"/>
      <x:c r="B90" s="48"/>
      <x:c r="C90" s="48"/>
      <x:c r="D90" s="48"/>
    </x:row>
    <x:row r="91">
      <x:c r="A91" s="48"/>
      <x:c r="B91" s="48"/>
      <x:c r="C91" s="48"/>
      <x:c r="D91" s="48"/>
    </x:row>
    <x:row r="92">
      <x:c r="A92" s="48"/>
      <x:c r="B92" s="48"/>
      <x:c r="C92" s="48"/>
      <x:c r="D92" s="48"/>
    </x:row>
    <x:row r="93">
      <x:c r="A93" s="48"/>
      <x:c r="B93" s="48"/>
      <x:c r="C93" s="48"/>
      <x:c r="D93" s="48"/>
    </x:row>
    <x:row r="94">
      <x:c r="A94" s="48"/>
      <x:c r="B94" s="48"/>
      <x:c r="C94" s="48"/>
      <x:c r="D94" s="48"/>
    </x:row>
    <x:row r="95">
      <x:c r="A95" s="48"/>
      <x:c r="B95" s="48"/>
      <x:c r="C95" s="48"/>
      <x:c r="D95" s="48"/>
    </x:row>
    <x:row r="96">
      <x:c r="A96" s="48"/>
      <x:c r="B96" s="48"/>
      <x:c r="C96" s="48"/>
      <x:c r="D96" s="48"/>
    </x:row>
    <x:row r="97">
      <x:c r="A97" s="48"/>
      <x:c r="B97" s="48"/>
      <x:c r="C97" s="48"/>
      <x:c r="D97" s="48"/>
    </x:row>
    <x:row r="98">
      <x:c r="A98" s="48"/>
      <x:c r="B98" s="48"/>
      <x:c r="C98" s="48"/>
      <x:c r="D98" s="48"/>
    </x:row>
    <x:row r="99">
      <x:c r="A99" s="48"/>
      <x:c r="B99" s="48"/>
      <x:c r="C99" s="48"/>
      <x:c r="D99" s="48"/>
    </x:row>
    <x:row r="100">
      <x:c r="A100" s="48"/>
      <x:c r="B100" s="48"/>
      <x:c r="C100" s="48"/>
      <x:c r="D100" s="48"/>
    </x:row>
    <x:row r="101">
      <x:c r="A101" s="48"/>
      <x:c r="B101" s="48"/>
      <x:c r="C101" s="48"/>
      <x:c r="D101" s="48"/>
    </x:row>
    <x:row r="102">
      <x:c r="A102" s="48"/>
      <x:c r="B102" s="48"/>
      <x:c r="C102" s="48"/>
      <x:c r="D102" s="48"/>
    </x:row>
    <x:row r="103">
      <x:c r="A103" s="48"/>
      <x:c r="B103" s="48"/>
      <x:c r="C103" s="48"/>
      <x:c r="D103" s="48"/>
    </x:row>
    <x:row r="104">
      <x:c r="A104" s="48"/>
      <x:c r="B104" s="48"/>
      <x:c r="C104" s="48"/>
      <x:c r="D104" s="48"/>
    </x:row>
    <x:row r="105">
      <x:c r="A105" s="48"/>
      <x:c r="B105" s="48"/>
      <x:c r="C105" s="48"/>
      <x:c r="D105" s="48"/>
    </x:row>
    <x:row r="106">
      <x:c r="A106" s="48"/>
      <x:c r="B106" s="48"/>
      <x:c r="C106" s="48"/>
      <x:c r="D106" s="48"/>
    </x:row>
    <x:row r="109">
      <x:c r="A109" s="16" t="str">
        <x:v>Chain data sources</x:v>
      </x:c>
      <x:c r="B109" s="16"/>
      <x:c r="C109" s="16"/>
      <x:c r="D109" s="16"/>
      <x:c r="E109" s="16"/>
      <x:c r="F109" s="16"/>
      <x:c r="G109" s="16"/>
      <x:c r="H109" s="16"/>
      <x:c r="I109" s="16"/>
      <x:c r="J109" s="16"/>
    </x:row>
    <x:row r="110">
      <x:c r="A110" s="34" t="str">
        <x:v>Search Name</x:v>
      </x:c>
      <x:c r="B110" s="34" t="str">
        <x:v>Role</x:v>
      </x:c>
      <x:c r="C110" s="34" t="str">
        <x:v>Data Source ID</x:v>
      </x:c>
      <x:c r="D110" s="34" t="str">
        <x:v>Parent Data Source</x:v>
      </x:c>
      <x:c r="E110" s="34" t="str">
        <x:v>Chain SPL</x:v>
      </x:c>
      <x:c r="F110" s="34" t="str">
        <x:v>Count SPL</x:v>
      </x:c>
      <x:c r="G110" s="34" t="str">
        <x:v>Category</x:v>
      </x:c>
      <x:c r="H110" s="34" t="str">
        <x:v>Suggested Viz</x:v>
      </x:c>
      <x:c r="I110" s="34" t="str">
        <x:v>Search ID</x:v>
      </x:c>
      <x:c r="J110" s="34" t="str">
        <x:v>Count?</x:v>
      </x:c>
    </x:row>
    <x:row r="111">
      <x:c r="A111" s="48" t="str">
        <x:f>IF(Searches!$A$6&lt;&gt;"Yes","",Searches!$C$6)</x:f>
        <x:v>Interface Parsed Fields</x:v>
      </x:c>
      <x:c r="B111" s="48" t="str">
        <x:f>IF(Searches!$A$6&lt;&gt;"Yes","",Searches!$D$6)</x:f>
        <x:v>Helper</x:v>
      </x:c>
      <x:c r="C111" s="48" t="str">
        <x:f>IF(Searches!$A$6&lt;&gt;"Yes","",Searches!$O$6)</x:f>
        <x:v>ds_iface_parse</x:v>
      </x:c>
      <x:c r="D111" s="48" t="str">
        <x:f>IF(Searches!$A$6&lt;&gt;"Yes","",Searches!$P$6)</x:f>
        <x:v>ds_base_interface</x:v>
      </x:c>
      <x:c r="E111" s="48" t="str">
        <x:f>IF(Searches!$A$6&lt;&gt;"Yes","",Searches!$Q$6)</x:f>
        <x:v>| rex field=_raw "(?i)(?:Interface|Line protocol on Interface)\s+(?&lt;interface&gt;[^,]+),\s+changed state to\s+(?&lt;state&gt;up|down)"</x:v>
      </x:c>
      <x:c r="F111" s="48" t="str">
        <x:f>IF(Searches!$A$6&lt;&gt;"Yes","",Searches!$R$6)</x:f>
        <x:v>Count disabled</x:v>
      </x:c>
      <x:c r="G111" s="48" t="str">
        <x:f>IF(Searches!$A$6&lt;&gt;"Yes","",Searches!$E$6)</x:f>
        <x:v>Interfaces</x:v>
      </x:c>
      <x:c r="H111" s="48" t="str">
        <x:f>IF(Searches!$A$6&lt;&gt;"Yes","",Searches!$N$6)</x:f>
        <x:v>Helper</x:v>
      </x:c>
      <x:c r="I111" s="48" t="str">
        <x:f>IF(Searches!$A$6&lt;&gt;"Yes","",Searches!$B$6)</x:f>
        <x:v>S_IFACE_PARSE</x:v>
      </x:c>
      <x:c r="J111" s="48" t="str">
        <x:f>IF(Searches!$A$6&lt;&gt;"Yes","",Searches!$K$6)</x:f>
        <x:v>No</x:v>
      </x:c>
    </x:row>
    <x:row r="112">
      <x:c r="A112" s="48" t="str">
        <x:f>IF(Searches!$A$7&lt;&gt;"Yes","",Searches!$C$7)</x:f>
        <x:v>Interface Up / Down</x:v>
      </x:c>
      <x:c r="B112" s="48" t="str">
        <x:f>IF(Searches!$A$7&lt;&gt;"Yes","",Searches!$D$7)</x:f>
        <x:v>Panel</x:v>
      </x:c>
      <x:c r="C112" s="48" t="str">
        <x:f>IF(Searches!$A$7&lt;&gt;"Yes","",Searches!$O$7)</x:f>
        <x:v>ds_iface_detail</x:v>
      </x:c>
      <x:c r="D112" s="48" t="str">
        <x:f>IF(Searches!$A$7&lt;&gt;"Yes","",Searches!$P$7)</x:f>
        <x:v>ds_iface_parse</x:v>
      </x:c>
      <x:c r="E112" s="48" t="str">
        <x:f>IF(Searches!$A$7&lt;&gt;"Yes","",Searches!$Q$7)</x:f>
        <x:v>| search interface=*
| table _time host interface state _raw | sort - _time</x:v>
      </x:c>
      <x:c r="F112" s="48" t="str">
        <x:f>IF(Searches!$A$7&lt;&gt;"Yes","",Searches!$R$7)</x:f>
        <x:v>| search interface=*
| stats count as count by host interface state
| where count &gt;= 1
| sort - count</x:v>
      </x:c>
      <x:c r="G112" s="48" t="str">
        <x:f>IF(Searches!$A$7&lt;&gt;"Yes","",Searches!$E$7)</x:f>
        <x:v>Interfaces</x:v>
      </x:c>
      <x:c r="H112" s="48" t="str">
        <x:f>IF(Searches!$A$7&lt;&gt;"Yes","",Searches!$N$7)</x:f>
        <x:v>Table</x:v>
      </x:c>
      <x:c r="I112" s="48" t="str">
        <x:f>IF(Searches!$A$7&lt;&gt;"Yes","",Searches!$B$7)</x:f>
        <x:v>S_IFACE_DETAIL</x:v>
      </x:c>
      <x:c r="J112" s="48" t="str">
        <x:f>IF(Searches!$A$7&lt;&gt;"Yes","",Searches!$K$7)</x:f>
        <x:v>Yes</x:v>
      </x:c>
    </x:row>
    <x:row r="113">
      <x:c r="A113" s="48" t="str">
        <x:f>IF(Searches!$A$8&lt;&gt;"Yes","",Searches!$C$8)</x:f>
        <x:v>Interfaces Down</x:v>
      </x:c>
      <x:c r="B113" s="48" t="str">
        <x:f>IF(Searches!$A$8&lt;&gt;"Yes","",Searches!$D$8)</x:f>
        <x:v>Panel</x:v>
      </x:c>
      <x:c r="C113" s="48" t="str">
        <x:f>IF(Searches!$A$8&lt;&gt;"Yes","",Searches!$O$8)</x:f>
        <x:v>ds_iface_down</x:v>
      </x:c>
      <x:c r="D113" s="48" t="str">
        <x:f>IF(Searches!$A$8&lt;&gt;"Yes","",Searches!$P$8)</x:f>
        <x:v>ds_iface_parse</x:v>
      </x:c>
      <x:c r="E113" s="48" t="str">
        <x:f>IF(Searches!$A$8&lt;&gt;"Yes","",Searches!$Q$8)</x:f>
        <x:v>| search state="down"
| table _time host interface state _raw | sort - _time</x:v>
      </x:c>
      <x:c r="F113" s="48" t="str">
        <x:f>IF(Searches!$A$8&lt;&gt;"Yes","",Searches!$R$8)</x:f>
        <x:v>| search state="down"
| stats count as count by host interface
| where count &gt;= 1
| sort - count</x:v>
      </x:c>
      <x:c r="G113" s="48" t="str">
        <x:f>IF(Searches!$A$8&lt;&gt;"Yes","",Searches!$E$8)</x:f>
        <x:v>Interfaces</x:v>
      </x:c>
      <x:c r="H113" s="48" t="str">
        <x:f>IF(Searches!$A$8&lt;&gt;"Yes","",Searches!$N$8)</x:f>
        <x:v>Table / Single Value</x:v>
      </x:c>
      <x:c r="I113" s="48" t="str">
        <x:f>IF(Searches!$A$8&lt;&gt;"Yes","",Searches!$B$8)</x:f>
        <x:v>S_IFACE_DOWN</x:v>
      </x:c>
      <x:c r="J113" s="48" t="str">
        <x:f>IF(Searches!$A$8&lt;&gt;"Yes","",Searches!$K$8)</x:f>
        <x:v>Yes</x:v>
      </x:c>
    </x:row>
    <x:row r="114">
      <x:c r="A114" s="48" t="str">
        <x:f>IF(Searches!$A$9&lt;&gt;"Yes","",Searches!$C$9)</x:f>
        <x:v>Interface Flap Candidates</x:v>
      </x:c>
      <x:c r="B114" s="48" t="str">
        <x:f>IF(Searches!$A$9&lt;&gt;"Yes","",Searches!$D$9)</x:f>
        <x:v>Panel</x:v>
      </x:c>
      <x:c r="C114" s="48" t="str">
        <x:f>IF(Searches!$A$9&lt;&gt;"Yes","",Searches!$O$9)</x:f>
        <x:v>ds_iface_flap</x:v>
      </x:c>
      <x:c r="D114" s="48" t="str">
        <x:f>IF(Searches!$A$9&lt;&gt;"Yes","",Searches!$P$9)</x:f>
        <x:v>ds_iface_parse</x:v>
      </x:c>
      <x:c r="E114" s="48" t="str">
        <x:f>IF(Searches!$A$9&lt;&gt;"Yes","",Searches!$Q$9)</x:f>
        <x:v>| search interface=*
| bin _time span=15m
| stats count by _time host interface | where count&gt;=4 | sort - count</x:v>
      </x:c>
      <x:c r="F114" s="48" t="str">
        <x:f>IF(Searches!$A$9&lt;&gt;"Yes","",Searches!$R$9)</x:f>
        <x:v>| search interface=*
| bin _time span=15m
| stats count as count by _time host interface
| where count &gt;= 4
| sort - count</x:v>
      </x:c>
      <x:c r="G114" s="48" t="str">
        <x:f>IF(Searches!$A$9&lt;&gt;"Yes","",Searches!$E$9)</x:f>
        <x:v>Interfaces</x:v>
      </x:c>
      <x:c r="H114" s="48" t="str">
        <x:f>IF(Searches!$A$9&lt;&gt;"Yes","",Searches!$N$9)</x:f>
        <x:v>Table</x:v>
      </x:c>
      <x:c r="I114" s="48" t="str">
        <x:f>IF(Searches!$A$9&lt;&gt;"Yes","",Searches!$B$9)</x:f>
        <x:v>S_IFACE_FLAP</x:v>
      </x:c>
      <x:c r="J114" s="48" t="str">
        <x:f>IF(Searches!$A$9&lt;&gt;"Yes","",Searches!$K$9)</x:f>
        <x:v>Yes</x:v>
      </x:c>
    </x:row>
    <x:row r="115">
      <x:c r="A115" s="48" t="str">
        <x:f>IF(Searches!$A$10&lt;&gt;"Yes","",Searches!$C$10)</x:f>
        <x:v>Err-Disabled Ports</x:v>
      </x:c>
      <x:c r="B115" s="48" t="str">
        <x:f>IF(Searches!$A$10&lt;&gt;"Yes","",Searches!$D$10)</x:f>
        <x:v>Panel</x:v>
      </x:c>
      <x:c r="C115" s="48" t="str">
        <x:f>IF(Searches!$A$10&lt;&gt;"Yes","",Searches!$O$10)</x:f>
        <x:v>ds_errdisable</x:v>
      </x:c>
      <x:c r="D115" s="48" t="str">
        <x:f>IF(Searches!$A$10&lt;&gt;"Yes","",Searches!$P$10)</x:f>
        <x:v>ds_base_interface</x:v>
      </x:c>
      <x:c r="E115" s="48" t="str">
        <x:f>IF(Searches!$A$10&lt;&gt;"Yes","",Searches!$Q$10)</x:f>
        <x:v>| search ("%PM-4-ERR_DISABLE" OR "err-disabled" OR "err-disable")
| rex field=_raw "(?&lt;reason&gt;[A-Za-z0-9_-]+) error detected on (?&lt;interface&gt;[^, ]+)"
| stats count latest(_time) as last_seen values(reason) as reason values(_raw) as sample by host interface | eval last_seen=strftime(last_seen,"%Y-%m-%d %H:%M:%S") | sort - last_seen</x:v>
      </x:c>
      <x:c r="F115" s="48" t="str">
        <x:f>IF(Searches!$A$10&lt;&gt;"Yes","",Searches!$R$10)</x:f>
        <x:v>| search ("%PM-4-ERR_DISABLE" OR "err-disabled" OR "err-disable")
| rex field=_raw "(?&lt;reason&gt;[A-Za-z0-9_-]+) error detected on (?&lt;interface&gt;[^, ]+)"
| stats count as count by host interface
| where count &gt;= 1
| sort - count</x:v>
      </x:c>
      <x:c r="G115" s="48" t="str">
        <x:f>IF(Searches!$A$10&lt;&gt;"Yes","",Searches!$E$10)</x:f>
        <x:v>Interfaces</x:v>
      </x:c>
      <x:c r="H115" s="48" t="str">
        <x:f>IF(Searches!$A$10&lt;&gt;"Yes","",Searches!$N$10)</x:f>
        <x:v>Table / Single Value</x:v>
      </x:c>
      <x:c r="I115" s="48" t="str">
        <x:f>IF(Searches!$A$10&lt;&gt;"Yes","",Searches!$B$10)</x:f>
        <x:v>S_ERRDISABLE</x:v>
      </x:c>
      <x:c r="J115" s="48" t="str">
        <x:f>IF(Searches!$A$10&lt;&gt;"Yes","",Searches!$K$10)</x:f>
        <x:v>Yes</x:v>
      </x:c>
    </x:row>
    <x:row r="116">
      <x:c r="A116" s="48" t="str">
        <x:f>IF(Searches!$A$11&lt;&gt;"Yes","",Searches!$C$11)</x:f>
        <x:v>MAC Flaps / Duplicate MAC Movement</x:v>
      </x:c>
      <x:c r="B116" s="48" t="str">
        <x:f>IF(Searches!$A$11&lt;&gt;"Yes","",Searches!$D$11)</x:f>
        <x:v>Panel</x:v>
      </x:c>
      <x:c r="C116" s="48" t="str">
        <x:f>IF(Searches!$A$11&lt;&gt;"Yes","",Searches!$O$11)</x:f>
        <x:v>ds_macflap</x:v>
      </x:c>
      <x:c r="D116" s="48" t="str">
        <x:f>IF(Searches!$A$11&lt;&gt;"Yes","",Searches!$P$11)</x:f>
        <x:v>ds_base_l2</x:v>
      </x:c>
      <x:c r="E116" s="48" t="str">
        <x:f>IF(Searches!$A$11&lt;&gt;"Yes","",Searches!$Q$11)</x:f>
        <x:v>| search "%SW_MATM-4-MACFLAP_NOTIF"
| rex field=_raw "(?i)Host\s+(?&lt;mac&gt;[0-9a-f.:-]+)\s+in\s+(?:vlan\s+)?(?&lt;vlan&gt;\d+)\s+is flapping between port\s+(?&lt;port1&gt;\S+)\s+and port\s+(?&lt;port2&gt;\S+)"
| stats count latest(_time) as last_seen values(port1) as port1 values(port2) as port2 by host vlan mac | eval last_seen=strftime(last_seen,"%Y-%m-%d %H:%M:%S") | sort - count</x:v>
      </x:c>
      <x:c r="F116" s="48" t="str">
        <x:f>IF(Searches!$A$11&lt;&gt;"Yes","",Searches!$R$11)</x:f>
        <x:v>| search "%SW_MATM-4-MACFLAP_NOTIF"
| rex field=_raw "(?i)Host\s+(?&lt;mac&gt;[0-9a-f.:-]+)\s+in\s+(?:vlan\s+)?(?&lt;vlan&gt;\d+)\s+is flapping between port\s+(?&lt;port1&gt;\S+)\s+and port\s+(?&lt;port2&gt;\S+)"
| stats count as count
| where count &gt;= 1
| sort - count</x:v>
      </x:c>
      <x:c r="G116" s="48" t="str">
        <x:f>IF(Searches!$A$11&lt;&gt;"Yes","",Searches!$E$11)</x:f>
        <x:v>Layer 2</x:v>
      </x:c>
      <x:c r="H116" s="48" t="str">
        <x:f>IF(Searches!$A$11&lt;&gt;"Yes","",Searches!$N$11)</x:f>
        <x:v>Single Value / Table</x:v>
      </x:c>
      <x:c r="I116" s="48" t="str">
        <x:f>IF(Searches!$A$11&lt;&gt;"Yes","",Searches!$B$11)</x:f>
        <x:v>S_MACFLAP</x:v>
      </x:c>
      <x:c r="J116" s="48" t="str">
        <x:f>IF(Searches!$A$11&lt;&gt;"Yes","",Searches!$K$11)</x:f>
        <x:v>Yes</x:v>
      </x:c>
    </x:row>
    <x:row r="117">
      <x:c r="A117" s="48" t="str">
        <x:f>IF(Searches!$A$12&lt;&gt;"Yes","",Searches!$C$12)</x:f>
        <x:v>STP / Guard Events</x:v>
      </x:c>
      <x:c r="B117" s="48" t="str">
        <x:f>IF(Searches!$A$12&lt;&gt;"Yes","",Searches!$D$12)</x:f>
        <x:v>Panel</x:v>
      </x:c>
      <x:c r="C117" s="48" t="str">
        <x:f>IF(Searches!$A$12&lt;&gt;"Yes","",Searches!$O$12)</x:f>
        <x:v>ds_stp</x:v>
      </x:c>
      <x:c r="D117" s="48" t="str">
        <x:f>IF(Searches!$A$12&lt;&gt;"Yes","",Searches!$P$12)</x:f>
        <x:v>ds_base_l2</x:v>
      </x:c>
      <x:c r="E117" s="48" t="str">
        <x:f>IF(Searches!$A$12&lt;&gt;"Yes","",Searches!$Q$12)</x:f>
        <x:v>| search ("%SPANTREE-" OR "ROOTGUARD" OR "LOOPGUARD" OR "BPDU")
| rex field=_raw "%(?&lt;facility&gt;[A-Z0-9_]+)-(?&lt;severity&gt;\d+)-(?&lt;mnemonic&gt;[A-Z0-9_]+):\s+(?&lt;message&gt;.*)"
| table _time host facility severity mnemonic message | sort - _time</x:v>
      </x:c>
      <x:c r="F117" s="48" t="str">
        <x:f>IF(Searches!$A$12&lt;&gt;"Yes","",Searches!$R$12)</x:f>
        <x:v>| search ("%SPANTREE-" OR "ROOTGUARD" OR "LOOPGUARD" OR "BPDU")
| rex field=_raw "%(?&lt;facility&gt;[A-Z0-9_]+)-(?&lt;severity&gt;\d+)-(?&lt;mnemonic&gt;[A-Z0-9_]+):\s+(?&lt;message&gt;.*)"
| stats count as count by host mnemonic
| where count &gt;= 1
| sort - count</x:v>
      </x:c>
      <x:c r="G117" s="48" t="str">
        <x:f>IF(Searches!$A$12&lt;&gt;"Yes","",Searches!$E$12)</x:f>
        <x:v>Layer 2</x:v>
      </x:c>
      <x:c r="H117" s="48" t="str">
        <x:f>IF(Searches!$A$12&lt;&gt;"Yes","",Searches!$N$12)</x:f>
        <x:v>Table</x:v>
      </x:c>
      <x:c r="I117" s="48" t="str">
        <x:f>IF(Searches!$A$12&lt;&gt;"Yes","",Searches!$B$12)</x:f>
        <x:v>S_STP</x:v>
      </x:c>
      <x:c r="J117" s="48" t="str">
        <x:f>IF(Searches!$A$12&lt;&gt;"Yes","",Searches!$K$12)</x:f>
        <x:v>Yes</x:v>
      </x:c>
    </x:row>
    <x:row r="118">
      <x:c r="A118" s="48" t="str">
        <x:f>IF(Searches!$A$13&lt;&gt;"Yes","",Searches!$C$13)</x:f>
        <x:v>UDLD Events</x:v>
      </x:c>
      <x:c r="B118" s="48" t="str">
        <x:f>IF(Searches!$A$13&lt;&gt;"Yes","",Searches!$D$13)</x:f>
        <x:v>Panel</x:v>
      </x:c>
      <x:c r="C118" s="48" t="str">
        <x:f>IF(Searches!$A$13&lt;&gt;"Yes","",Searches!$O$13)</x:f>
        <x:v>ds_udld</x:v>
      </x:c>
      <x:c r="D118" s="48" t="str">
        <x:f>IF(Searches!$A$13&lt;&gt;"Yes","",Searches!$P$13)</x:f>
        <x:v>ds_base_l2</x:v>
      </x:c>
      <x:c r="E118" s="48" t="str">
        <x:f>IF(Searches!$A$13&lt;&gt;"Yes","",Searches!$Q$13)</x:f>
        <x:v>| search "%UDLD-"
| rex field=_raw "%(?&lt;facility&gt;[A-Z0-9_]+)-(?&lt;severity&gt;\d+)-(?&lt;mnemonic&gt;[A-Z0-9_]+):\s+(?&lt;message&gt;.*)"
| table _time host facility severity mnemonic message | sort - _time</x:v>
      </x:c>
      <x:c r="F118" s="48" t="str">
        <x:f>IF(Searches!$A$13&lt;&gt;"Yes","",Searches!$R$13)</x:f>
        <x:v>| search "%UDLD-"
| rex field=_raw "%(?&lt;facility&gt;[A-Z0-9_]+)-(?&lt;severity&gt;\d+)-(?&lt;mnemonic&gt;[A-Z0-9_]+):\s+(?&lt;message&gt;.*)"
| stats count as count by host mnemonic
| where count &gt;= 1
| sort - count</x:v>
      </x:c>
      <x:c r="G118" s="48" t="str">
        <x:f>IF(Searches!$A$13&lt;&gt;"Yes","",Searches!$E$13)</x:f>
        <x:v>Layer 2</x:v>
      </x:c>
      <x:c r="H118" s="48" t="str">
        <x:f>IF(Searches!$A$13&lt;&gt;"Yes","",Searches!$N$13)</x:f>
        <x:v>Table</x:v>
      </x:c>
      <x:c r="I118" s="48" t="str">
        <x:f>IF(Searches!$A$13&lt;&gt;"Yes","",Searches!$B$13)</x:f>
        <x:v>S_UDLD</x:v>
      </x:c>
      <x:c r="J118" s="48" t="str">
        <x:f>IF(Searches!$A$13&lt;&gt;"Yes","",Searches!$K$13)</x:f>
        <x:v>Yes</x:v>
      </x:c>
    </x:row>
    <x:row r="119">
      <x:c r="A119" s="48" t="str">
        <x:f>IF(Searches!$A$14&lt;&gt;"Yes","",Searches!$C$14)</x:f>
        <x:v>EtherChannel / LACP / PAgP</x:v>
      </x:c>
      <x:c r="B119" s="48" t="str">
        <x:f>IF(Searches!$A$14&lt;&gt;"Yes","",Searches!$D$14)</x:f>
        <x:v>Panel</x:v>
      </x:c>
      <x:c r="C119" s="48" t="str">
        <x:f>IF(Searches!$A$14&lt;&gt;"Yes","",Searches!$O$14)</x:f>
        <x:v>ds_channel</x:v>
      </x:c>
      <x:c r="D119" s="48" t="str">
        <x:f>IF(Searches!$A$14&lt;&gt;"Yes","",Searches!$P$14)</x:f>
        <x:v>ds_base_l2</x:v>
      </x:c>
      <x:c r="E119" s="48" t="str">
        <x:f>IF(Searches!$A$14&lt;&gt;"Yes","",Searches!$Q$14)</x:f>
        <x:v>| search ("%EC-" OR "%LACP-" OR "%PAGP-")
| rex field=_raw "%(?&lt;facility&gt;[A-Z0-9_]+)-(?&lt;severity&gt;\d+)-(?&lt;mnemonic&gt;[A-Z0-9_]+):\s+(?&lt;message&gt;.*)"
| table _time host facility severity mnemonic message | sort - _time</x:v>
      </x:c>
      <x:c r="F119" s="48" t="str">
        <x:f>IF(Searches!$A$14&lt;&gt;"Yes","",Searches!$R$14)</x:f>
        <x:v>| search ("%EC-" OR "%LACP-" OR "%PAGP-")
| rex field=_raw "%(?&lt;facility&gt;[A-Z0-9_]+)-(?&lt;severity&gt;\d+)-(?&lt;mnemonic&gt;[A-Z0-9_]+):\s+(?&lt;message&gt;.*)"
| stats count as count by host mnemonic
| where count &gt;= 1
| sort - count</x:v>
      </x:c>
      <x:c r="G119" s="48" t="str">
        <x:f>IF(Searches!$A$14&lt;&gt;"Yes","",Searches!$E$14)</x:f>
        <x:v>Layer 2</x:v>
      </x:c>
      <x:c r="H119" s="48" t="str">
        <x:f>IF(Searches!$A$14&lt;&gt;"Yes","",Searches!$N$14)</x:f>
        <x:v>Table</x:v>
      </x:c>
      <x:c r="I119" s="48" t="str">
        <x:f>IF(Searches!$A$14&lt;&gt;"Yes","",Searches!$B$14)</x:f>
        <x:v>S_CHANNEL</x:v>
      </x:c>
      <x:c r="J119" s="48" t="str">
        <x:f>IF(Searches!$A$14&lt;&gt;"Yes","",Searches!$K$14)</x:f>
        <x:v>Yes</x:v>
      </x:c>
    </x:row>
    <x:row r="120">
      <x:c r="A120" s="48" t="str">
        <x:f>IF(Searches!$A$15&lt;&gt;"Yes","",Searches!$C$15)</x:f>
        <x:v>OSPF Adjacency Changes</x:v>
      </x:c>
      <x:c r="B120" s="48" t="str">
        <x:f>IF(Searches!$A$15&lt;&gt;"Yes","",Searches!$D$15)</x:f>
        <x:v>Panel</x:v>
      </x:c>
      <x:c r="C120" s="48" t="str">
        <x:f>IF(Searches!$A$15&lt;&gt;"Yes","",Searches!$O$15)</x:f>
        <x:v>ds_ospf</x:v>
      </x:c>
      <x:c r="D120" s="48" t="str">
        <x:f>IF(Searches!$A$15&lt;&gt;"Yes","",Searches!$P$15)</x:f>
        <x:v>ds_base_l3</x:v>
      </x:c>
      <x:c r="E120" s="48" t="str">
        <x:f>IF(Searches!$A$15&lt;&gt;"Yes","",Searches!$Q$15)</x:f>
        <x:v>| search "%OSPF-5-ADJCHG"
| rex field=_raw "Nbr\s+(?&lt;neighbor&gt;\S+)\s+on\s+(?&lt;interface&gt;\S+)\s+from\s+(?&lt;from_state&gt;\S+)\s+to\s+(?&lt;to_state&gt;\S+)"
| table _time host neighbor interface from_state to_state _raw | sort - _time</x:v>
      </x:c>
      <x:c r="F120" s="48" t="str">
        <x:f>IF(Searches!$A$15&lt;&gt;"Yes","",Searches!$R$15)</x:f>
        <x:v>| search "%OSPF-5-ADJCHG"
| rex field=_raw "Nbr\s+(?&lt;neighbor&gt;\S+)\s+on\s+(?&lt;interface&gt;\S+)\s+from\s+(?&lt;from_state&gt;\S+)\s+to\s+(?&lt;to_state&gt;\S+)"
| stats count as count by host neighbor interface
| where count &gt;= 1
| sort - count</x:v>
      </x:c>
      <x:c r="G120" s="48" t="str">
        <x:f>IF(Searches!$A$15&lt;&gt;"Yes","",Searches!$E$15)</x:f>
        <x:v>Routing</x:v>
      </x:c>
      <x:c r="H120" s="48" t="str">
        <x:f>IF(Searches!$A$15&lt;&gt;"Yes","",Searches!$N$15)</x:f>
        <x:v>Table / Single Value</x:v>
      </x:c>
      <x:c r="I120" s="48" t="str">
        <x:f>IF(Searches!$A$15&lt;&gt;"Yes","",Searches!$B$15)</x:f>
        <x:v>S_OSPF</x:v>
      </x:c>
      <x:c r="J120" s="48" t="str">
        <x:f>IF(Searches!$A$15&lt;&gt;"Yes","",Searches!$K$15)</x:f>
        <x:v>Yes</x:v>
      </x:c>
    </x:row>
    <x:row r="121">
      <x:c r="A121" s="48" t="str">
        <x:f>IF(Searches!$A$16&lt;&gt;"Yes","",Searches!$C$16)</x:f>
        <x:v>BGP Neighbor Events</x:v>
      </x:c>
      <x:c r="B121" s="48" t="str">
        <x:f>IF(Searches!$A$16&lt;&gt;"Yes","",Searches!$D$16)</x:f>
        <x:v>Panel</x:v>
      </x:c>
      <x:c r="C121" s="48" t="str">
        <x:f>IF(Searches!$A$16&lt;&gt;"Yes","",Searches!$O$16)</x:f>
        <x:v>ds_bgp</x:v>
      </x:c>
      <x:c r="D121" s="48" t="str">
        <x:f>IF(Searches!$A$16&lt;&gt;"Yes","",Searches!$P$16)</x:f>
        <x:v>ds_base_l3</x:v>
      </x:c>
      <x:c r="E121" s="48" t="str">
        <x:f>IF(Searches!$A$16&lt;&gt;"Yes","",Searches!$Q$16)</x:f>
        <x:v>| search "%BGP-"
| rex field=_raw "%(?&lt;facility&gt;[A-Z0-9_]+)-(?&lt;severity&gt;\d+)-(?&lt;mnemonic&gt;[A-Z0-9_]+):\s+(?&lt;message&gt;.*)"
| table _time host severity mnemonic message | sort - _time</x:v>
      </x:c>
      <x:c r="F121" s="48" t="str">
        <x:f>IF(Searches!$A$16&lt;&gt;"Yes","",Searches!$R$16)</x:f>
        <x:v>| search "%BGP-"
| rex field=_raw "%(?&lt;facility&gt;[A-Z0-9_]+)-(?&lt;severity&gt;\d+)-(?&lt;mnemonic&gt;[A-Z0-9_]+):\s+(?&lt;message&gt;.*)"
| stats count as count by host mnemonic
| where count &gt;= 1
| sort - count</x:v>
      </x:c>
      <x:c r="G121" s="48" t="str">
        <x:f>IF(Searches!$A$16&lt;&gt;"Yes","",Searches!$E$16)</x:f>
        <x:v>Routing</x:v>
      </x:c>
      <x:c r="H121" s="48" t="str">
        <x:f>IF(Searches!$A$16&lt;&gt;"Yes","",Searches!$N$16)</x:f>
        <x:v>Table</x:v>
      </x:c>
      <x:c r="I121" s="48" t="str">
        <x:f>IF(Searches!$A$16&lt;&gt;"Yes","",Searches!$B$16)</x:f>
        <x:v>S_BGP</x:v>
      </x:c>
      <x:c r="J121" s="48" t="str">
        <x:f>IF(Searches!$A$16&lt;&gt;"Yes","",Searches!$K$16)</x:f>
        <x:v>Yes</x:v>
      </x:c>
    </x:row>
    <x:row r="122">
      <x:c r="A122" s="48" t="str">
        <x:f>IF(Searches!$A$17&lt;&gt;"Yes","",Searches!$C$17)</x:f>
        <x:v>Duplicate IP Address</x:v>
      </x:c>
      <x:c r="B122" s="48" t="str">
        <x:f>IF(Searches!$A$17&lt;&gt;"Yes","",Searches!$D$17)</x:f>
        <x:v>Panel</x:v>
      </x:c>
      <x:c r="C122" s="48" t="str">
        <x:f>IF(Searches!$A$17&lt;&gt;"Yes","",Searches!$O$17)</x:f>
        <x:v>ds_dupip</x:v>
      </x:c>
      <x:c r="D122" s="48" t="str">
        <x:f>IF(Searches!$A$17&lt;&gt;"Yes","",Searches!$P$17)</x:f>
        <x:v>ds_base_l3</x:v>
      </x:c>
      <x:c r="E122" s="48" t="str">
        <x:f>IF(Searches!$A$17&lt;&gt;"Yes","",Searches!$Q$17)</x:f>
        <x:v>| search ("Duplicate address" OR "%IP-4-DUPADDR")
| rex field=_raw "Duplicate address (?&lt;duplicate_ip&gt;\d{1,3}\.\d{1,3}\.\d{1,3}\.\d{1,3}) on (?&lt;interface&gt;[^,]+), sourced by (?&lt;conflicting_mac&gt;[a-fA-F0-9.:-]+)"
| stats count values(conflicting_mac) as conflicting_macs latest(_time) as last_seen by host interface duplicate_ip | eval last_seen=strftime(last_seen,"%Y-%m-%d %H:%M:%S") | sort - count</x:v>
      </x:c>
      <x:c r="F122" s="48" t="str">
        <x:f>IF(Searches!$A$17&lt;&gt;"Yes","",Searches!$R$17)</x:f>
        <x:v>| search ("Duplicate address" OR "%IP-4-DUPADDR")
| rex field=_raw "Duplicate address (?&lt;duplicate_ip&gt;\d{1,3}\.\d{1,3}\.\d{1,3}\.\d{1,3}) on (?&lt;interface&gt;[^,]+), sourced by (?&lt;conflicting_mac&gt;[a-fA-F0-9.:-]+)"
| stats count as count by host interface duplicate_ip
| where count &gt;= 1
| sort - count</x:v>
      </x:c>
      <x:c r="G122" s="48" t="str">
        <x:f>IF(Searches!$A$17&lt;&gt;"Yes","",Searches!$E$17)</x:f>
        <x:v>Routing</x:v>
      </x:c>
      <x:c r="H122" s="48" t="str">
        <x:f>IF(Searches!$A$17&lt;&gt;"Yes","",Searches!$N$17)</x:f>
        <x:v>Table / Single Value</x:v>
      </x:c>
      <x:c r="I122" s="48" t="str">
        <x:f>IF(Searches!$A$17&lt;&gt;"Yes","",Searches!$B$17)</x:f>
        <x:v>S_DUPIP</x:v>
      </x:c>
      <x:c r="J122" s="48" t="str">
        <x:f>IF(Searches!$A$17&lt;&gt;"Yes","",Searches!$K$17)</x:f>
        <x:v>Yes</x:v>
      </x:c>
    </x:row>
    <x:row r="123">
      <x:c r="A123" s="48" t="str">
        <x:f>IF(Searches!$A$18&lt;&gt;"Yes","",Searches!$C$18)</x:f>
        <x:v>Fiber / SFP Threshold Alarms</x:v>
      </x:c>
      <x:c r="B123" s="48" t="str">
        <x:f>IF(Searches!$A$18&lt;&gt;"Yes","",Searches!$D$18)</x:f>
        <x:v>Panel</x:v>
      </x:c>
      <x:c r="C123" s="48" t="str">
        <x:f>IF(Searches!$A$18&lt;&gt;"Yes","",Searches!$O$18)</x:f>
        <x:v>ds_sfp</x:v>
      </x:c>
      <x:c r="D123" s="48" t="str">
        <x:f>IF(Searches!$A$18&lt;&gt;"Yes","",Searches!$P$18)</x:f>
        <x:v>ds_base_physical</x:v>
      </x:c>
      <x:c r="E123" s="48" t="str">
        <x:f>IF(Searches!$A$18&lt;&gt;"Yes","",Searches!$Q$18)</x:f>
        <x:v>| search ("%SFF8472-" OR "THRESHOLD_VIOLATION")
| rex field=_raw "%(?&lt;facility&gt;[A-Z0-9_]+)-(?&lt;severity&gt;\d+)-(?&lt;mnemonic&gt;[A-Z0-9_]+):\s+(?&lt;message&gt;.*)"
| table _time host facility severity mnemonic message | sort - _time</x:v>
      </x:c>
      <x:c r="F123" s="48" t="str">
        <x:f>IF(Searches!$A$18&lt;&gt;"Yes","",Searches!$R$18)</x:f>
        <x:v>| search ("%SFF8472-" OR "THRESHOLD_VIOLATION")
| rex field=_raw "%(?&lt;facility&gt;[A-Z0-9_]+)-(?&lt;severity&gt;\d+)-(?&lt;mnemonic&gt;[A-Z0-9_]+):\s+(?&lt;message&gt;.*)"
| stats count as count by host severity mnemonic
| where count &gt;= 1
| sort - count</x:v>
      </x:c>
      <x:c r="G123" s="48" t="str">
        <x:f>IF(Searches!$A$18&lt;&gt;"Yes","",Searches!$E$18)</x:f>
        <x:v>Physical</x:v>
      </x:c>
      <x:c r="H123" s="48" t="str">
        <x:f>IF(Searches!$A$18&lt;&gt;"Yes","",Searches!$N$18)</x:f>
        <x:v>Table / Single Value</x:v>
      </x:c>
      <x:c r="I123" s="48" t="str">
        <x:f>IF(Searches!$A$18&lt;&gt;"Yes","",Searches!$B$18)</x:f>
        <x:v>S_SFP</x:v>
      </x:c>
      <x:c r="J123" s="48" t="str">
        <x:f>IF(Searches!$A$18&lt;&gt;"Yes","",Searches!$K$18)</x:f>
        <x:v>Yes</x:v>
      </x:c>
    </x:row>
    <x:row r="124">
      <x:c r="A124" s="48" t="str">
        <x:f>IF(Searches!$A$19&lt;&gt;"Yes","",Searches!$C$19)</x:f>
        <x:v>Power / Fan / Environment</x:v>
      </x:c>
      <x:c r="B124" s="48" t="str">
        <x:f>IF(Searches!$A$19&lt;&gt;"Yes","",Searches!$D$19)</x:f>
        <x:v>Panel</x:v>
      </x:c>
      <x:c r="C124" s="48" t="str">
        <x:f>IF(Searches!$A$19&lt;&gt;"Yes","",Searches!$O$19)</x:f>
        <x:v>ds_environment</x:v>
      </x:c>
      <x:c r="D124" s="48" t="str">
        <x:f>IF(Searches!$A$19&lt;&gt;"Yes","",Searches!$P$19)</x:f>
        <x:v>ds_base_physical</x:v>
      </x:c>
      <x:c r="E124" s="48" t="str">
        <x:f>IF(Searches!$A$19&lt;&gt;"Yes","",Searches!$Q$19)</x:f>
        <x:v>| search ("%PLATFORM_ENV-" OR "%ENVIRONMENT-" OR "%FAN-" OR "%POWER-")
| rex field=_raw "%(?&lt;facility&gt;[A-Z0-9_]+)-(?&lt;severity&gt;\d+)-(?&lt;mnemonic&gt;[A-Z0-9_]+):\s+(?&lt;message&gt;.*)"
| table _time host facility severity mnemonic message | sort - _time</x:v>
      </x:c>
      <x:c r="F124" s="48" t="str">
        <x:f>IF(Searches!$A$19&lt;&gt;"Yes","",Searches!$R$19)</x:f>
        <x:v>| search ("%PLATFORM_ENV-" OR "%ENVIRONMENT-" OR "%FAN-" OR "%POWER-")
| rex field=_raw "%(?&lt;facility&gt;[A-Z0-9_]+)-(?&lt;severity&gt;\d+)-(?&lt;mnemonic&gt;[A-Z0-9_]+):\s+(?&lt;message&gt;.*)"
| stats count as count by host mnemonic
| where count &gt;= 1
| sort - count</x:v>
      </x:c>
      <x:c r="G124" s="48" t="str">
        <x:f>IF(Searches!$A$19&lt;&gt;"Yes","",Searches!$E$19)</x:f>
        <x:v>Physical</x:v>
      </x:c>
      <x:c r="H124" s="48" t="str">
        <x:f>IF(Searches!$A$19&lt;&gt;"Yes","",Searches!$N$19)</x:f>
        <x:v>Table</x:v>
      </x:c>
      <x:c r="I124" s="48" t="str">
        <x:f>IF(Searches!$A$19&lt;&gt;"Yes","",Searches!$B$19)</x:f>
        <x:v>S_ENV</x:v>
      </x:c>
      <x:c r="J124" s="48" t="str">
        <x:f>IF(Searches!$A$19&lt;&gt;"Yes","",Searches!$K$19)</x:f>
        <x:v>Yes</x:v>
      </x:c>
    </x:row>
    <x:row r="125">
      <x:c r="A125" s="48" t="str">
        <x:f>IF(Searches!$A$20&lt;&gt;"Yes","",Searches!$C$20)</x:f>
        <x:v>Stack / StackWise Events</x:v>
      </x:c>
      <x:c r="B125" s="48" t="str">
        <x:f>IF(Searches!$A$20&lt;&gt;"Yes","",Searches!$D$20)</x:f>
        <x:v>Panel</x:v>
      </x:c>
      <x:c r="C125" s="48" t="str">
        <x:f>IF(Searches!$A$20&lt;&gt;"Yes","",Searches!$O$20)</x:f>
        <x:v>ds_stack</x:v>
      </x:c>
      <x:c r="D125" s="48" t="str">
        <x:f>IF(Searches!$A$20&lt;&gt;"Yes","",Searches!$P$20)</x:f>
        <x:v>ds_base_physical</x:v>
      </x:c>
      <x:c r="E125" s="48" t="str">
        <x:f>IF(Searches!$A$20&lt;&gt;"Yes","",Searches!$Q$20)</x:f>
        <x:v>| search ("%STACKMGR-" OR "%STACKWISE-")
| rex field=_raw "%(?&lt;facility&gt;[A-Z0-9_]+)-(?&lt;severity&gt;\d+)-(?&lt;mnemonic&gt;[A-Z0-9_]+):\s+(?&lt;message&gt;.*)"
| table _time host facility severity mnemonic message | sort - _time</x:v>
      </x:c>
      <x:c r="F125" s="48" t="str">
        <x:f>IF(Searches!$A$20&lt;&gt;"Yes","",Searches!$R$20)</x:f>
        <x:v>| search ("%STACKMGR-" OR "%STACKWISE-")
| rex field=_raw "%(?&lt;facility&gt;[A-Z0-9_]+)-(?&lt;severity&gt;\d+)-(?&lt;mnemonic&gt;[A-Z0-9_]+):\s+(?&lt;message&gt;.*)"
| stats count as count by host mnemonic
| where count &gt;= 1
| sort - count</x:v>
      </x:c>
      <x:c r="G125" s="48" t="str">
        <x:f>IF(Searches!$A$20&lt;&gt;"Yes","",Searches!$E$20)</x:f>
        <x:v>Physical</x:v>
      </x:c>
      <x:c r="H125" s="48" t="str">
        <x:f>IF(Searches!$A$20&lt;&gt;"Yes","",Searches!$N$20)</x:f>
        <x:v>Table</x:v>
      </x:c>
      <x:c r="I125" s="48" t="str">
        <x:f>IF(Searches!$A$20&lt;&gt;"Yes","",Searches!$B$20)</x:f>
        <x:v>S_STACK</x:v>
      </x:c>
      <x:c r="J125" s="48" t="str">
        <x:f>IF(Searches!$A$20&lt;&gt;"Yes","",Searches!$K$20)</x:f>
        <x:v>Yes</x:v>
      </x:c>
    </x:row>
    <x:row r="126">
      <x:c r="A126" s="48" t="str">
        <x:f>IF(Searches!$A$21&lt;&gt;"Yes","",Searches!$C$21)</x:f>
        <x:v>802.1X / MAB Failures</x:v>
      </x:c>
      <x:c r="B126" s="48" t="str">
        <x:f>IF(Searches!$A$21&lt;&gt;"Yes","",Searches!$D$21)</x:f>
        <x:v>Panel</x:v>
      </x:c>
      <x:c r="C126" s="48" t="str">
        <x:f>IF(Searches!$A$21&lt;&gt;"Yes","",Searches!$O$21)</x:f>
        <x:v>ds_authfail</x:v>
      </x:c>
      <x:c r="D126" s="48" t="str">
        <x:f>IF(Searches!$A$21&lt;&gt;"Yes","",Searches!$P$21)</x:f>
        <x:v>ds_base_access</x:v>
      </x:c>
      <x:c r="E126" s="48" t="str">
        <x:f>IF(Searches!$A$21&lt;&gt;"Yes","",Searches!$Q$21)</x:f>
        <x:v>| search ("%DOT1X-5-FAIL" OR "%MAB-5-FAIL" OR "%SESSION_MGR-5-FAIL" OR "%AUTHMGR-")
| rex field=_raw "%(?&lt;facility&gt;[A-Z0-9_]+)-(?&lt;severity&gt;\d+)-(?&lt;mnemonic&gt;[A-Z0-9_]+):\s+(?&lt;message&gt;.*)"
| table _time host facility severity mnemonic message | sort - _time</x:v>
      </x:c>
      <x:c r="F126" s="48" t="str">
        <x:f>IF(Searches!$A$21&lt;&gt;"Yes","",Searches!$R$21)</x:f>
        <x:v>| search ("%DOT1X-5-FAIL" OR "%MAB-5-FAIL" OR "%SESSION_MGR-5-FAIL" OR "%AUTHMGR-")
| rex field=_raw "%(?&lt;facility&gt;[A-Z0-9_]+)-(?&lt;severity&gt;\d+)-(?&lt;mnemonic&gt;[A-Z0-9_]+):\s+(?&lt;message&gt;.*)"
| stats count as count by host mnemonic
| where count &gt;= 1
| sort - count</x:v>
      </x:c>
      <x:c r="G126" s="48" t="str">
        <x:f>IF(Searches!$A$21&lt;&gt;"Yes","",Searches!$E$21)</x:f>
        <x:v>Access</x:v>
      </x:c>
      <x:c r="H126" s="48" t="str">
        <x:f>IF(Searches!$A$21&lt;&gt;"Yes","",Searches!$N$21)</x:f>
        <x:v>Table / Single Value</x:v>
      </x:c>
      <x:c r="I126" s="48" t="str">
        <x:f>IF(Searches!$A$21&lt;&gt;"Yes","",Searches!$B$21)</x:f>
        <x:v>S_AUTHFAIL</x:v>
      </x:c>
      <x:c r="J126" s="48" t="str">
        <x:f>IF(Searches!$A$21&lt;&gt;"Yes","",Searches!$K$21)</x:f>
        <x:v>Yes</x:v>
      </x:c>
    </x:row>
    <x:row r="127">
      <x:c r="A127" s="48" t="str">
        <x:f>IF(Searches!$A$22&lt;&gt;"Yes","",Searches!$C$22)</x:f>
        <x:v>PoE / Inline Power</x:v>
      </x:c>
      <x:c r="B127" s="48" t="str">
        <x:f>IF(Searches!$A$22&lt;&gt;"Yes","",Searches!$D$22)</x:f>
        <x:v>Panel</x:v>
      </x:c>
      <x:c r="C127" s="48" t="str">
        <x:f>IF(Searches!$A$22&lt;&gt;"Yes","",Searches!$O$22)</x:f>
        <x:v>ds_poe</x:v>
      </x:c>
      <x:c r="D127" s="48" t="str">
        <x:f>IF(Searches!$A$22&lt;&gt;"Yes","",Searches!$P$22)</x:f>
        <x:v>ds_base_access</x:v>
      </x:c>
      <x:c r="E127" s="48" t="str">
        <x:f>IF(Searches!$A$22&lt;&gt;"Yes","",Searches!$Q$22)</x:f>
        <x:v>| search "%ILPOWER-"
| rex field=_raw "%(?&lt;facility&gt;[A-Z0-9_]+)-(?&lt;severity&gt;\d+)-(?&lt;mnemonic&gt;[A-Z0-9_]+):\s+(?&lt;message&gt;.*)"
| table _time host facility severity mnemonic message | sort - _time</x:v>
      </x:c>
      <x:c r="F127" s="48" t="str">
        <x:f>IF(Searches!$A$22&lt;&gt;"Yes","",Searches!$R$22)</x:f>
        <x:v>| search "%ILPOWER-"
| rex field=_raw "%(?&lt;facility&gt;[A-Z0-9_]+)-(?&lt;severity&gt;\d+)-(?&lt;mnemonic&gt;[A-Z0-9_]+):\s+(?&lt;message&gt;.*)"
| stats count as count by host mnemonic
| where count &gt;= 1
| sort - count</x:v>
      </x:c>
      <x:c r="G127" s="48" t="str">
        <x:f>IF(Searches!$A$22&lt;&gt;"Yes","",Searches!$E$22)</x:f>
        <x:v>Access</x:v>
      </x:c>
      <x:c r="H127" s="48" t="str">
        <x:f>IF(Searches!$A$22&lt;&gt;"Yes","",Searches!$N$22)</x:f>
        <x:v>Table</x:v>
      </x:c>
      <x:c r="I127" s="48" t="str">
        <x:f>IF(Searches!$A$22&lt;&gt;"Yes","",Searches!$B$22)</x:f>
        <x:v>S_POE</x:v>
      </x:c>
      <x:c r="J127" s="48" t="str">
        <x:f>IF(Searches!$A$22&lt;&gt;"Yes","",Searches!$K$22)</x:f>
        <x:v>Yes</x:v>
      </x:c>
    </x:row>
    <x:row r="128">
      <x:c r="A128" s="48" t="str">
        <x:f>IF(Searches!$A$23&lt;&gt;"Yes","",Searches!$C$23)</x:f>
        <x:v>Configuration Changes</x:v>
      </x:c>
      <x:c r="B128" s="48" t="str">
        <x:f>IF(Searches!$A$23&lt;&gt;"Yes","",Searches!$D$23)</x:f>
        <x:v>Panel</x:v>
      </x:c>
      <x:c r="C128" s="48" t="str">
        <x:f>IF(Searches!$A$23&lt;&gt;"Yes","",Searches!$O$23)</x:f>
        <x:v>ds_config</x:v>
      </x:c>
      <x:c r="D128" s="48" t="str">
        <x:f>IF(Searches!$A$23&lt;&gt;"Yes","",Searches!$P$23)</x:f>
        <x:v>ds_base_operations</x:v>
      </x:c>
      <x:c r="E128" s="48" t="str">
        <x:f>IF(Searches!$A$23&lt;&gt;"Yes","",Searches!$Q$23)</x:f>
        <x:v>| search "%SYS-5-CONFIG_I"
| stats count latest(_time) as last_seen values(_raw) as change_messages by host | eval last_seen=strftime(last_seen,"%Y-%m-%d %H:%M:%S") | sort - last_seen</x:v>
      </x:c>
      <x:c r="F128" s="48" t="str">
        <x:f>IF(Searches!$A$23&lt;&gt;"Yes","",Searches!$R$23)</x:f>
        <x:v>| search "%SYS-5-CONFIG_I"
| stats count as count by host
| where count &gt;= 1
| sort - count</x:v>
      </x:c>
      <x:c r="G128" s="48" t="str">
        <x:f>IF(Searches!$A$23&lt;&gt;"Yes","",Searches!$E$23)</x:f>
        <x:v>Operations</x:v>
      </x:c>
      <x:c r="H128" s="48" t="str">
        <x:f>IF(Searches!$A$23&lt;&gt;"Yes","",Searches!$N$23)</x:f>
        <x:v>Table / Single Value</x:v>
      </x:c>
      <x:c r="I128" s="48" t="str">
        <x:f>IF(Searches!$A$23&lt;&gt;"Yes","",Searches!$B$23)</x:f>
        <x:v>S_CONFIG</x:v>
      </x:c>
      <x:c r="J128" s="48" t="str">
        <x:f>IF(Searches!$A$23&lt;&gt;"Yes","",Searches!$K$23)</x:f>
        <x:v>Yes</x:v>
      </x:c>
    </x:row>
    <x:row r="129">
      <x:c r="A129" s="48" t="str">
        <x:f>IF(Searches!$A$24&lt;&gt;"Yes","",Searches!$C$24)</x:f>
        <x:v>Device Reload / Restart</x:v>
      </x:c>
      <x:c r="B129" s="48" t="str">
        <x:f>IF(Searches!$A$24&lt;&gt;"Yes","",Searches!$D$24)</x:f>
        <x:v>Panel</x:v>
      </x:c>
      <x:c r="C129" s="48" t="str">
        <x:f>IF(Searches!$A$24&lt;&gt;"Yes","",Searches!$O$24)</x:f>
        <x:v>ds_reload</x:v>
      </x:c>
      <x:c r="D129" s="48" t="str">
        <x:f>IF(Searches!$A$24&lt;&gt;"Yes","",Searches!$P$24)</x:f>
        <x:v>ds_base_operations</x:v>
      </x:c>
      <x:c r="E129" s="48" t="str">
        <x:f>IF(Searches!$A$24&lt;&gt;"Yes","",Searches!$Q$24)</x:f>
        <x:v>| search ("%SYS-5-RELOAD" OR "%SYS-5-RESTART")
| stats count latest(_time) as last_seen values(_raw) as sample by host | eval last_seen=strftime(last_seen,"%Y-%m-%d %H:%M:%S") | sort - last_seen</x:v>
      </x:c>
      <x:c r="F129" s="48" t="str">
        <x:f>IF(Searches!$A$24&lt;&gt;"Yes","",Searches!$R$24)</x:f>
        <x:v>| search ("%SYS-5-RELOAD" OR "%SYS-5-RESTART")
| stats count as count by host
| where count &gt;= 1
| sort - count</x:v>
      </x:c>
      <x:c r="G129" s="48" t="str">
        <x:f>IF(Searches!$A$24&lt;&gt;"Yes","",Searches!$E$24)</x:f>
        <x:v>Operations</x:v>
      </x:c>
      <x:c r="H129" s="48" t="str">
        <x:f>IF(Searches!$A$24&lt;&gt;"Yes","",Searches!$N$24)</x:f>
        <x:v>Table / Single Value</x:v>
      </x:c>
      <x:c r="I129" s="48" t="str">
        <x:f>IF(Searches!$A$24&lt;&gt;"Yes","",Searches!$B$24)</x:f>
        <x:v>S_RELOAD</x:v>
      </x:c>
      <x:c r="J129" s="48" t="str">
        <x:f>IF(Searches!$A$24&lt;&gt;"Yes","",Searches!$K$24)</x:f>
        <x:v>Yes</x:v>
      </x:c>
    </x:row>
    <x:row r="130">
      <x:c r="A130" s="48" t="str">
        <x:f>IF(Searches!$A$25&lt;&gt;"Yes","",Searches!$C$25)</x:f>
      </x:c>
      <x:c r="B130" s="48" t="str">
        <x:f>IF(Searches!$A$25&lt;&gt;"Yes","",Searches!$D$25)</x:f>
      </x:c>
      <x:c r="C130" s="48" t="str">
        <x:f>IF(Searches!$A$25&lt;&gt;"Yes","",Searches!$O$25)</x:f>
      </x:c>
      <x:c r="D130" s="48" t="str">
        <x:f>IF(Searches!$A$25&lt;&gt;"Yes","",Searches!$P$25)</x:f>
      </x:c>
      <x:c r="E130" s="48" t="str">
        <x:f>IF(Searches!$A$25&lt;&gt;"Yes","",Searches!$Q$25)</x:f>
      </x:c>
      <x:c r="F130" s="48" t="str">
        <x:f>IF(Searches!$A$25&lt;&gt;"Yes","",Searches!$R$25)</x:f>
      </x:c>
      <x:c r="G130" s="48" t="str">
        <x:f>IF(Searches!$A$25&lt;&gt;"Yes","",Searches!$E$25)</x:f>
      </x:c>
      <x:c r="H130" s="48" t="str">
        <x:f>IF(Searches!$A$25&lt;&gt;"Yes","",Searches!$N$25)</x:f>
      </x:c>
      <x:c r="I130" s="48" t="str">
        <x:f>IF(Searches!$A$25&lt;&gt;"Yes","",Searches!$B$25)</x:f>
      </x:c>
      <x:c r="J130" s="48" t="str">
        <x:f>IF(Searches!$A$25&lt;&gt;"Yes","",Searches!$K$25)</x:f>
      </x:c>
    </x:row>
    <x:row r="131">
      <x:c r="A131" s="48" t="str">
        <x:f>IF(Searches!$A$26&lt;&gt;"Yes","",Searches!$C$26)</x:f>
      </x:c>
      <x:c r="B131" s="48" t="str">
        <x:f>IF(Searches!$A$26&lt;&gt;"Yes","",Searches!$D$26)</x:f>
      </x:c>
      <x:c r="C131" s="48" t="str">
        <x:f>IF(Searches!$A$26&lt;&gt;"Yes","",Searches!$O$26)</x:f>
      </x:c>
      <x:c r="D131" s="48" t="str">
        <x:f>IF(Searches!$A$26&lt;&gt;"Yes","",Searches!$P$26)</x:f>
      </x:c>
      <x:c r="E131" s="48" t="str">
        <x:f>IF(Searches!$A$26&lt;&gt;"Yes","",Searches!$Q$26)</x:f>
      </x:c>
      <x:c r="F131" s="48" t="str">
        <x:f>IF(Searches!$A$26&lt;&gt;"Yes","",Searches!$R$26)</x:f>
      </x:c>
      <x:c r="G131" s="48" t="str">
        <x:f>IF(Searches!$A$26&lt;&gt;"Yes","",Searches!$E$26)</x:f>
      </x:c>
      <x:c r="H131" s="48" t="str">
        <x:f>IF(Searches!$A$26&lt;&gt;"Yes","",Searches!$N$26)</x:f>
      </x:c>
      <x:c r="I131" s="48" t="str">
        <x:f>IF(Searches!$A$26&lt;&gt;"Yes","",Searches!$B$26)</x:f>
      </x:c>
      <x:c r="J131" s="48" t="str">
        <x:f>IF(Searches!$A$26&lt;&gt;"Yes","",Searches!$K$26)</x:f>
      </x:c>
    </x:row>
    <x:row r="132">
      <x:c r="A132" s="48" t="str">
        <x:f>IF(Searches!$A$27&lt;&gt;"Yes","",Searches!$C$27)</x:f>
      </x:c>
      <x:c r="B132" s="48" t="str">
        <x:f>IF(Searches!$A$27&lt;&gt;"Yes","",Searches!$D$27)</x:f>
      </x:c>
      <x:c r="C132" s="48" t="str">
        <x:f>IF(Searches!$A$27&lt;&gt;"Yes","",Searches!$O$27)</x:f>
      </x:c>
      <x:c r="D132" s="48" t="str">
        <x:f>IF(Searches!$A$27&lt;&gt;"Yes","",Searches!$P$27)</x:f>
      </x:c>
      <x:c r="E132" s="48" t="str">
        <x:f>IF(Searches!$A$27&lt;&gt;"Yes","",Searches!$Q$27)</x:f>
      </x:c>
      <x:c r="F132" s="48" t="str">
        <x:f>IF(Searches!$A$27&lt;&gt;"Yes","",Searches!$R$27)</x:f>
      </x:c>
      <x:c r="G132" s="48" t="str">
        <x:f>IF(Searches!$A$27&lt;&gt;"Yes","",Searches!$E$27)</x:f>
      </x:c>
      <x:c r="H132" s="48" t="str">
        <x:f>IF(Searches!$A$27&lt;&gt;"Yes","",Searches!$N$27)</x:f>
      </x:c>
      <x:c r="I132" s="48" t="str">
        <x:f>IF(Searches!$A$27&lt;&gt;"Yes","",Searches!$B$27)</x:f>
      </x:c>
      <x:c r="J132" s="48" t="str">
        <x:f>IF(Searches!$A$27&lt;&gt;"Yes","",Searches!$K$27)</x:f>
      </x:c>
    </x:row>
    <x:row r="133">
      <x:c r="A133" s="48" t="str">
        <x:f>IF(Searches!$A$28&lt;&gt;"Yes","",Searches!$C$28)</x:f>
      </x:c>
      <x:c r="B133" s="48" t="str">
        <x:f>IF(Searches!$A$28&lt;&gt;"Yes","",Searches!$D$28)</x:f>
      </x:c>
      <x:c r="C133" s="48" t="str">
        <x:f>IF(Searches!$A$28&lt;&gt;"Yes","",Searches!$O$28)</x:f>
      </x:c>
      <x:c r="D133" s="48" t="str">
        <x:f>IF(Searches!$A$28&lt;&gt;"Yes","",Searches!$P$28)</x:f>
      </x:c>
      <x:c r="E133" s="48" t="str">
        <x:f>IF(Searches!$A$28&lt;&gt;"Yes","",Searches!$Q$28)</x:f>
      </x:c>
      <x:c r="F133" s="48" t="str">
        <x:f>IF(Searches!$A$28&lt;&gt;"Yes","",Searches!$R$28)</x:f>
      </x:c>
      <x:c r="G133" s="48" t="str">
        <x:f>IF(Searches!$A$28&lt;&gt;"Yes","",Searches!$E$28)</x:f>
      </x:c>
      <x:c r="H133" s="48" t="str">
        <x:f>IF(Searches!$A$28&lt;&gt;"Yes","",Searches!$N$28)</x:f>
      </x:c>
      <x:c r="I133" s="48" t="str">
        <x:f>IF(Searches!$A$28&lt;&gt;"Yes","",Searches!$B$28)</x:f>
      </x:c>
      <x:c r="J133" s="48" t="str">
        <x:f>IF(Searches!$A$28&lt;&gt;"Yes","",Searches!$K$28)</x:f>
      </x:c>
    </x:row>
    <x:row r="134">
      <x:c r="A134" s="48" t="str">
        <x:f>IF(Searches!$A$29&lt;&gt;"Yes","",Searches!$C$29)</x:f>
      </x:c>
      <x:c r="B134" s="48" t="str">
        <x:f>IF(Searches!$A$29&lt;&gt;"Yes","",Searches!$D$29)</x:f>
      </x:c>
      <x:c r="C134" s="48" t="str">
        <x:f>IF(Searches!$A$29&lt;&gt;"Yes","",Searches!$O$29)</x:f>
      </x:c>
      <x:c r="D134" s="48" t="str">
        <x:f>IF(Searches!$A$29&lt;&gt;"Yes","",Searches!$P$29)</x:f>
      </x:c>
      <x:c r="E134" s="48" t="str">
        <x:f>IF(Searches!$A$29&lt;&gt;"Yes","",Searches!$Q$29)</x:f>
      </x:c>
      <x:c r="F134" s="48" t="str">
        <x:f>IF(Searches!$A$29&lt;&gt;"Yes","",Searches!$R$29)</x:f>
      </x:c>
      <x:c r="G134" s="48" t="str">
        <x:f>IF(Searches!$A$29&lt;&gt;"Yes","",Searches!$E$29)</x:f>
      </x:c>
      <x:c r="H134" s="48" t="str">
        <x:f>IF(Searches!$A$29&lt;&gt;"Yes","",Searches!$N$29)</x:f>
      </x:c>
      <x:c r="I134" s="48" t="str">
        <x:f>IF(Searches!$A$29&lt;&gt;"Yes","",Searches!$B$29)</x:f>
      </x:c>
      <x:c r="J134" s="48" t="str">
        <x:f>IF(Searches!$A$29&lt;&gt;"Yes","",Searches!$K$29)</x:f>
      </x:c>
    </x:row>
    <x:row r="135">
      <x:c r="A135" s="48" t="str">
        <x:f>IF(Searches!$A$30&lt;&gt;"Yes","",Searches!$C$30)</x:f>
      </x:c>
      <x:c r="B135" s="48" t="str">
        <x:f>IF(Searches!$A$30&lt;&gt;"Yes","",Searches!$D$30)</x:f>
      </x:c>
      <x:c r="C135" s="48" t="str">
        <x:f>IF(Searches!$A$30&lt;&gt;"Yes","",Searches!$O$30)</x:f>
      </x:c>
      <x:c r="D135" s="48" t="str">
        <x:f>IF(Searches!$A$30&lt;&gt;"Yes","",Searches!$P$30)</x:f>
      </x:c>
      <x:c r="E135" s="48" t="str">
        <x:f>IF(Searches!$A$30&lt;&gt;"Yes","",Searches!$Q$30)</x:f>
      </x:c>
      <x:c r="F135" s="48" t="str">
        <x:f>IF(Searches!$A$30&lt;&gt;"Yes","",Searches!$R$30)</x:f>
      </x:c>
      <x:c r="G135" s="48" t="str">
        <x:f>IF(Searches!$A$30&lt;&gt;"Yes","",Searches!$E$30)</x:f>
      </x:c>
      <x:c r="H135" s="48" t="str">
        <x:f>IF(Searches!$A$30&lt;&gt;"Yes","",Searches!$N$30)</x:f>
      </x:c>
      <x:c r="I135" s="48" t="str">
        <x:f>IF(Searches!$A$30&lt;&gt;"Yes","",Searches!$B$30)</x:f>
      </x:c>
      <x:c r="J135" s="48" t="str">
        <x:f>IF(Searches!$A$30&lt;&gt;"Yes","",Searches!$K$30)</x:f>
      </x:c>
    </x:row>
    <x:row r="136">
      <x:c r="A136" s="48" t="str">
        <x:f>IF(Searches!$A$31&lt;&gt;"Yes","",Searches!$C$31)</x:f>
      </x:c>
      <x:c r="B136" s="48" t="str">
        <x:f>IF(Searches!$A$31&lt;&gt;"Yes","",Searches!$D$31)</x:f>
      </x:c>
      <x:c r="C136" s="48" t="str">
        <x:f>IF(Searches!$A$31&lt;&gt;"Yes","",Searches!$O$31)</x:f>
      </x:c>
      <x:c r="D136" s="48" t="str">
        <x:f>IF(Searches!$A$31&lt;&gt;"Yes","",Searches!$P$31)</x:f>
      </x:c>
      <x:c r="E136" s="48" t="str">
        <x:f>IF(Searches!$A$31&lt;&gt;"Yes","",Searches!$Q$31)</x:f>
      </x:c>
      <x:c r="F136" s="48" t="str">
        <x:f>IF(Searches!$A$31&lt;&gt;"Yes","",Searches!$R$31)</x:f>
      </x:c>
      <x:c r="G136" s="48" t="str">
        <x:f>IF(Searches!$A$31&lt;&gt;"Yes","",Searches!$E$31)</x:f>
      </x:c>
      <x:c r="H136" s="48" t="str">
        <x:f>IF(Searches!$A$31&lt;&gt;"Yes","",Searches!$N$31)</x:f>
      </x:c>
      <x:c r="I136" s="48" t="str">
        <x:f>IF(Searches!$A$31&lt;&gt;"Yes","",Searches!$B$31)</x:f>
      </x:c>
      <x:c r="J136" s="48" t="str">
        <x:f>IF(Searches!$A$31&lt;&gt;"Yes","",Searches!$K$31)</x:f>
      </x:c>
    </x:row>
    <x:row r="137">
      <x:c r="A137" s="48" t="str">
        <x:f>IF(Searches!$A$32&lt;&gt;"Yes","",Searches!$C$32)</x:f>
      </x:c>
      <x:c r="B137" s="48" t="str">
        <x:f>IF(Searches!$A$32&lt;&gt;"Yes","",Searches!$D$32)</x:f>
      </x:c>
      <x:c r="C137" s="48" t="str">
        <x:f>IF(Searches!$A$32&lt;&gt;"Yes","",Searches!$O$32)</x:f>
      </x:c>
      <x:c r="D137" s="48" t="str">
        <x:f>IF(Searches!$A$32&lt;&gt;"Yes","",Searches!$P$32)</x:f>
      </x:c>
      <x:c r="E137" s="48" t="str">
        <x:f>IF(Searches!$A$32&lt;&gt;"Yes","",Searches!$Q$32)</x:f>
      </x:c>
      <x:c r="F137" s="48" t="str">
        <x:f>IF(Searches!$A$32&lt;&gt;"Yes","",Searches!$R$32)</x:f>
      </x:c>
      <x:c r="G137" s="48" t="str">
        <x:f>IF(Searches!$A$32&lt;&gt;"Yes","",Searches!$E$32)</x:f>
      </x:c>
      <x:c r="H137" s="48" t="str">
        <x:f>IF(Searches!$A$32&lt;&gt;"Yes","",Searches!$N$32)</x:f>
      </x:c>
      <x:c r="I137" s="48" t="str">
        <x:f>IF(Searches!$A$32&lt;&gt;"Yes","",Searches!$B$32)</x:f>
      </x:c>
      <x:c r="J137" s="48" t="str">
        <x:f>IF(Searches!$A$32&lt;&gt;"Yes","",Searches!$K$32)</x:f>
      </x:c>
    </x:row>
    <x:row r="138">
      <x:c r="A138" s="48" t="str">
        <x:f>IF(Searches!$A$33&lt;&gt;"Yes","",Searches!$C$33)</x:f>
      </x:c>
      <x:c r="B138" s="48" t="str">
        <x:f>IF(Searches!$A$33&lt;&gt;"Yes","",Searches!$D$33)</x:f>
      </x:c>
      <x:c r="C138" s="48" t="str">
        <x:f>IF(Searches!$A$33&lt;&gt;"Yes","",Searches!$O$33)</x:f>
      </x:c>
      <x:c r="D138" s="48" t="str">
        <x:f>IF(Searches!$A$33&lt;&gt;"Yes","",Searches!$P$33)</x:f>
      </x:c>
      <x:c r="E138" s="48" t="str">
        <x:f>IF(Searches!$A$33&lt;&gt;"Yes","",Searches!$Q$33)</x:f>
      </x:c>
      <x:c r="F138" s="48" t="str">
        <x:f>IF(Searches!$A$33&lt;&gt;"Yes","",Searches!$R$33)</x:f>
      </x:c>
      <x:c r="G138" s="48" t="str">
        <x:f>IF(Searches!$A$33&lt;&gt;"Yes","",Searches!$E$33)</x:f>
      </x:c>
      <x:c r="H138" s="48" t="str">
        <x:f>IF(Searches!$A$33&lt;&gt;"Yes","",Searches!$N$33)</x:f>
      </x:c>
      <x:c r="I138" s="48" t="str">
        <x:f>IF(Searches!$A$33&lt;&gt;"Yes","",Searches!$B$33)</x:f>
      </x:c>
      <x:c r="J138" s="48" t="str">
        <x:f>IF(Searches!$A$33&lt;&gt;"Yes","",Searches!$K$33)</x:f>
      </x:c>
    </x:row>
    <x:row r="139">
      <x:c r="A139" s="48" t="str">
        <x:f>IF(Searches!$A$34&lt;&gt;"Yes","",Searches!$C$34)</x:f>
      </x:c>
      <x:c r="B139" s="48" t="str">
        <x:f>IF(Searches!$A$34&lt;&gt;"Yes","",Searches!$D$34)</x:f>
      </x:c>
      <x:c r="C139" s="48" t="str">
        <x:f>IF(Searches!$A$34&lt;&gt;"Yes","",Searches!$O$34)</x:f>
      </x:c>
      <x:c r="D139" s="48" t="str">
        <x:f>IF(Searches!$A$34&lt;&gt;"Yes","",Searches!$P$34)</x:f>
      </x:c>
      <x:c r="E139" s="48" t="str">
        <x:f>IF(Searches!$A$34&lt;&gt;"Yes","",Searches!$Q$34)</x:f>
      </x:c>
      <x:c r="F139" s="48" t="str">
        <x:f>IF(Searches!$A$34&lt;&gt;"Yes","",Searches!$R$34)</x:f>
      </x:c>
      <x:c r="G139" s="48" t="str">
        <x:f>IF(Searches!$A$34&lt;&gt;"Yes","",Searches!$E$34)</x:f>
      </x:c>
      <x:c r="H139" s="48" t="str">
        <x:f>IF(Searches!$A$34&lt;&gt;"Yes","",Searches!$N$34)</x:f>
      </x:c>
      <x:c r="I139" s="48" t="str">
        <x:f>IF(Searches!$A$34&lt;&gt;"Yes","",Searches!$B$34)</x:f>
      </x:c>
      <x:c r="J139" s="48" t="str">
        <x:f>IF(Searches!$A$34&lt;&gt;"Yes","",Searches!$K$34)</x:f>
      </x:c>
    </x:row>
    <x:row r="140">
      <x:c r="A140" s="48" t="str">
        <x:f>IF(Searches!$A$35&lt;&gt;"Yes","",Searches!$C$35)</x:f>
      </x:c>
      <x:c r="B140" s="48" t="str">
        <x:f>IF(Searches!$A$35&lt;&gt;"Yes","",Searches!$D$35)</x:f>
      </x:c>
      <x:c r="C140" s="48" t="str">
        <x:f>IF(Searches!$A$35&lt;&gt;"Yes","",Searches!$O$35)</x:f>
      </x:c>
      <x:c r="D140" s="48" t="str">
        <x:f>IF(Searches!$A$35&lt;&gt;"Yes","",Searches!$P$35)</x:f>
      </x:c>
      <x:c r="E140" s="48" t="str">
        <x:f>IF(Searches!$A$35&lt;&gt;"Yes","",Searches!$Q$35)</x:f>
      </x:c>
      <x:c r="F140" s="48" t="str">
        <x:f>IF(Searches!$A$35&lt;&gt;"Yes","",Searches!$R$35)</x:f>
      </x:c>
      <x:c r="G140" s="48" t="str">
        <x:f>IF(Searches!$A$35&lt;&gt;"Yes","",Searches!$E$35)</x:f>
      </x:c>
      <x:c r="H140" s="48" t="str">
        <x:f>IF(Searches!$A$35&lt;&gt;"Yes","",Searches!$N$35)</x:f>
      </x:c>
      <x:c r="I140" s="48" t="str">
        <x:f>IF(Searches!$A$35&lt;&gt;"Yes","",Searches!$B$35)</x:f>
      </x:c>
      <x:c r="J140" s="48" t="str">
        <x:f>IF(Searches!$A$35&lt;&gt;"Yes","",Searches!$K$35)</x:f>
      </x:c>
    </x:row>
    <x:row r="141">
      <x:c r="A141" s="48" t="str">
        <x:f>IF(Searches!$A$36&lt;&gt;"Yes","",Searches!$C$36)</x:f>
      </x:c>
      <x:c r="B141" s="48" t="str">
        <x:f>IF(Searches!$A$36&lt;&gt;"Yes","",Searches!$D$36)</x:f>
      </x:c>
      <x:c r="C141" s="48" t="str">
        <x:f>IF(Searches!$A$36&lt;&gt;"Yes","",Searches!$O$36)</x:f>
      </x:c>
      <x:c r="D141" s="48" t="str">
        <x:f>IF(Searches!$A$36&lt;&gt;"Yes","",Searches!$P$36)</x:f>
      </x:c>
      <x:c r="E141" s="48" t="str">
        <x:f>IF(Searches!$A$36&lt;&gt;"Yes","",Searches!$Q$36)</x:f>
      </x:c>
      <x:c r="F141" s="48" t="str">
        <x:f>IF(Searches!$A$36&lt;&gt;"Yes","",Searches!$R$36)</x:f>
      </x:c>
      <x:c r="G141" s="48" t="str">
        <x:f>IF(Searches!$A$36&lt;&gt;"Yes","",Searches!$E$36)</x:f>
      </x:c>
      <x:c r="H141" s="48" t="str">
        <x:f>IF(Searches!$A$36&lt;&gt;"Yes","",Searches!$N$36)</x:f>
      </x:c>
      <x:c r="I141" s="48" t="str">
        <x:f>IF(Searches!$A$36&lt;&gt;"Yes","",Searches!$B$36)</x:f>
      </x:c>
      <x:c r="J141" s="48" t="str">
        <x:f>IF(Searches!$A$36&lt;&gt;"Yes","",Searches!$K$36)</x:f>
      </x:c>
    </x:row>
    <x:row r="142">
      <x:c r="A142" s="48" t="str">
        <x:f>IF(Searches!$A$37&lt;&gt;"Yes","",Searches!$C$37)</x:f>
      </x:c>
      <x:c r="B142" s="48" t="str">
        <x:f>IF(Searches!$A$37&lt;&gt;"Yes","",Searches!$D$37)</x:f>
      </x:c>
      <x:c r="C142" s="48" t="str">
        <x:f>IF(Searches!$A$37&lt;&gt;"Yes","",Searches!$O$37)</x:f>
      </x:c>
      <x:c r="D142" s="48" t="str">
        <x:f>IF(Searches!$A$37&lt;&gt;"Yes","",Searches!$P$37)</x:f>
      </x:c>
      <x:c r="E142" s="48" t="str">
        <x:f>IF(Searches!$A$37&lt;&gt;"Yes","",Searches!$Q$37)</x:f>
      </x:c>
      <x:c r="F142" s="48" t="str">
        <x:f>IF(Searches!$A$37&lt;&gt;"Yes","",Searches!$R$37)</x:f>
      </x:c>
      <x:c r="G142" s="48" t="str">
        <x:f>IF(Searches!$A$37&lt;&gt;"Yes","",Searches!$E$37)</x:f>
      </x:c>
      <x:c r="H142" s="48" t="str">
        <x:f>IF(Searches!$A$37&lt;&gt;"Yes","",Searches!$N$37)</x:f>
      </x:c>
      <x:c r="I142" s="48" t="str">
        <x:f>IF(Searches!$A$37&lt;&gt;"Yes","",Searches!$B$37)</x:f>
      </x:c>
      <x:c r="J142" s="48" t="str">
        <x:f>IF(Searches!$A$37&lt;&gt;"Yes","",Searches!$K$37)</x:f>
      </x:c>
    </x:row>
    <x:row r="143">
      <x:c r="A143" s="48" t="str">
        <x:f>IF(Searches!$A$38&lt;&gt;"Yes","",Searches!$C$38)</x:f>
      </x:c>
      <x:c r="B143" s="48" t="str">
        <x:f>IF(Searches!$A$38&lt;&gt;"Yes","",Searches!$D$38)</x:f>
      </x:c>
      <x:c r="C143" s="48" t="str">
        <x:f>IF(Searches!$A$38&lt;&gt;"Yes","",Searches!$O$38)</x:f>
      </x:c>
      <x:c r="D143" s="48" t="str">
        <x:f>IF(Searches!$A$38&lt;&gt;"Yes","",Searches!$P$38)</x:f>
      </x:c>
      <x:c r="E143" s="48" t="str">
        <x:f>IF(Searches!$A$38&lt;&gt;"Yes","",Searches!$Q$38)</x:f>
      </x:c>
      <x:c r="F143" s="48" t="str">
        <x:f>IF(Searches!$A$38&lt;&gt;"Yes","",Searches!$R$38)</x:f>
      </x:c>
      <x:c r="G143" s="48" t="str">
        <x:f>IF(Searches!$A$38&lt;&gt;"Yes","",Searches!$E$38)</x:f>
      </x:c>
      <x:c r="H143" s="48" t="str">
        <x:f>IF(Searches!$A$38&lt;&gt;"Yes","",Searches!$N$38)</x:f>
      </x:c>
      <x:c r="I143" s="48" t="str">
        <x:f>IF(Searches!$A$38&lt;&gt;"Yes","",Searches!$B$38)</x:f>
      </x:c>
      <x:c r="J143" s="48" t="str">
        <x:f>IF(Searches!$A$38&lt;&gt;"Yes","",Searches!$K$38)</x:f>
      </x:c>
    </x:row>
    <x:row r="144">
      <x:c r="A144" s="48" t="str">
        <x:f>IF(Searches!$A$39&lt;&gt;"Yes","",Searches!$C$39)</x:f>
      </x:c>
      <x:c r="B144" s="48" t="str">
        <x:f>IF(Searches!$A$39&lt;&gt;"Yes","",Searches!$D$39)</x:f>
      </x:c>
      <x:c r="C144" s="48" t="str">
        <x:f>IF(Searches!$A$39&lt;&gt;"Yes","",Searches!$O$39)</x:f>
      </x:c>
      <x:c r="D144" s="48" t="str">
        <x:f>IF(Searches!$A$39&lt;&gt;"Yes","",Searches!$P$39)</x:f>
      </x:c>
      <x:c r="E144" s="48" t="str">
        <x:f>IF(Searches!$A$39&lt;&gt;"Yes","",Searches!$Q$39)</x:f>
      </x:c>
      <x:c r="F144" s="48" t="str">
        <x:f>IF(Searches!$A$39&lt;&gt;"Yes","",Searches!$R$39)</x:f>
      </x:c>
      <x:c r="G144" s="48" t="str">
        <x:f>IF(Searches!$A$39&lt;&gt;"Yes","",Searches!$E$39)</x:f>
      </x:c>
      <x:c r="H144" s="48" t="str">
        <x:f>IF(Searches!$A$39&lt;&gt;"Yes","",Searches!$N$39)</x:f>
      </x:c>
      <x:c r="I144" s="48" t="str">
        <x:f>IF(Searches!$A$39&lt;&gt;"Yes","",Searches!$B$39)</x:f>
      </x:c>
      <x:c r="J144" s="48" t="str">
        <x:f>IF(Searches!$A$39&lt;&gt;"Yes","",Searches!$K$39)</x:f>
      </x:c>
    </x:row>
    <x:row r="145">
      <x:c r="A145" s="48" t="str">
        <x:f>IF(Searches!$A$40&lt;&gt;"Yes","",Searches!$C$40)</x:f>
      </x:c>
      <x:c r="B145" s="48" t="str">
        <x:f>IF(Searches!$A$40&lt;&gt;"Yes","",Searches!$D$40)</x:f>
      </x:c>
      <x:c r="C145" s="48" t="str">
        <x:f>IF(Searches!$A$40&lt;&gt;"Yes","",Searches!$O$40)</x:f>
      </x:c>
      <x:c r="D145" s="48" t="str">
        <x:f>IF(Searches!$A$40&lt;&gt;"Yes","",Searches!$P$40)</x:f>
      </x:c>
      <x:c r="E145" s="48" t="str">
        <x:f>IF(Searches!$A$40&lt;&gt;"Yes","",Searches!$Q$40)</x:f>
      </x:c>
      <x:c r="F145" s="48" t="str">
        <x:f>IF(Searches!$A$40&lt;&gt;"Yes","",Searches!$R$40)</x:f>
      </x:c>
      <x:c r="G145" s="48" t="str">
        <x:f>IF(Searches!$A$40&lt;&gt;"Yes","",Searches!$E$40)</x:f>
      </x:c>
      <x:c r="H145" s="48" t="str">
        <x:f>IF(Searches!$A$40&lt;&gt;"Yes","",Searches!$N$40)</x:f>
      </x:c>
      <x:c r="I145" s="48" t="str">
        <x:f>IF(Searches!$A$40&lt;&gt;"Yes","",Searches!$B$40)</x:f>
      </x:c>
      <x:c r="J145" s="48" t="str">
        <x:f>IF(Searches!$A$40&lt;&gt;"Yes","",Searches!$K$40)</x:f>
      </x:c>
    </x:row>
    <x:row r="146">
      <x:c r="A146" s="48" t="str">
        <x:f>IF(Searches!$A$41&lt;&gt;"Yes","",Searches!$C$41)</x:f>
      </x:c>
      <x:c r="B146" s="48" t="str">
        <x:f>IF(Searches!$A$41&lt;&gt;"Yes","",Searches!$D$41)</x:f>
      </x:c>
      <x:c r="C146" s="48" t="str">
        <x:f>IF(Searches!$A$41&lt;&gt;"Yes","",Searches!$O$41)</x:f>
      </x:c>
      <x:c r="D146" s="48" t="str">
        <x:f>IF(Searches!$A$41&lt;&gt;"Yes","",Searches!$P$41)</x:f>
      </x:c>
      <x:c r="E146" s="48" t="str">
        <x:f>IF(Searches!$A$41&lt;&gt;"Yes","",Searches!$Q$41)</x:f>
      </x:c>
      <x:c r="F146" s="48" t="str">
        <x:f>IF(Searches!$A$41&lt;&gt;"Yes","",Searches!$R$41)</x:f>
      </x:c>
      <x:c r="G146" s="48" t="str">
        <x:f>IF(Searches!$A$41&lt;&gt;"Yes","",Searches!$E$41)</x:f>
      </x:c>
      <x:c r="H146" s="48" t="str">
        <x:f>IF(Searches!$A$41&lt;&gt;"Yes","",Searches!$N$41)</x:f>
      </x:c>
      <x:c r="I146" s="48" t="str">
        <x:f>IF(Searches!$A$41&lt;&gt;"Yes","",Searches!$B$41)</x:f>
      </x:c>
      <x:c r="J146" s="48" t="str">
        <x:f>IF(Searches!$A$41&lt;&gt;"Yes","",Searches!$K$41)</x:f>
      </x:c>
    </x:row>
    <x:row r="147">
      <x:c r="A147" s="48" t="str">
        <x:f>IF(Searches!$A$42&lt;&gt;"Yes","",Searches!$C$42)</x:f>
      </x:c>
      <x:c r="B147" s="48" t="str">
        <x:f>IF(Searches!$A$42&lt;&gt;"Yes","",Searches!$D$42)</x:f>
      </x:c>
      <x:c r="C147" s="48" t="str">
        <x:f>IF(Searches!$A$42&lt;&gt;"Yes","",Searches!$O$42)</x:f>
      </x:c>
      <x:c r="D147" s="48" t="str">
        <x:f>IF(Searches!$A$42&lt;&gt;"Yes","",Searches!$P$42)</x:f>
      </x:c>
      <x:c r="E147" s="48" t="str">
        <x:f>IF(Searches!$A$42&lt;&gt;"Yes","",Searches!$Q$42)</x:f>
      </x:c>
      <x:c r="F147" s="48" t="str">
        <x:f>IF(Searches!$A$42&lt;&gt;"Yes","",Searches!$R$42)</x:f>
      </x:c>
      <x:c r="G147" s="48" t="str">
        <x:f>IF(Searches!$A$42&lt;&gt;"Yes","",Searches!$E$42)</x:f>
      </x:c>
      <x:c r="H147" s="48" t="str">
        <x:f>IF(Searches!$A$42&lt;&gt;"Yes","",Searches!$N$42)</x:f>
      </x:c>
      <x:c r="I147" s="48" t="str">
        <x:f>IF(Searches!$A$42&lt;&gt;"Yes","",Searches!$B$42)</x:f>
      </x:c>
      <x:c r="J147" s="48" t="str">
        <x:f>IF(Searches!$A$42&lt;&gt;"Yes","",Searches!$K$42)</x:f>
      </x:c>
    </x:row>
    <x:row r="148">
      <x:c r="A148" s="48" t="str">
        <x:f>IF(Searches!$A$43&lt;&gt;"Yes","",Searches!$C$43)</x:f>
      </x:c>
      <x:c r="B148" s="48" t="str">
        <x:f>IF(Searches!$A$43&lt;&gt;"Yes","",Searches!$D$43)</x:f>
      </x:c>
      <x:c r="C148" s="48" t="str">
        <x:f>IF(Searches!$A$43&lt;&gt;"Yes","",Searches!$O$43)</x:f>
      </x:c>
      <x:c r="D148" s="48" t="str">
        <x:f>IF(Searches!$A$43&lt;&gt;"Yes","",Searches!$P$43)</x:f>
      </x:c>
      <x:c r="E148" s="48" t="str">
        <x:f>IF(Searches!$A$43&lt;&gt;"Yes","",Searches!$Q$43)</x:f>
      </x:c>
      <x:c r="F148" s="48" t="str">
        <x:f>IF(Searches!$A$43&lt;&gt;"Yes","",Searches!$R$43)</x:f>
      </x:c>
      <x:c r="G148" s="48" t="str">
        <x:f>IF(Searches!$A$43&lt;&gt;"Yes","",Searches!$E$43)</x:f>
      </x:c>
      <x:c r="H148" s="48" t="str">
        <x:f>IF(Searches!$A$43&lt;&gt;"Yes","",Searches!$N$43)</x:f>
      </x:c>
      <x:c r="I148" s="48" t="str">
        <x:f>IF(Searches!$A$43&lt;&gt;"Yes","",Searches!$B$43)</x:f>
      </x:c>
      <x:c r="J148" s="48" t="str">
        <x:f>IF(Searches!$A$43&lt;&gt;"Yes","",Searches!$K$43)</x:f>
      </x:c>
    </x:row>
    <x:row r="149">
      <x:c r="A149" s="48" t="str">
        <x:f>IF(Searches!$A$44&lt;&gt;"Yes","",Searches!$C$44)</x:f>
      </x:c>
      <x:c r="B149" s="48" t="str">
        <x:f>IF(Searches!$A$44&lt;&gt;"Yes","",Searches!$D$44)</x:f>
      </x:c>
      <x:c r="C149" s="48" t="str">
        <x:f>IF(Searches!$A$44&lt;&gt;"Yes","",Searches!$O$44)</x:f>
      </x:c>
      <x:c r="D149" s="48" t="str">
        <x:f>IF(Searches!$A$44&lt;&gt;"Yes","",Searches!$P$44)</x:f>
      </x:c>
      <x:c r="E149" s="48" t="str">
        <x:f>IF(Searches!$A$44&lt;&gt;"Yes","",Searches!$Q$44)</x:f>
      </x:c>
      <x:c r="F149" s="48" t="str">
        <x:f>IF(Searches!$A$44&lt;&gt;"Yes","",Searches!$R$44)</x:f>
      </x:c>
      <x:c r="G149" s="48" t="str">
        <x:f>IF(Searches!$A$44&lt;&gt;"Yes","",Searches!$E$44)</x:f>
      </x:c>
      <x:c r="H149" s="48" t="str">
        <x:f>IF(Searches!$A$44&lt;&gt;"Yes","",Searches!$N$44)</x:f>
      </x:c>
      <x:c r="I149" s="48" t="str">
        <x:f>IF(Searches!$A$44&lt;&gt;"Yes","",Searches!$B$44)</x:f>
      </x:c>
      <x:c r="J149" s="48" t="str">
        <x:f>IF(Searches!$A$44&lt;&gt;"Yes","",Searches!$K$44)</x:f>
      </x:c>
    </x:row>
    <x:row r="150">
      <x:c r="A150" s="48" t="str">
        <x:f>IF(Searches!$A$45&lt;&gt;"Yes","",Searches!$C$45)</x:f>
      </x:c>
      <x:c r="B150" s="48" t="str">
        <x:f>IF(Searches!$A$45&lt;&gt;"Yes","",Searches!$D$45)</x:f>
      </x:c>
      <x:c r="C150" s="48" t="str">
        <x:f>IF(Searches!$A$45&lt;&gt;"Yes","",Searches!$O$45)</x:f>
      </x:c>
      <x:c r="D150" s="48" t="str">
        <x:f>IF(Searches!$A$45&lt;&gt;"Yes","",Searches!$P$45)</x:f>
      </x:c>
      <x:c r="E150" s="48" t="str">
        <x:f>IF(Searches!$A$45&lt;&gt;"Yes","",Searches!$Q$45)</x:f>
      </x:c>
      <x:c r="F150" s="48" t="str">
        <x:f>IF(Searches!$A$45&lt;&gt;"Yes","",Searches!$R$45)</x:f>
      </x:c>
      <x:c r="G150" s="48" t="str">
        <x:f>IF(Searches!$A$45&lt;&gt;"Yes","",Searches!$E$45)</x:f>
      </x:c>
      <x:c r="H150" s="48" t="str">
        <x:f>IF(Searches!$A$45&lt;&gt;"Yes","",Searches!$N$45)</x:f>
      </x:c>
      <x:c r="I150" s="48" t="str">
        <x:f>IF(Searches!$A$45&lt;&gt;"Yes","",Searches!$B$45)</x:f>
      </x:c>
      <x:c r="J150" s="48" t="str">
        <x:f>IF(Searches!$A$45&lt;&gt;"Yes","",Searches!$K$45)</x:f>
      </x:c>
    </x:row>
    <x:row r="151">
      <x:c r="A151" s="48" t="str">
        <x:f>IF(Searches!$A$46&lt;&gt;"Yes","",Searches!$C$46)</x:f>
      </x:c>
      <x:c r="B151" s="48" t="str">
        <x:f>IF(Searches!$A$46&lt;&gt;"Yes","",Searches!$D$46)</x:f>
      </x:c>
      <x:c r="C151" s="48" t="str">
        <x:f>IF(Searches!$A$46&lt;&gt;"Yes","",Searches!$O$46)</x:f>
      </x:c>
      <x:c r="D151" s="48" t="str">
        <x:f>IF(Searches!$A$46&lt;&gt;"Yes","",Searches!$P$46)</x:f>
      </x:c>
      <x:c r="E151" s="48" t="str">
        <x:f>IF(Searches!$A$46&lt;&gt;"Yes","",Searches!$Q$46)</x:f>
      </x:c>
      <x:c r="F151" s="48" t="str">
        <x:f>IF(Searches!$A$46&lt;&gt;"Yes","",Searches!$R$46)</x:f>
      </x:c>
      <x:c r="G151" s="48" t="str">
        <x:f>IF(Searches!$A$46&lt;&gt;"Yes","",Searches!$E$46)</x:f>
      </x:c>
      <x:c r="H151" s="48" t="str">
        <x:f>IF(Searches!$A$46&lt;&gt;"Yes","",Searches!$N$46)</x:f>
      </x:c>
      <x:c r="I151" s="48" t="str">
        <x:f>IF(Searches!$A$46&lt;&gt;"Yes","",Searches!$B$46)</x:f>
      </x:c>
      <x:c r="J151" s="48" t="str">
        <x:f>IF(Searches!$A$46&lt;&gt;"Yes","",Searches!$K$46)</x:f>
      </x:c>
    </x:row>
    <x:row r="152">
      <x:c r="A152" s="48" t="str">
        <x:f>IF(Searches!$A$47&lt;&gt;"Yes","",Searches!$C$47)</x:f>
      </x:c>
      <x:c r="B152" s="48" t="str">
        <x:f>IF(Searches!$A$47&lt;&gt;"Yes","",Searches!$D$47)</x:f>
      </x:c>
      <x:c r="C152" s="48" t="str">
        <x:f>IF(Searches!$A$47&lt;&gt;"Yes","",Searches!$O$47)</x:f>
      </x:c>
      <x:c r="D152" s="48" t="str">
        <x:f>IF(Searches!$A$47&lt;&gt;"Yes","",Searches!$P$47)</x:f>
      </x:c>
      <x:c r="E152" s="48" t="str">
        <x:f>IF(Searches!$A$47&lt;&gt;"Yes","",Searches!$Q$47)</x:f>
      </x:c>
      <x:c r="F152" s="48" t="str">
        <x:f>IF(Searches!$A$47&lt;&gt;"Yes","",Searches!$R$47)</x:f>
      </x:c>
      <x:c r="G152" s="48" t="str">
        <x:f>IF(Searches!$A$47&lt;&gt;"Yes","",Searches!$E$47)</x:f>
      </x:c>
      <x:c r="H152" s="48" t="str">
        <x:f>IF(Searches!$A$47&lt;&gt;"Yes","",Searches!$N$47)</x:f>
      </x:c>
      <x:c r="I152" s="48" t="str">
        <x:f>IF(Searches!$A$47&lt;&gt;"Yes","",Searches!$B$47)</x:f>
      </x:c>
      <x:c r="J152" s="48" t="str">
        <x:f>IF(Searches!$A$47&lt;&gt;"Yes","",Searches!$K$47)</x:f>
      </x:c>
    </x:row>
    <x:row r="153">
      <x:c r="A153" s="48" t="str">
        <x:f>IF(Searches!$A$48&lt;&gt;"Yes","",Searches!$C$48)</x:f>
      </x:c>
      <x:c r="B153" s="48" t="str">
        <x:f>IF(Searches!$A$48&lt;&gt;"Yes","",Searches!$D$48)</x:f>
      </x:c>
      <x:c r="C153" s="48" t="str">
        <x:f>IF(Searches!$A$48&lt;&gt;"Yes","",Searches!$O$48)</x:f>
      </x:c>
      <x:c r="D153" s="48" t="str">
        <x:f>IF(Searches!$A$48&lt;&gt;"Yes","",Searches!$P$48)</x:f>
      </x:c>
      <x:c r="E153" s="48" t="str">
        <x:f>IF(Searches!$A$48&lt;&gt;"Yes","",Searches!$Q$48)</x:f>
      </x:c>
      <x:c r="F153" s="48" t="str">
        <x:f>IF(Searches!$A$48&lt;&gt;"Yes","",Searches!$R$48)</x:f>
      </x:c>
      <x:c r="G153" s="48" t="str">
        <x:f>IF(Searches!$A$48&lt;&gt;"Yes","",Searches!$E$48)</x:f>
      </x:c>
      <x:c r="H153" s="48" t="str">
        <x:f>IF(Searches!$A$48&lt;&gt;"Yes","",Searches!$N$48)</x:f>
      </x:c>
      <x:c r="I153" s="48" t="str">
        <x:f>IF(Searches!$A$48&lt;&gt;"Yes","",Searches!$B$48)</x:f>
      </x:c>
      <x:c r="J153" s="48" t="str">
        <x:f>IF(Searches!$A$48&lt;&gt;"Yes","",Searches!$K$48)</x:f>
      </x:c>
    </x:row>
    <x:row r="154">
      <x:c r="A154" s="48" t="str">
        <x:f>IF(Searches!$A$49&lt;&gt;"Yes","",Searches!$C$49)</x:f>
      </x:c>
      <x:c r="B154" s="48" t="str">
        <x:f>IF(Searches!$A$49&lt;&gt;"Yes","",Searches!$D$49)</x:f>
      </x:c>
      <x:c r="C154" s="48" t="str">
        <x:f>IF(Searches!$A$49&lt;&gt;"Yes","",Searches!$O$49)</x:f>
      </x:c>
      <x:c r="D154" s="48" t="str">
        <x:f>IF(Searches!$A$49&lt;&gt;"Yes","",Searches!$P$49)</x:f>
      </x:c>
      <x:c r="E154" s="48" t="str">
        <x:f>IF(Searches!$A$49&lt;&gt;"Yes","",Searches!$Q$49)</x:f>
      </x:c>
      <x:c r="F154" s="48" t="str">
        <x:f>IF(Searches!$A$49&lt;&gt;"Yes","",Searches!$R$49)</x:f>
      </x:c>
      <x:c r="G154" s="48" t="str">
        <x:f>IF(Searches!$A$49&lt;&gt;"Yes","",Searches!$E$49)</x:f>
      </x:c>
      <x:c r="H154" s="48" t="str">
        <x:f>IF(Searches!$A$49&lt;&gt;"Yes","",Searches!$N$49)</x:f>
      </x:c>
      <x:c r="I154" s="48" t="str">
        <x:f>IF(Searches!$A$49&lt;&gt;"Yes","",Searches!$B$49)</x:f>
      </x:c>
      <x:c r="J154" s="48" t="str">
        <x:f>IF(Searches!$A$49&lt;&gt;"Yes","",Searches!$K$49)</x:f>
      </x:c>
    </x:row>
    <x:row r="155">
      <x:c r="A155" s="48" t="str">
        <x:f>IF(Searches!$A$50&lt;&gt;"Yes","",Searches!$C$50)</x:f>
      </x:c>
      <x:c r="B155" s="48" t="str">
        <x:f>IF(Searches!$A$50&lt;&gt;"Yes","",Searches!$D$50)</x:f>
      </x:c>
      <x:c r="C155" s="48" t="str">
        <x:f>IF(Searches!$A$50&lt;&gt;"Yes","",Searches!$O$50)</x:f>
      </x:c>
      <x:c r="D155" s="48" t="str">
        <x:f>IF(Searches!$A$50&lt;&gt;"Yes","",Searches!$P$50)</x:f>
      </x:c>
      <x:c r="E155" s="48" t="str">
        <x:f>IF(Searches!$A$50&lt;&gt;"Yes","",Searches!$Q$50)</x:f>
      </x:c>
      <x:c r="F155" s="48" t="str">
        <x:f>IF(Searches!$A$50&lt;&gt;"Yes","",Searches!$R$50)</x:f>
      </x:c>
      <x:c r="G155" s="48" t="str">
        <x:f>IF(Searches!$A$50&lt;&gt;"Yes","",Searches!$E$50)</x:f>
      </x:c>
      <x:c r="H155" s="48" t="str">
        <x:f>IF(Searches!$A$50&lt;&gt;"Yes","",Searches!$N$50)</x:f>
      </x:c>
      <x:c r="I155" s="48" t="str">
        <x:f>IF(Searches!$A$50&lt;&gt;"Yes","",Searches!$B$50)</x:f>
      </x:c>
      <x:c r="J155" s="48" t="str">
        <x:f>IF(Searches!$A$50&lt;&gt;"Yes","",Searches!$K$50)</x:f>
      </x:c>
    </x:row>
    <x:row r="156">
      <x:c r="A156" s="48" t="str">
        <x:f>IF(Searches!$A$51&lt;&gt;"Yes","",Searches!$C$51)</x:f>
      </x:c>
      <x:c r="B156" s="48" t="str">
        <x:f>IF(Searches!$A$51&lt;&gt;"Yes","",Searches!$D$51)</x:f>
      </x:c>
      <x:c r="C156" s="48" t="str">
        <x:f>IF(Searches!$A$51&lt;&gt;"Yes","",Searches!$O$51)</x:f>
      </x:c>
      <x:c r="D156" s="48" t="str">
        <x:f>IF(Searches!$A$51&lt;&gt;"Yes","",Searches!$P$51)</x:f>
      </x:c>
      <x:c r="E156" s="48" t="str">
        <x:f>IF(Searches!$A$51&lt;&gt;"Yes","",Searches!$Q$51)</x:f>
      </x:c>
      <x:c r="F156" s="48" t="str">
        <x:f>IF(Searches!$A$51&lt;&gt;"Yes","",Searches!$R$51)</x:f>
      </x:c>
      <x:c r="G156" s="48" t="str">
        <x:f>IF(Searches!$A$51&lt;&gt;"Yes","",Searches!$E$51)</x:f>
      </x:c>
      <x:c r="H156" s="48" t="str">
        <x:f>IF(Searches!$A$51&lt;&gt;"Yes","",Searches!$N$51)</x:f>
      </x:c>
      <x:c r="I156" s="48" t="str">
        <x:f>IF(Searches!$A$51&lt;&gt;"Yes","",Searches!$B$51)</x:f>
      </x:c>
      <x:c r="J156" s="48" t="str">
        <x:f>IF(Searches!$A$51&lt;&gt;"Yes","",Searches!$K$51)</x:f>
      </x:c>
    </x:row>
    <x:row r="157">
      <x:c r="A157" s="48" t="str">
        <x:f>IF(Searches!$A$52&lt;&gt;"Yes","",Searches!$C$52)</x:f>
      </x:c>
      <x:c r="B157" s="48" t="str">
        <x:f>IF(Searches!$A$52&lt;&gt;"Yes","",Searches!$D$52)</x:f>
      </x:c>
      <x:c r="C157" s="48" t="str">
        <x:f>IF(Searches!$A$52&lt;&gt;"Yes","",Searches!$O$52)</x:f>
      </x:c>
      <x:c r="D157" s="48" t="str">
        <x:f>IF(Searches!$A$52&lt;&gt;"Yes","",Searches!$P$52)</x:f>
      </x:c>
      <x:c r="E157" s="48" t="str">
        <x:f>IF(Searches!$A$52&lt;&gt;"Yes","",Searches!$Q$52)</x:f>
      </x:c>
      <x:c r="F157" s="48" t="str">
        <x:f>IF(Searches!$A$52&lt;&gt;"Yes","",Searches!$R$52)</x:f>
      </x:c>
      <x:c r="G157" s="48" t="str">
        <x:f>IF(Searches!$A$52&lt;&gt;"Yes","",Searches!$E$52)</x:f>
      </x:c>
      <x:c r="H157" s="48" t="str">
        <x:f>IF(Searches!$A$52&lt;&gt;"Yes","",Searches!$N$52)</x:f>
      </x:c>
      <x:c r="I157" s="48" t="str">
        <x:f>IF(Searches!$A$52&lt;&gt;"Yes","",Searches!$B$52)</x:f>
      </x:c>
      <x:c r="J157" s="48" t="str">
        <x:f>IF(Searches!$A$52&lt;&gt;"Yes","",Searches!$K$52)</x:f>
      </x:c>
    </x:row>
    <x:row r="158">
      <x:c r="A158" s="48" t="str">
        <x:f>IF(Searches!$A$53&lt;&gt;"Yes","",Searches!$C$53)</x:f>
      </x:c>
      <x:c r="B158" s="48" t="str">
        <x:f>IF(Searches!$A$53&lt;&gt;"Yes","",Searches!$D$53)</x:f>
      </x:c>
      <x:c r="C158" s="48" t="str">
        <x:f>IF(Searches!$A$53&lt;&gt;"Yes","",Searches!$O$53)</x:f>
      </x:c>
      <x:c r="D158" s="48" t="str">
        <x:f>IF(Searches!$A$53&lt;&gt;"Yes","",Searches!$P$53)</x:f>
      </x:c>
      <x:c r="E158" s="48" t="str">
        <x:f>IF(Searches!$A$53&lt;&gt;"Yes","",Searches!$Q$53)</x:f>
      </x:c>
      <x:c r="F158" s="48" t="str">
        <x:f>IF(Searches!$A$53&lt;&gt;"Yes","",Searches!$R$53)</x:f>
      </x:c>
      <x:c r="G158" s="48" t="str">
        <x:f>IF(Searches!$A$53&lt;&gt;"Yes","",Searches!$E$53)</x:f>
      </x:c>
      <x:c r="H158" s="48" t="str">
        <x:f>IF(Searches!$A$53&lt;&gt;"Yes","",Searches!$N$53)</x:f>
      </x:c>
      <x:c r="I158" s="48" t="str">
        <x:f>IF(Searches!$A$53&lt;&gt;"Yes","",Searches!$B$53)</x:f>
      </x:c>
      <x:c r="J158" s="48" t="str">
        <x:f>IF(Searches!$A$53&lt;&gt;"Yes","",Searches!$K$53)</x:f>
      </x:c>
    </x:row>
    <x:row r="159">
      <x:c r="A159" s="48" t="str">
        <x:f>IF(Searches!$A$54&lt;&gt;"Yes","",Searches!$C$54)</x:f>
      </x:c>
      <x:c r="B159" s="48" t="str">
        <x:f>IF(Searches!$A$54&lt;&gt;"Yes","",Searches!$D$54)</x:f>
      </x:c>
      <x:c r="C159" s="48" t="str">
        <x:f>IF(Searches!$A$54&lt;&gt;"Yes","",Searches!$O$54)</x:f>
      </x:c>
      <x:c r="D159" s="48" t="str">
        <x:f>IF(Searches!$A$54&lt;&gt;"Yes","",Searches!$P$54)</x:f>
      </x:c>
      <x:c r="E159" s="48" t="str">
        <x:f>IF(Searches!$A$54&lt;&gt;"Yes","",Searches!$Q$54)</x:f>
      </x:c>
      <x:c r="F159" s="48" t="str">
        <x:f>IF(Searches!$A$54&lt;&gt;"Yes","",Searches!$R$54)</x:f>
      </x:c>
      <x:c r="G159" s="48" t="str">
        <x:f>IF(Searches!$A$54&lt;&gt;"Yes","",Searches!$E$54)</x:f>
      </x:c>
      <x:c r="H159" s="48" t="str">
        <x:f>IF(Searches!$A$54&lt;&gt;"Yes","",Searches!$N$54)</x:f>
      </x:c>
      <x:c r="I159" s="48" t="str">
        <x:f>IF(Searches!$A$54&lt;&gt;"Yes","",Searches!$B$54)</x:f>
      </x:c>
      <x:c r="J159" s="48" t="str">
        <x:f>IF(Searches!$A$54&lt;&gt;"Yes","",Searches!$K$54)</x:f>
      </x:c>
    </x:row>
    <x:row r="160">
      <x:c r="A160" s="48" t="str">
        <x:f>IF(Searches!$A$55&lt;&gt;"Yes","",Searches!$C$55)</x:f>
      </x:c>
      <x:c r="B160" s="48" t="str">
        <x:f>IF(Searches!$A$55&lt;&gt;"Yes","",Searches!$D$55)</x:f>
      </x:c>
      <x:c r="C160" s="48" t="str">
        <x:f>IF(Searches!$A$55&lt;&gt;"Yes","",Searches!$O$55)</x:f>
      </x:c>
      <x:c r="D160" s="48" t="str">
        <x:f>IF(Searches!$A$55&lt;&gt;"Yes","",Searches!$P$55)</x:f>
      </x:c>
      <x:c r="E160" s="48" t="str">
        <x:f>IF(Searches!$A$55&lt;&gt;"Yes","",Searches!$Q$55)</x:f>
      </x:c>
      <x:c r="F160" s="48" t="str">
        <x:f>IF(Searches!$A$55&lt;&gt;"Yes","",Searches!$R$55)</x:f>
      </x:c>
      <x:c r="G160" s="48" t="str">
        <x:f>IF(Searches!$A$55&lt;&gt;"Yes","",Searches!$E$55)</x:f>
      </x:c>
      <x:c r="H160" s="48" t="str">
        <x:f>IF(Searches!$A$55&lt;&gt;"Yes","",Searches!$N$55)</x:f>
      </x:c>
      <x:c r="I160" s="48" t="str">
        <x:f>IF(Searches!$A$55&lt;&gt;"Yes","",Searches!$B$55)</x:f>
      </x:c>
      <x:c r="J160" s="48" t="str">
        <x:f>IF(Searches!$A$55&lt;&gt;"Yes","",Searches!$K$55)</x:f>
      </x:c>
    </x:row>
    <x:row r="161">
      <x:c r="A161" s="48" t="str">
        <x:f>IF(Searches!$A$56&lt;&gt;"Yes","",Searches!$C$56)</x:f>
      </x:c>
      <x:c r="B161" s="48" t="str">
        <x:f>IF(Searches!$A$56&lt;&gt;"Yes","",Searches!$D$56)</x:f>
      </x:c>
      <x:c r="C161" s="48" t="str">
        <x:f>IF(Searches!$A$56&lt;&gt;"Yes","",Searches!$O$56)</x:f>
      </x:c>
      <x:c r="D161" s="48" t="str">
        <x:f>IF(Searches!$A$56&lt;&gt;"Yes","",Searches!$P$56)</x:f>
      </x:c>
      <x:c r="E161" s="48" t="str">
        <x:f>IF(Searches!$A$56&lt;&gt;"Yes","",Searches!$Q$56)</x:f>
      </x:c>
      <x:c r="F161" s="48" t="str">
        <x:f>IF(Searches!$A$56&lt;&gt;"Yes","",Searches!$R$56)</x:f>
      </x:c>
      <x:c r="G161" s="48" t="str">
        <x:f>IF(Searches!$A$56&lt;&gt;"Yes","",Searches!$E$56)</x:f>
      </x:c>
      <x:c r="H161" s="48" t="str">
        <x:f>IF(Searches!$A$56&lt;&gt;"Yes","",Searches!$N$56)</x:f>
      </x:c>
      <x:c r="I161" s="48" t="str">
        <x:f>IF(Searches!$A$56&lt;&gt;"Yes","",Searches!$B$56)</x:f>
      </x:c>
      <x:c r="J161" s="48" t="str">
        <x:f>IF(Searches!$A$56&lt;&gt;"Yes","",Searches!$K$56)</x:f>
      </x:c>
    </x:row>
    <x:row r="162">
      <x:c r="A162" s="48" t="str">
        <x:f>IF(Searches!$A$57&lt;&gt;"Yes","",Searches!$C$57)</x:f>
      </x:c>
      <x:c r="B162" s="48" t="str">
        <x:f>IF(Searches!$A$57&lt;&gt;"Yes","",Searches!$D$57)</x:f>
      </x:c>
      <x:c r="C162" s="48" t="str">
        <x:f>IF(Searches!$A$57&lt;&gt;"Yes","",Searches!$O$57)</x:f>
      </x:c>
      <x:c r="D162" s="48" t="str">
        <x:f>IF(Searches!$A$57&lt;&gt;"Yes","",Searches!$P$57)</x:f>
      </x:c>
      <x:c r="E162" s="48" t="str">
        <x:f>IF(Searches!$A$57&lt;&gt;"Yes","",Searches!$Q$57)</x:f>
      </x:c>
      <x:c r="F162" s="48" t="str">
        <x:f>IF(Searches!$A$57&lt;&gt;"Yes","",Searches!$R$57)</x:f>
      </x:c>
      <x:c r="G162" s="48" t="str">
        <x:f>IF(Searches!$A$57&lt;&gt;"Yes","",Searches!$E$57)</x:f>
      </x:c>
      <x:c r="H162" s="48" t="str">
        <x:f>IF(Searches!$A$57&lt;&gt;"Yes","",Searches!$N$57)</x:f>
      </x:c>
      <x:c r="I162" s="48" t="str">
        <x:f>IF(Searches!$A$57&lt;&gt;"Yes","",Searches!$B$57)</x:f>
      </x:c>
      <x:c r="J162" s="48" t="str">
        <x:f>IF(Searches!$A$57&lt;&gt;"Yes","",Searches!$K$57)</x:f>
      </x:c>
    </x:row>
    <x:row r="163">
      <x:c r="A163" s="48" t="str">
        <x:f>IF(Searches!$A$58&lt;&gt;"Yes","",Searches!$C$58)</x:f>
      </x:c>
      <x:c r="B163" s="48" t="str">
        <x:f>IF(Searches!$A$58&lt;&gt;"Yes","",Searches!$D$58)</x:f>
      </x:c>
      <x:c r="C163" s="48" t="str">
        <x:f>IF(Searches!$A$58&lt;&gt;"Yes","",Searches!$O$58)</x:f>
      </x:c>
      <x:c r="D163" s="48" t="str">
        <x:f>IF(Searches!$A$58&lt;&gt;"Yes","",Searches!$P$58)</x:f>
      </x:c>
      <x:c r="E163" s="48" t="str">
        <x:f>IF(Searches!$A$58&lt;&gt;"Yes","",Searches!$Q$58)</x:f>
      </x:c>
      <x:c r="F163" s="48" t="str">
        <x:f>IF(Searches!$A$58&lt;&gt;"Yes","",Searches!$R$58)</x:f>
      </x:c>
      <x:c r="G163" s="48" t="str">
        <x:f>IF(Searches!$A$58&lt;&gt;"Yes","",Searches!$E$58)</x:f>
      </x:c>
      <x:c r="H163" s="48" t="str">
        <x:f>IF(Searches!$A$58&lt;&gt;"Yes","",Searches!$N$58)</x:f>
      </x:c>
      <x:c r="I163" s="48" t="str">
        <x:f>IF(Searches!$A$58&lt;&gt;"Yes","",Searches!$B$58)</x:f>
      </x:c>
      <x:c r="J163" s="48" t="str">
        <x:f>IF(Searches!$A$58&lt;&gt;"Yes","",Searches!$K$58)</x:f>
      </x:c>
    </x:row>
    <x:row r="164">
      <x:c r="A164" s="48" t="str">
        <x:f>IF(Searches!$A$59&lt;&gt;"Yes","",Searches!$C$59)</x:f>
      </x:c>
      <x:c r="B164" s="48" t="str">
        <x:f>IF(Searches!$A$59&lt;&gt;"Yes","",Searches!$D$59)</x:f>
      </x:c>
      <x:c r="C164" s="48" t="str">
        <x:f>IF(Searches!$A$59&lt;&gt;"Yes","",Searches!$O$59)</x:f>
      </x:c>
      <x:c r="D164" s="48" t="str">
        <x:f>IF(Searches!$A$59&lt;&gt;"Yes","",Searches!$P$59)</x:f>
      </x:c>
      <x:c r="E164" s="48" t="str">
        <x:f>IF(Searches!$A$59&lt;&gt;"Yes","",Searches!$Q$59)</x:f>
      </x:c>
      <x:c r="F164" s="48" t="str">
        <x:f>IF(Searches!$A$59&lt;&gt;"Yes","",Searches!$R$59)</x:f>
      </x:c>
      <x:c r="G164" s="48" t="str">
        <x:f>IF(Searches!$A$59&lt;&gt;"Yes","",Searches!$E$59)</x:f>
      </x:c>
      <x:c r="H164" s="48" t="str">
        <x:f>IF(Searches!$A$59&lt;&gt;"Yes","",Searches!$N$59)</x:f>
      </x:c>
      <x:c r="I164" s="48" t="str">
        <x:f>IF(Searches!$A$59&lt;&gt;"Yes","",Searches!$B$59)</x:f>
      </x:c>
      <x:c r="J164" s="48" t="str">
        <x:f>IF(Searches!$A$59&lt;&gt;"Yes","",Searches!$K$59)</x:f>
      </x:c>
    </x:row>
    <x:row r="165">
      <x:c r="A165" s="48" t="str">
        <x:f>IF(Searches!$A$60&lt;&gt;"Yes","",Searches!$C$60)</x:f>
      </x:c>
      <x:c r="B165" s="48" t="str">
        <x:f>IF(Searches!$A$60&lt;&gt;"Yes","",Searches!$D$60)</x:f>
      </x:c>
      <x:c r="C165" s="48" t="str">
        <x:f>IF(Searches!$A$60&lt;&gt;"Yes","",Searches!$O$60)</x:f>
      </x:c>
      <x:c r="D165" s="48" t="str">
        <x:f>IF(Searches!$A$60&lt;&gt;"Yes","",Searches!$P$60)</x:f>
      </x:c>
      <x:c r="E165" s="48" t="str">
        <x:f>IF(Searches!$A$60&lt;&gt;"Yes","",Searches!$Q$60)</x:f>
      </x:c>
      <x:c r="F165" s="48" t="str">
        <x:f>IF(Searches!$A$60&lt;&gt;"Yes","",Searches!$R$60)</x:f>
      </x:c>
      <x:c r="G165" s="48" t="str">
        <x:f>IF(Searches!$A$60&lt;&gt;"Yes","",Searches!$E$60)</x:f>
      </x:c>
      <x:c r="H165" s="48" t="str">
        <x:f>IF(Searches!$A$60&lt;&gt;"Yes","",Searches!$N$60)</x:f>
      </x:c>
      <x:c r="I165" s="48" t="str">
        <x:f>IF(Searches!$A$60&lt;&gt;"Yes","",Searches!$B$60)</x:f>
      </x:c>
      <x:c r="J165" s="48" t="str">
        <x:f>IF(Searches!$A$60&lt;&gt;"Yes","",Searches!$K$60)</x:f>
      </x:c>
    </x:row>
    <x:row r="166">
      <x:c r="A166" s="48" t="str">
        <x:f>IF(Searches!$A$61&lt;&gt;"Yes","",Searches!$C$61)</x:f>
      </x:c>
      <x:c r="B166" s="48" t="str">
        <x:f>IF(Searches!$A$61&lt;&gt;"Yes","",Searches!$D$61)</x:f>
      </x:c>
      <x:c r="C166" s="48" t="str">
        <x:f>IF(Searches!$A$61&lt;&gt;"Yes","",Searches!$O$61)</x:f>
      </x:c>
      <x:c r="D166" s="48" t="str">
        <x:f>IF(Searches!$A$61&lt;&gt;"Yes","",Searches!$P$61)</x:f>
      </x:c>
      <x:c r="E166" s="48" t="str">
        <x:f>IF(Searches!$A$61&lt;&gt;"Yes","",Searches!$Q$61)</x:f>
      </x:c>
      <x:c r="F166" s="48" t="str">
        <x:f>IF(Searches!$A$61&lt;&gt;"Yes","",Searches!$R$61)</x:f>
      </x:c>
      <x:c r="G166" s="48" t="str">
        <x:f>IF(Searches!$A$61&lt;&gt;"Yes","",Searches!$E$61)</x:f>
      </x:c>
      <x:c r="H166" s="48" t="str">
        <x:f>IF(Searches!$A$61&lt;&gt;"Yes","",Searches!$N$61)</x:f>
      </x:c>
      <x:c r="I166" s="48" t="str">
        <x:f>IF(Searches!$A$61&lt;&gt;"Yes","",Searches!$B$61)</x:f>
      </x:c>
      <x:c r="J166" s="48" t="str">
        <x:f>IF(Searches!$A$61&lt;&gt;"Yes","",Searches!$K$61)</x:f>
      </x:c>
    </x:row>
    <x:row r="167">
      <x:c r="A167" s="48" t="str">
        <x:f>IF(Searches!$A$62&lt;&gt;"Yes","",Searches!$C$62)</x:f>
      </x:c>
      <x:c r="B167" s="48" t="str">
        <x:f>IF(Searches!$A$62&lt;&gt;"Yes","",Searches!$D$62)</x:f>
      </x:c>
      <x:c r="C167" s="48" t="str">
        <x:f>IF(Searches!$A$62&lt;&gt;"Yes","",Searches!$O$62)</x:f>
      </x:c>
      <x:c r="D167" s="48" t="str">
        <x:f>IF(Searches!$A$62&lt;&gt;"Yes","",Searches!$P$62)</x:f>
      </x:c>
      <x:c r="E167" s="48" t="str">
        <x:f>IF(Searches!$A$62&lt;&gt;"Yes","",Searches!$Q$62)</x:f>
      </x:c>
      <x:c r="F167" s="48" t="str">
        <x:f>IF(Searches!$A$62&lt;&gt;"Yes","",Searches!$R$62)</x:f>
      </x:c>
      <x:c r="G167" s="48" t="str">
        <x:f>IF(Searches!$A$62&lt;&gt;"Yes","",Searches!$E$62)</x:f>
      </x:c>
      <x:c r="H167" s="48" t="str">
        <x:f>IF(Searches!$A$62&lt;&gt;"Yes","",Searches!$N$62)</x:f>
      </x:c>
      <x:c r="I167" s="48" t="str">
        <x:f>IF(Searches!$A$62&lt;&gt;"Yes","",Searches!$B$62)</x:f>
      </x:c>
      <x:c r="J167" s="48" t="str">
        <x:f>IF(Searches!$A$62&lt;&gt;"Yes","",Searches!$K$62)</x:f>
      </x:c>
    </x:row>
    <x:row r="168">
      <x:c r="A168" s="48" t="str">
        <x:f>IF(Searches!$A$63&lt;&gt;"Yes","",Searches!$C$63)</x:f>
      </x:c>
      <x:c r="B168" s="48" t="str">
        <x:f>IF(Searches!$A$63&lt;&gt;"Yes","",Searches!$D$63)</x:f>
      </x:c>
      <x:c r="C168" s="48" t="str">
        <x:f>IF(Searches!$A$63&lt;&gt;"Yes","",Searches!$O$63)</x:f>
      </x:c>
      <x:c r="D168" s="48" t="str">
        <x:f>IF(Searches!$A$63&lt;&gt;"Yes","",Searches!$P$63)</x:f>
      </x:c>
      <x:c r="E168" s="48" t="str">
        <x:f>IF(Searches!$A$63&lt;&gt;"Yes","",Searches!$Q$63)</x:f>
      </x:c>
      <x:c r="F168" s="48" t="str">
        <x:f>IF(Searches!$A$63&lt;&gt;"Yes","",Searches!$R$63)</x:f>
      </x:c>
      <x:c r="G168" s="48" t="str">
        <x:f>IF(Searches!$A$63&lt;&gt;"Yes","",Searches!$E$63)</x:f>
      </x:c>
      <x:c r="H168" s="48" t="str">
        <x:f>IF(Searches!$A$63&lt;&gt;"Yes","",Searches!$N$63)</x:f>
      </x:c>
      <x:c r="I168" s="48" t="str">
        <x:f>IF(Searches!$A$63&lt;&gt;"Yes","",Searches!$B$63)</x:f>
      </x:c>
      <x:c r="J168" s="48" t="str">
        <x:f>IF(Searches!$A$63&lt;&gt;"Yes","",Searches!$K$63)</x:f>
      </x:c>
    </x:row>
    <x:row r="169">
      <x:c r="A169" s="48" t="str">
        <x:f>IF(Searches!$A$64&lt;&gt;"Yes","",Searches!$C$64)</x:f>
      </x:c>
      <x:c r="B169" s="48" t="str">
        <x:f>IF(Searches!$A$64&lt;&gt;"Yes","",Searches!$D$64)</x:f>
      </x:c>
      <x:c r="C169" s="48" t="str">
        <x:f>IF(Searches!$A$64&lt;&gt;"Yes","",Searches!$O$64)</x:f>
      </x:c>
      <x:c r="D169" s="48" t="str">
        <x:f>IF(Searches!$A$64&lt;&gt;"Yes","",Searches!$P$64)</x:f>
      </x:c>
      <x:c r="E169" s="48" t="str">
        <x:f>IF(Searches!$A$64&lt;&gt;"Yes","",Searches!$Q$64)</x:f>
      </x:c>
      <x:c r="F169" s="48" t="str">
        <x:f>IF(Searches!$A$64&lt;&gt;"Yes","",Searches!$R$64)</x:f>
      </x:c>
      <x:c r="G169" s="48" t="str">
        <x:f>IF(Searches!$A$64&lt;&gt;"Yes","",Searches!$E$64)</x:f>
      </x:c>
      <x:c r="H169" s="48" t="str">
        <x:f>IF(Searches!$A$64&lt;&gt;"Yes","",Searches!$N$64)</x:f>
      </x:c>
      <x:c r="I169" s="48" t="str">
        <x:f>IF(Searches!$A$64&lt;&gt;"Yes","",Searches!$B$64)</x:f>
      </x:c>
      <x:c r="J169" s="48" t="str">
        <x:f>IF(Searches!$A$64&lt;&gt;"Yes","",Searches!$K$64)</x:f>
      </x:c>
    </x:row>
    <x:row r="170">
      <x:c r="A170" s="48" t="str">
        <x:f>IF(Searches!$A$65&lt;&gt;"Yes","",Searches!$C$65)</x:f>
      </x:c>
      <x:c r="B170" s="48" t="str">
        <x:f>IF(Searches!$A$65&lt;&gt;"Yes","",Searches!$D$65)</x:f>
      </x:c>
      <x:c r="C170" s="48" t="str">
        <x:f>IF(Searches!$A$65&lt;&gt;"Yes","",Searches!$O$65)</x:f>
      </x:c>
      <x:c r="D170" s="48" t="str">
        <x:f>IF(Searches!$A$65&lt;&gt;"Yes","",Searches!$P$65)</x:f>
      </x:c>
      <x:c r="E170" s="48" t="str">
        <x:f>IF(Searches!$A$65&lt;&gt;"Yes","",Searches!$Q$65)</x:f>
      </x:c>
      <x:c r="F170" s="48" t="str">
        <x:f>IF(Searches!$A$65&lt;&gt;"Yes","",Searches!$R$65)</x:f>
      </x:c>
      <x:c r="G170" s="48" t="str">
        <x:f>IF(Searches!$A$65&lt;&gt;"Yes","",Searches!$E$65)</x:f>
      </x:c>
      <x:c r="H170" s="48" t="str">
        <x:f>IF(Searches!$A$65&lt;&gt;"Yes","",Searches!$N$65)</x:f>
      </x:c>
      <x:c r="I170" s="48" t="str">
        <x:f>IF(Searches!$A$65&lt;&gt;"Yes","",Searches!$B$65)</x:f>
      </x:c>
      <x:c r="J170" s="48" t="str">
        <x:f>IF(Searches!$A$65&lt;&gt;"Yes","",Searches!$K$65)</x:f>
      </x:c>
    </x:row>
    <x:row r="171">
      <x:c r="A171" s="48" t="str">
        <x:f>IF(Searches!$A$66&lt;&gt;"Yes","",Searches!$C$66)</x:f>
      </x:c>
      <x:c r="B171" s="48" t="str">
        <x:f>IF(Searches!$A$66&lt;&gt;"Yes","",Searches!$D$66)</x:f>
      </x:c>
      <x:c r="C171" s="48" t="str">
        <x:f>IF(Searches!$A$66&lt;&gt;"Yes","",Searches!$O$66)</x:f>
      </x:c>
      <x:c r="D171" s="48" t="str">
        <x:f>IF(Searches!$A$66&lt;&gt;"Yes","",Searches!$P$66)</x:f>
      </x:c>
      <x:c r="E171" s="48" t="str">
        <x:f>IF(Searches!$A$66&lt;&gt;"Yes","",Searches!$Q$66)</x:f>
      </x:c>
      <x:c r="F171" s="48" t="str">
        <x:f>IF(Searches!$A$66&lt;&gt;"Yes","",Searches!$R$66)</x:f>
      </x:c>
      <x:c r="G171" s="48" t="str">
        <x:f>IF(Searches!$A$66&lt;&gt;"Yes","",Searches!$E$66)</x:f>
      </x:c>
      <x:c r="H171" s="48" t="str">
        <x:f>IF(Searches!$A$66&lt;&gt;"Yes","",Searches!$N$66)</x:f>
      </x:c>
      <x:c r="I171" s="48" t="str">
        <x:f>IF(Searches!$A$66&lt;&gt;"Yes","",Searches!$B$66)</x:f>
      </x:c>
      <x:c r="J171" s="48" t="str">
        <x:f>IF(Searches!$A$66&lt;&gt;"Yes","",Searches!$K$66)</x:f>
      </x:c>
    </x:row>
    <x:row r="172">
      <x:c r="A172" s="48" t="str">
        <x:f>IF(Searches!$A$67&lt;&gt;"Yes","",Searches!$C$67)</x:f>
      </x:c>
      <x:c r="B172" s="48" t="str">
        <x:f>IF(Searches!$A$67&lt;&gt;"Yes","",Searches!$D$67)</x:f>
      </x:c>
      <x:c r="C172" s="48" t="str">
        <x:f>IF(Searches!$A$67&lt;&gt;"Yes","",Searches!$O$67)</x:f>
      </x:c>
      <x:c r="D172" s="48" t="str">
        <x:f>IF(Searches!$A$67&lt;&gt;"Yes","",Searches!$P$67)</x:f>
      </x:c>
      <x:c r="E172" s="48" t="str">
        <x:f>IF(Searches!$A$67&lt;&gt;"Yes","",Searches!$Q$67)</x:f>
      </x:c>
      <x:c r="F172" s="48" t="str">
        <x:f>IF(Searches!$A$67&lt;&gt;"Yes","",Searches!$R$67)</x:f>
      </x:c>
      <x:c r="G172" s="48" t="str">
        <x:f>IF(Searches!$A$67&lt;&gt;"Yes","",Searches!$E$67)</x:f>
      </x:c>
      <x:c r="H172" s="48" t="str">
        <x:f>IF(Searches!$A$67&lt;&gt;"Yes","",Searches!$N$67)</x:f>
      </x:c>
      <x:c r="I172" s="48" t="str">
        <x:f>IF(Searches!$A$67&lt;&gt;"Yes","",Searches!$B$67)</x:f>
      </x:c>
      <x:c r="J172" s="48" t="str">
        <x:f>IF(Searches!$A$67&lt;&gt;"Yes","",Searches!$K$67)</x:f>
      </x:c>
    </x:row>
    <x:row r="173">
      <x:c r="A173" s="48" t="str">
        <x:f>IF(Searches!$A$68&lt;&gt;"Yes","",Searches!$C$68)</x:f>
      </x:c>
      <x:c r="B173" s="48" t="str">
        <x:f>IF(Searches!$A$68&lt;&gt;"Yes","",Searches!$D$68)</x:f>
      </x:c>
      <x:c r="C173" s="48" t="str">
        <x:f>IF(Searches!$A$68&lt;&gt;"Yes","",Searches!$O$68)</x:f>
      </x:c>
      <x:c r="D173" s="48" t="str">
        <x:f>IF(Searches!$A$68&lt;&gt;"Yes","",Searches!$P$68)</x:f>
      </x:c>
      <x:c r="E173" s="48" t="str">
        <x:f>IF(Searches!$A$68&lt;&gt;"Yes","",Searches!$Q$68)</x:f>
      </x:c>
      <x:c r="F173" s="48" t="str">
        <x:f>IF(Searches!$A$68&lt;&gt;"Yes","",Searches!$R$68)</x:f>
      </x:c>
      <x:c r="G173" s="48" t="str">
        <x:f>IF(Searches!$A$68&lt;&gt;"Yes","",Searches!$E$68)</x:f>
      </x:c>
      <x:c r="H173" s="48" t="str">
        <x:f>IF(Searches!$A$68&lt;&gt;"Yes","",Searches!$N$68)</x:f>
      </x:c>
      <x:c r="I173" s="48" t="str">
        <x:f>IF(Searches!$A$68&lt;&gt;"Yes","",Searches!$B$68)</x:f>
      </x:c>
      <x:c r="J173" s="48" t="str">
        <x:f>IF(Searches!$A$68&lt;&gt;"Yes","",Searches!$K$68)</x:f>
      </x:c>
    </x:row>
    <x:row r="174">
      <x:c r="A174" s="48" t="str">
        <x:f>IF(Searches!$A$69&lt;&gt;"Yes","",Searches!$C$69)</x:f>
      </x:c>
      <x:c r="B174" s="48" t="str">
        <x:f>IF(Searches!$A$69&lt;&gt;"Yes","",Searches!$D$69)</x:f>
      </x:c>
      <x:c r="C174" s="48" t="str">
        <x:f>IF(Searches!$A$69&lt;&gt;"Yes","",Searches!$O$69)</x:f>
      </x:c>
      <x:c r="D174" s="48" t="str">
        <x:f>IF(Searches!$A$69&lt;&gt;"Yes","",Searches!$P$69)</x:f>
      </x:c>
      <x:c r="E174" s="48" t="str">
        <x:f>IF(Searches!$A$69&lt;&gt;"Yes","",Searches!$Q$69)</x:f>
      </x:c>
      <x:c r="F174" s="48" t="str">
        <x:f>IF(Searches!$A$69&lt;&gt;"Yes","",Searches!$R$69)</x:f>
      </x:c>
      <x:c r="G174" s="48" t="str">
        <x:f>IF(Searches!$A$69&lt;&gt;"Yes","",Searches!$E$69)</x:f>
      </x:c>
      <x:c r="H174" s="48" t="str">
        <x:f>IF(Searches!$A$69&lt;&gt;"Yes","",Searches!$N$69)</x:f>
      </x:c>
      <x:c r="I174" s="48" t="str">
        <x:f>IF(Searches!$A$69&lt;&gt;"Yes","",Searches!$B$69)</x:f>
      </x:c>
      <x:c r="J174" s="48" t="str">
        <x:f>IF(Searches!$A$69&lt;&gt;"Yes","",Searches!$K$69)</x:f>
      </x:c>
    </x:row>
    <x:row r="175">
      <x:c r="A175" s="48" t="str">
        <x:f>IF(Searches!$A$70&lt;&gt;"Yes","",Searches!$C$70)</x:f>
      </x:c>
      <x:c r="B175" s="48" t="str">
        <x:f>IF(Searches!$A$70&lt;&gt;"Yes","",Searches!$D$70)</x:f>
      </x:c>
      <x:c r="C175" s="48" t="str">
        <x:f>IF(Searches!$A$70&lt;&gt;"Yes","",Searches!$O$70)</x:f>
      </x:c>
      <x:c r="D175" s="48" t="str">
        <x:f>IF(Searches!$A$70&lt;&gt;"Yes","",Searches!$P$70)</x:f>
      </x:c>
      <x:c r="E175" s="48" t="str">
        <x:f>IF(Searches!$A$70&lt;&gt;"Yes","",Searches!$Q$70)</x:f>
      </x:c>
      <x:c r="F175" s="48" t="str">
        <x:f>IF(Searches!$A$70&lt;&gt;"Yes","",Searches!$R$70)</x:f>
      </x:c>
      <x:c r="G175" s="48" t="str">
        <x:f>IF(Searches!$A$70&lt;&gt;"Yes","",Searches!$E$70)</x:f>
      </x:c>
      <x:c r="H175" s="48" t="str">
        <x:f>IF(Searches!$A$70&lt;&gt;"Yes","",Searches!$N$70)</x:f>
      </x:c>
      <x:c r="I175" s="48" t="str">
        <x:f>IF(Searches!$A$70&lt;&gt;"Yes","",Searches!$B$70)</x:f>
      </x:c>
      <x:c r="J175" s="48" t="str">
        <x:f>IF(Searches!$A$70&lt;&gt;"Yes","",Searches!$K$70)</x:f>
      </x:c>
    </x:row>
    <x:row r="176">
      <x:c r="A176" s="48" t="str">
        <x:f>IF(Searches!$A$71&lt;&gt;"Yes","",Searches!$C$71)</x:f>
      </x:c>
      <x:c r="B176" s="48" t="str">
        <x:f>IF(Searches!$A$71&lt;&gt;"Yes","",Searches!$D$71)</x:f>
      </x:c>
      <x:c r="C176" s="48" t="str">
        <x:f>IF(Searches!$A$71&lt;&gt;"Yes","",Searches!$O$71)</x:f>
      </x:c>
      <x:c r="D176" s="48" t="str">
        <x:f>IF(Searches!$A$71&lt;&gt;"Yes","",Searches!$P$71)</x:f>
      </x:c>
      <x:c r="E176" s="48" t="str">
        <x:f>IF(Searches!$A$71&lt;&gt;"Yes","",Searches!$Q$71)</x:f>
      </x:c>
      <x:c r="F176" s="48" t="str">
        <x:f>IF(Searches!$A$71&lt;&gt;"Yes","",Searches!$R$71)</x:f>
      </x:c>
      <x:c r="G176" s="48" t="str">
        <x:f>IF(Searches!$A$71&lt;&gt;"Yes","",Searches!$E$71)</x:f>
      </x:c>
      <x:c r="H176" s="48" t="str">
        <x:f>IF(Searches!$A$71&lt;&gt;"Yes","",Searches!$N$71)</x:f>
      </x:c>
      <x:c r="I176" s="48" t="str">
        <x:f>IF(Searches!$A$71&lt;&gt;"Yes","",Searches!$B$71)</x:f>
      </x:c>
      <x:c r="J176" s="48" t="str">
        <x:f>IF(Searches!$A$71&lt;&gt;"Yes","",Searches!$K$71)</x:f>
      </x:c>
    </x:row>
    <x:row r="177">
      <x:c r="A177" s="48" t="str">
        <x:f>IF(Searches!$A$72&lt;&gt;"Yes","",Searches!$C$72)</x:f>
      </x:c>
      <x:c r="B177" s="48" t="str">
        <x:f>IF(Searches!$A$72&lt;&gt;"Yes","",Searches!$D$72)</x:f>
      </x:c>
      <x:c r="C177" s="48" t="str">
        <x:f>IF(Searches!$A$72&lt;&gt;"Yes","",Searches!$O$72)</x:f>
      </x:c>
      <x:c r="D177" s="48" t="str">
        <x:f>IF(Searches!$A$72&lt;&gt;"Yes","",Searches!$P$72)</x:f>
      </x:c>
      <x:c r="E177" s="48" t="str">
        <x:f>IF(Searches!$A$72&lt;&gt;"Yes","",Searches!$Q$72)</x:f>
      </x:c>
      <x:c r="F177" s="48" t="str">
        <x:f>IF(Searches!$A$72&lt;&gt;"Yes","",Searches!$R$72)</x:f>
      </x:c>
      <x:c r="G177" s="48" t="str">
        <x:f>IF(Searches!$A$72&lt;&gt;"Yes","",Searches!$E$72)</x:f>
      </x:c>
      <x:c r="H177" s="48" t="str">
        <x:f>IF(Searches!$A$72&lt;&gt;"Yes","",Searches!$N$72)</x:f>
      </x:c>
      <x:c r="I177" s="48" t="str">
        <x:f>IF(Searches!$A$72&lt;&gt;"Yes","",Searches!$B$72)</x:f>
      </x:c>
      <x:c r="J177" s="48" t="str">
        <x:f>IF(Searches!$A$72&lt;&gt;"Yes","",Searches!$K$72)</x:f>
      </x:c>
    </x:row>
    <x:row r="178">
      <x:c r="A178" s="48" t="str">
        <x:f>IF(Searches!$A$73&lt;&gt;"Yes","",Searches!$C$73)</x:f>
      </x:c>
      <x:c r="B178" s="48" t="str">
        <x:f>IF(Searches!$A$73&lt;&gt;"Yes","",Searches!$D$73)</x:f>
      </x:c>
      <x:c r="C178" s="48" t="str">
        <x:f>IF(Searches!$A$73&lt;&gt;"Yes","",Searches!$O$73)</x:f>
      </x:c>
      <x:c r="D178" s="48" t="str">
        <x:f>IF(Searches!$A$73&lt;&gt;"Yes","",Searches!$P$73)</x:f>
      </x:c>
      <x:c r="E178" s="48" t="str">
        <x:f>IF(Searches!$A$73&lt;&gt;"Yes","",Searches!$Q$73)</x:f>
      </x:c>
      <x:c r="F178" s="48" t="str">
        <x:f>IF(Searches!$A$73&lt;&gt;"Yes","",Searches!$R$73)</x:f>
      </x:c>
      <x:c r="G178" s="48" t="str">
        <x:f>IF(Searches!$A$73&lt;&gt;"Yes","",Searches!$E$73)</x:f>
      </x:c>
      <x:c r="H178" s="48" t="str">
        <x:f>IF(Searches!$A$73&lt;&gt;"Yes","",Searches!$N$73)</x:f>
      </x:c>
      <x:c r="I178" s="48" t="str">
        <x:f>IF(Searches!$A$73&lt;&gt;"Yes","",Searches!$B$73)</x:f>
      </x:c>
      <x:c r="J178" s="48" t="str">
        <x:f>IF(Searches!$A$73&lt;&gt;"Yes","",Searches!$K$73)</x:f>
      </x:c>
    </x:row>
    <x:row r="179">
      <x:c r="A179" s="48" t="str">
        <x:f>IF(Searches!$A$74&lt;&gt;"Yes","",Searches!$C$74)</x:f>
      </x:c>
      <x:c r="B179" s="48" t="str">
        <x:f>IF(Searches!$A$74&lt;&gt;"Yes","",Searches!$D$74)</x:f>
      </x:c>
      <x:c r="C179" s="48" t="str">
        <x:f>IF(Searches!$A$74&lt;&gt;"Yes","",Searches!$O$74)</x:f>
      </x:c>
      <x:c r="D179" s="48" t="str">
        <x:f>IF(Searches!$A$74&lt;&gt;"Yes","",Searches!$P$74)</x:f>
      </x:c>
      <x:c r="E179" s="48" t="str">
        <x:f>IF(Searches!$A$74&lt;&gt;"Yes","",Searches!$Q$74)</x:f>
      </x:c>
      <x:c r="F179" s="48" t="str">
        <x:f>IF(Searches!$A$74&lt;&gt;"Yes","",Searches!$R$74)</x:f>
      </x:c>
      <x:c r="G179" s="48" t="str">
        <x:f>IF(Searches!$A$74&lt;&gt;"Yes","",Searches!$E$74)</x:f>
      </x:c>
      <x:c r="H179" s="48" t="str">
        <x:f>IF(Searches!$A$74&lt;&gt;"Yes","",Searches!$N$74)</x:f>
      </x:c>
      <x:c r="I179" s="48" t="str">
        <x:f>IF(Searches!$A$74&lt;&gt;"Yes","",Searches!$B$74)</x:f>
      </x:c>
      <x:c r="J179" s="48" t="str">
        <x:f>IF(Searches!$A$74&lt;&gt;"Yes","",Searches!$K$74)</x:f>
      </x:c>
    </x:row>
    <x:row r="180">
      <x:c r="A180" s="48" t="str">
        <x:f>IF(Searches!$A$75&lt;&gt;"Yes","",Searches!$C$75)</x:f>
      </x:c>
      <x:c r="B180" s="48" t="str">
        <x:f>IF(Searches!$A$75&lt;&gt;"Yes","",Searches!$D$75)</x:f>
      </x:c>
      <x:c r="C180" s="48" t="str">
        <x:f>IF(Searches!$A$75&lt;&gt;"Yes","",Searches!$O$75)</x:f>
      </x:c>
      <x:c r="D180" s="48" t="str">
        <x:f>IF(Searches!$A$75&lt;&gt;"Yes","",Searches!$P$75)</x:f>
      </x:c>
      <x:c r="E180" s="48" t="str">
        <x:f>IF(Searches!$A$75&lt;&gt;"Yes","",Searches!$Q$75)</x:f>
      </x:c>
      <x:c r="F180" s="48" t="str">
        <x:f>IF(Searches!$A$75&lt;&gt;"Yes","",Searches!$R$75)</x:f>
      </x:c>
      <x:c r="G180" s="48" t="str">
        <x:f>IF(Searches!$A$75&lt;&gt;"Yes","",Searches!$E$75)</x:f>
      </x:c>
      <x:c r="H180" s="48" t="str">
        <x:f>IF(Searches!$A$75&lt;&gt;"Yes","",Searches!$N$75)</x:f>
      </x:c>
      <x:c r="I180" s="48" t="str">
        <x:f>IF(Searches!$A$75&lt;&gt;"Yes","",Searches!$B$75)</x:f>
      </x:c>
      <x:c r="J180" s="48" t="str">
        <x:f>IF(Searches!$A$75&lt;&gt;"Yes","",Searches!$K$75)</x:f>
      </x:c>
    </x:row>
    <x:row r="181">
      <x:c r="A181" s="48" t="str">
        <x:f>IF(Searches!$A$76&lt;&gt;"Yes","",Searches!$C$76)</x:f>
      </x:c>
      <x:c r="B181" s="48" t="str">
        <x:f>IF(Searches!$A$76&lt;&gt;"Yes","",Searches!$D$76)</x:f>
      </x:c>
      <x:c r="C181" s="48" t="str">
        <x:f>IF(Searches!$A$76&lt;&gt;"Yes","",Searches!$O$76)</x:f>
      </x:c>
      <x:c r="D181" s="48" t="str">
        <x:f>IF(Searches!$A$76&lt;&gt;"Yes","",Searches!$P$76)</x:f>
      </x:c>
      <x:c r="E181" s="48" t="str">
        <x:f>IF(Searches!$A$76&lt;&gt;"Yes","",Searches!$Q$76)</x:f>
      </x:c>
      <x:c r="F181" s="48" t="str">
        <x:f>IF(Searches!$A$76&lt;&gt;"Yes","",Searches!$R$76)</x:f>
      </x:c>
      <x:c r="G181" s="48" t="str">
        <x:f>IF(Searches!$A$76&lt;&gt;"Yes","",Searches!$E$76)</x:f>
      </x:c>
      <x:c r="H181" s="48" t="str">
        <x:f>IF(Searches!$A$76&lt;&gt;"Yes","",Searches!$N$76)</x:f>
      </x:c>
      <x:c r="I181" s="48" t="str">
        <x:f>IF(Searches!$A$76&lt;&gt;"Yes","",Searches!$B$76)</x:f>
      </x:c>
      <x:c r="J181" s="48" t="str">
        <x:f>IF(Searches!$A$76&lt;&gt;"Yes","",Searches!$K$76)</x:f>
      </x:c>
    </x:row>
    <x:row r="182">
      <x:c r="A182" s="48" t="str">
        <x:f>IF(Searches!$A$77&lt;&gt;"Yes","",Searches!$C$77)</x:f>
      </x:c>
      <x:c r="B182" s="48" t="str">
        <x:f>IF(Searches!$A$77&lt;&gt;"Yes","",Searches!$D$77)</x:f>
      </x:c>
      <x:c r="C182" s="48" t="str">
        <x:f>IF(Searches!$A$77&lt;&gt;"Yes","",Searches!$O$77)</x:f>
      </x:c>
      <x:c r="D182" s="48" t="str">
        <x:f>IF(Searches!$A$77&lt;&gt;"Yes","",Searches!$P$77)</x:f>
      </x:c>
      <x:c r="E182" s="48" t="str">
        <x:f>IF(Searches!$A$77&lt;&gt;"Yes","",Searches!$Q$77)</x:f>
      </x:c>
      <x:c r="F182" s="48" t="str">
        <x:f>IF(Searches!$A$77&lt;&gt;"Yes","",Searches!$R$77)</x:f>
      </x:c>
      <x:c r="G182" s="48" t="str">
        <x:f>IF(Searches!$A$77&lt;&gt;"Yes","",Searches!$E$77)</x:f>
      </x:c>
      <x:c r="H182" s="48" t="str">
        <x:f>IF(Searches!$A$77&lt;&gt;"Yes","",Searches!$N$77)</x:f>
      </x:c>
      <x:c r="I182" s="48" t="str">
        <x:f>IF(Searches!$A$77&lt;&gt;"Yes","",Searches!$B$77)</x:f>
      </x:c>
      <x:c r="J182" s="48" t="str">
        <x:f>IF(Searches!$A$77&lt;&gt;"Yes","",Searches!$K$77)</x:f>
      </x:c>
    </x:row>
    <x:row r="183">
      <x:c r="A183" s="48" t="str">
        <x:f>IF(Searches!$A$78&lt;&gt;"Yes","",Searches!$C$78)</x:f>
      </x:c>
      <x:c r="B183" s="48" t="str">
        <x:f>IF(Searches!$A$78&lt;&gt;"Yes","",Searches!$D$78)</x:f>
      </x:c>
      <x:c r="C183" s="48" t="str">
        <x:f>IF(Searches!$A$78&lt;&gt;"Yes","",Searches!$O$78)</x:f>
      </x:c>
      <x:c r="D183" s="48" t="str">
        <x:f>IF(Searches!$A$78&lt;&gt;"Yes","",Searches!$P$78)</x:f>
      </x:c>
      <x:c r="E183" s="48" t="str">
        <x:f>IF(Searches!$A$78&lt;&gt;"Yes","",Searches!$Q$78)</x:f>
      </x:c>
      <x:c r="F183" s="48" t="str">
        <x:f>IF(Searches!$A$78&lt;&gt;"Yes","",Searches!$R$78)</x:f>
      </x:c>
      <x:c r="G183" s="48" t="str">
        <x:f>IF(Searches!$A$78&lt;&gt;"Yes","",Searches!$E$78)</x:f>
      </x:c>
      <x:c r="H183" s="48" t="str">
        <x:f>IF(Searches!$A$78&lt;&gt;"Yes","",Searches!$N$78)</x:f>
      </x:c>
      <x:c r="I183" s="48" t="str">
        <x:f>IF(Searches!$A$78&lt;&gt;"Yes","",Searches!$B$78)</x:f>
      </x:c>
      <x:c r="J183" s="48" t="str">
        <x:f>IF(Searches!$A$78&lt;&gt;"Yes","",Searches!$K$78)</x:f>
      </x:c>
    </x:row>
    <x:row r="184">
      <x:c r="A184" s="48" t="str">
        <x:f>IF(Searches!$A$79&lt;&gt;"Yes","",Searches!$C$79)</x:f>
      </x:c>
      <x:c r="B184" s="48" t="str">
        <x:f>IF(Searches!$A$79&lt;&gt;"Yes","",Searches!$D$79)</x:f>
      </x:c>
      <x:c r="C184" s="48" t="str">
        <x:f>IF(Searches!$A$79&lt;&gt;"Yes","",Searches!$O$79)</x:f>
      </x:c>
      <x:c r="D184" s="48" t="str">
        <x:f>IF(Searches!$A$79&lt;&gt;"Yes","",Searches!$P$79)</x:f>
      </x:c>
      <x:c r="E184" s="48" t="str">
        <x:f>IF(Searches!$A$79&lt;&gt;"Yes","",Searches!$Q$79)</x:f>
      </x:c>
      <x:c r="F184" s="48" t="str">
        <x:f>IF(Searches!$A$79&lt;&gt;"Yes","",Searches!$R$79)</x:f>
      </x:c>
      <x:c r="G184" s="48" t="str">
        <x:f>IF(Searches!$A$79&lt;&gt;"Yes","",Searches!$E$79)</x:f>
      </x:c>
      <x:c r="H184" s="48" t="str">
        <x:f>IF(Searches!$A$79&lt;&gt;"Yes","",Searches!$N$79)</x:f>
      </x:c>
      <x:c r="I184" s="48" t="str">
        <x:f>IF(Searches!$A$79&lt;&gt;"Yes","",Searches!$B$79)</x:f>
      </x:c>
      <x:c r="J184" s="48" t="str">
        <x:f>IF(Searches!$A$79&lt;&gt;"Yes","",Searches!$K$79)</x:f>
      </x:c>
    </x:row>
    <x:row r="185">
      <x:c r="A185" s="48" t="str">
        <x:f>IF(Searches!$A$80&lt;&gt;"Yes","",Searches!$C$80)</x:f>
      </x:c>
      <x:c r="B185" s="48" t="str">
        <x:f>IF(Searches!$A$80&lt;&gt;"Yes","",Searches!$D$80)</x:f>
      </x:c>
      <x:c r="C185" s="48" t="str">
        <x:f>IF(Searches!$A$80&lt;&gt;"Yes","",Searches!$O$80)</x:f>
      </x:c>
      <x:c r="D185" s="48" t="str">
        <x:f>IF(Searches!$A$80&lt;&gt;"Yes","",Searches!$P$80)</x:f>
      </x:c>
      <x:c r="E185" s="48" t="str">
        <x:f>IF(Searches!$A$80&lt;&gt;"Yes","",Searches!$Q$80)</x:f>
      </x:c>
      <x:c r="F185" s="48" t="str">
        <x:f>IF(Searches!$A$80&lt;&gt;"Yes","",Searches!$R$80)</x:f>
      </x:c>
      <x:c r="G185" s="48" t="str">
        <x:f>IF(Searches!$A$80&lt;&gt;"Yes","",Searches!$E$80)</x:f>
      </x:c>
      <x:c r="H185" s="48" t="str">
        <x:f>IF(Searches!$A$80&lt;&gt;"Yes","",Searches!$N$80)</x:f>
      </x:c>
      <x:c r="I185" s="48" t="str">
        <x:f>IF(Searches!$A$80&lt;&gt;"Yes","",Searches!$B$80)</x:f>
      </x:c>
      <x:c r="J185" s="48" t="str">
        <x:f>IF(Searches!$A$80&lt;&gt;"Yes","",Searches!$K$80)</x:f>
      </x:c>
    </x:row>
    <x:row r="186">
      <x:c r="A186" s="48" t="str">
        <x:f>IF(Searches!$A$81&lt;&gt;"Yes","",Searches!$C$81)</x:f>
      </x:c>
      <x:c r="B186" s="48" t="str">
        <x:f>IF(Searches!$A$81&lt;&gt;"Yes","",Searches!$D$81)</x:f>
      </x:c>
      <x:c r="C186" s="48" t="str">
        <x:f>IF(Searches!$A$81&lt;&gt;"Yes","",Searches!$O$81)</x:f>
      </x:c>
      <x:c r="D186" s="48" t="str">
        <x:f>IF(Searches!$A$81&lt;&gt;"Yes","",Searches!$P$81)</x:f>
      </x:c>
      <x:c r="E186" s="48" t="str">
        <x:f>IF(Searches!$A$81&lt;&gt;"Yes","",Searches!$Q$81)</x:f>
      </x:c>
      <x:c r="F186" s="48" t="str">
        <x:f>IF(Searches!$A$81&lt;&gt;"Yes","",Searches!$R$81)</x:f>
      </x:c>
      <x:c r="G186" s="48" t="str">
        <x:f>IF(Searches!$A$81&lt;&gt;"Yes","",Searches!$E$81)</x:f>
      </x:c>
      <x:c r="H186" s="48" t="str">
        <x:f>IF(Searches!$A$81&lt;&gt;"Yes","",Searches!$N$81)</x:f>
      </x:c>
      <x:c r="I186" s="48" t="str">
        <x:f>IF(Searches!$A$81&lt;&gt;"Yes","",Searches!$B$81)</x:f>
      </x:c>
      <x:c r="J186" s="48" t="str">
        <x:f>IF(Searches!$A$81&lt;&gt;"Yes","",Searches!$K$81)</x:f>
      </x:c>
    </x:row>
    <x:row r="187">
      <x:c r="A187" s="48" t="str">
        <x:f>IF(Searches!$A$82&lt;&gt;"Yes","",Searches!$C$82)</x:f>
      </x:c>
      <x:c r="B187" s="48" t="str">
        <x:f>IF(Searches!$A$82&lt;&gt;"Yes","",Searches!$D$82)</x:f>
      </x:c>
      <x:c r="C187" s="48" t="str">
        <x:f>IF(Searches!$A$82&lt;&gt;"Yes","",Searches!$O$82)</x:f>
      </x:c>
      <x:c r="D187" s="48" t="str">
        <x:f>IF(Searches!$A$82&lt;&gt;"Yes","",Searches!$P$82)</x:f>
      </x:c>
      <x:c r="E187" s="48" t="str">
        <x:f>IF(Searches!$A$82&lt;&gt;"Yes","",Searches!$Q$82)</x:f>
      </x:c>
      <x:c r="F187" s="48" t="str">
        <x:f>IF(Searches!$A$82&lt;&gt;"Yes","",Searches!$R$82)</x:f>
      </x:c>
      <x:c r="G187" s="48" t="str">
        <x:f>IF(Searches!$A$82&lt;&gt;"Yes","",Searches!$E$82)</x:f>
      </x:c>
      <x:c r="H187" s="48" t="str">
        <x:f>IF(Searches!$A$82&lt;&gt;"Yes","",Searches!$N$82)</x:f>
      </x:c>
      <x:c r="I187" s="48" t="str">
        <x:f>IF(Searches!$A$82&lt;&gt;"Yes","",Searches!$B$82)</x:f>
      </x:c>
      <x:c r="J187" s="48" t="str">
        <x:f>IF(Searches!$A$82&lt;&gt;"Yes","",Searches!$K$82)</x:f>
      </x:c>
    </x:row>
    <x:row r="188">
      <x:c r="A188" s="48" t="str">
        <x:f>IF(Searches!$A$83&lt;&gt;"Yes","",Searches!$C$83)</x:f>
      </x:c>
      <x:c r="B188" s="48" t="str">
        <x:f>IF(Searches!$A$83&lt;&gt;"Yes","",Searches!$D$83)</x:f>
      </x:c>
      <x:c r="C188" s="48" t="str">
        <x:f>IF(Searches!$A$83&lt;&gt;"Yes","",Searches!$O$83)</x:f>
      </x:c>
      <x:c r="D188" s="48" t="str">
        <x:f>IF(Searches!$A$83&lt;&gt;"Yes","",Searches!$P$83)</x:f>
      </x:c>
      <x:c r="E188" s="48" t="str">
        <x:f>IF(Searches!$A$83&lt;&gt;"Yes","",Searches!$Q$83)</x:f>
      </x:c>
      <x:c r="F188" s="48" t="str">
        <x:f>IF(Searches!$A$83&lt;&gt;"Yes","",Searches!$R$83)</x:f>
      </x:c>
      <x:c r="G188" s="48" t="str">
        <x:f>IF(Searches!$A$83&lt;&gt;"Yes","",Searches!$E$83)</x:f>
      </x:c>
      <x:c r="H188" s="48" t="str">
        <x:f>IF(Searches!$A$83&lt;&gt;"Yes","",Searches!$N$83)</x:f>
      </x:c>
      <x:c r="I188" s="48" t="str">
        <x:f>IF(Searches!$A$83&lt;&gt;"Yes","",Searches!$B$83)</x:f>
      </x:c>
      <x:c r="J188" s="48" t="str">
        <x:f>IF(Searches!$A$83&lt;&gt;"Yes","",Searches!$K$83)</x:f>
      </x:c>
    </x:row>
    <x:row r="189">
      <x:c r="A189" s="48" t="str">
        <x:f>IF(Searches!$A$84&lt;&gt;"Yes","",Searches!$C$84)</x:f>
      </x:c>
      <x:c r="B189" s="48" t="str">
        <x:f>IF(Searches!$A$84&lt;&gt;"Yes","",Searches!$D$84)</x:f>
      </x:c>
      <x:c r="C189" s="48" t="str">
        <x:f>IF(Searches!$A$84&lt;&gt;"Yes","",Searches!$O$84)</x:f>
      </x:c>
      <x:c r="D189" s="48" t="str">
        <x:f>IF(Searches!$A$84&lt;&gt;"Yes","",Searches!$P$84)</x:f>
      </x:c>
      <x:c r="E189" s="48" t="str">
        <x:f>IF(Searches!$A$84&lt;&gt;"Yes","",Searches!$Q$84)</x:f>
      </x:c>
      <x:c r="F189" s="48" t="str">
        <x:f>IF(Searches!$A$84&lt;&gt;"Yes","",Searches!$R$84)</x:f>
      </x:c>
      <x:c r="G189" s="48" t="str">
        <x:f>IF(Searches!$A$84&lt;&gt;"Yes","",Searches!$E$84)</x:f>
      </x:c>
      <x:c r="H189" s="48" t="str">
        <x:f>IF(Searches!$A$84&lt;&gt;"Yes","",Searches!$N$84)</x:f>
      </x:c>
      <x:c r="I189" s="48" t="str">
        <x:f>IF(Searches!$A$84&lt;&gt;"Yes","",Searches!$B$84)</x:f>
      </x:c>
      <x:c r="J189" s="48" t="str">
        <x:f>IF(Searches!$A$84&lt;&gt;"Yes","",Searches!$K$84)</x:f>
      </x:c>
    </x:row>
    <x:row r="190">
      <x:c r="A190" s="48" t="str">
        <x:f>IF(Searches!$A$85&lt;&gt;"Yes","",Searches!$C$85)</x:f>
      </x:c>
      <x:c r="B190" s="48" t="str">
        <x:f>IF(Searches!$A$85&lt;&gt;"Yes","",Searches!$D$85)</x:f>
      </x:c>
      <x:c r="C190" s="48" t="str">
        <x:f>IF(Searches!$A$85&lt;&gt;"Yes","",Searches!$O$85)</x:f>
      </x:c>
      <x:c r="D190" s="48" t="str">
        <x:f>IF(Searches!$A$85&lt;&gt;"Yes","",Searches!$P$85)</x:f>
      </x:c>
      <x:c r="E190" s="48" t="str">
        <x:f>IF(Searches!$A$85&lt;&gt;"Yes","",Searches!$Q$85)</x:f>
      </x:c>
      <x:c r="F190" s="48" t="str">
        <x:f>IF(Searches!$A$85&lt;&gt;"Yes","",Searches!$R$85)</x:f>
      </x:c>
      <x:c r="G190" s="48" t="str">
        <x:f>IF(Searches!$A$85&lt;&gt;"Yes","",Searches!$E$85)</x:f>
      </x:c>
      <x:c r="H190" s="48" t="str">
        <x:f>IF(Searches!$A$85&lt;&gt;"Yes","",Searches!$N$85)</x:f>
      </x:c>
      <x:c r="I190" s="48" t="str">
        <x:f>IF(Searches!$A$85&lt;&gt;"Yes","",Searches!$B$85)</x:f>
      </x:c>
      <x:c r="J190" s="48" t="str">
        <x:f>IF(Searches!$A$85&lt;&gt;"Yes","",Searches!$K$85)</x:f>
      </x:c>
    </x:row>
    <x:row r="191">
      <x:c r="A191" s="48" t="str">
        <x:f>IF(Searches!$A$86&lt;&gt;"Yes","",Searches!$C$86)</x:f>
      </x:c>
      <x:c r="B191" s="48" t="str">
        <x:f>IF(Searches!$A$86&lt;&gt;"Yes","",Searches!$D$86)</x:f>
      </x:c>
      <x:c r="C191" s="48" t="str">
        <x:f>IF(Searches!$A$86&lt;&gt;"Yes","",Searches!$O$86)</x:f>
      </x:c>
      <x:c r="D191" s="48" t="str">
        <x:f>IF(Searches!$A$86&lt;&gt;"Yes","",Searches!$P$86)</x:f>
      </x:c>
      <x:c r="E191" s="48" t="str">
        <x:f>IF(Searches!$A$86&lt;&gt;"Yes","",Searches!$Q$86)</x:f>
      </x:c>
      <x:c r="F191" s="48" t="str">
        <x:f>IF(Searches!$A$86&lt;&gt;"Yes","",Searches!$R$86)</x:f>
      </x:c>
      <x:c r="G191" s="48" t="str">
        <x:f>IF(Searches!$A$86&lt;&gt;"Yes","",Searches!$E$86)</x:f>
      </x:c>
      <x:c r="H191" s="48" t="str">
        <x:f>IF(Searches!$A$86&lt;&gt;"Yes","",Searches!$N$86)</x:f>
      </x:c>
      <x:c r="I191" s="48" t="str">
        <x:f>IF(Searches!$A$86&lt;&gt;"Yes","",Searches!$B$86)</x:f>
      </x:c>
      <x:c r="J191" s="48" t="str">
        <x:f>IF(Searches!$A$86&lt;&gt;"Yes","",Searches!$K$86)</x:f>
      </x:c>
    </x:row>
    <x:row r="192">
      <x:c r="A192" s="48" t="str">
        <x:f>IF(Searches!$A$87&lt;&gt;"Yes","",Searches!$C$87)</x:f>
      </x:c>
      <x:c r="B192" s="48" t="str">
        <x:f>IF(Searches!$A$87&lt;&gt;"Yes","",Searches!$D$87)</x:f>
      </x:c>
      <x:c r="C192" s="48" t="str">
        <x:f>IF(Searches!$A$87&lt;&gt;"Yes","",Searches!$O$87)</x:f>
      </x:c>
      <x:c r="D192" s="48" t="str">
        <x:f>IF(Searches!$A$87&lt;&gt;"Yes","",Searches!$P$87)</x:f>
      </x:c>
      <x:c r="E192" s="48" t="str">
        <x:f>IF(Searches!$A$87&lt;&gt;"Yes","",Searches!$Q$87)</x:f>
      </x:c>
      <x:c r="F192" s="48" t="str">
        <x:f>IF(Searches!$A$87&lt;&gt;"Yes","",Searches!$R$87)</x:f>
      </x:c>
      <x:c r="G192" s="48" t="str">
        <x:f>IF(Searches!$A$87&lt;&gt;"Yes","",Searches!$E$87)</x:f>
      </x:c>
      <x:c r="H192" s="48" t="str">
        <x:f>IF(Searches!$A$87&lt;&gt;"Yes","",Searches!$N$87)</x:f>
      </x:c>
      <x:c r="I192" s="48" t="str">
        <x:f>IF(Searches!$A$87&lt;&gt;"Yes","",Searches!$B$87)</x:f>
      </x:c>
      <x:c r="J192" s="48" t="str">
        <x:f>IF(Searches!$A$87&lt;&gt;"Yes","",Searches!$K$87)</x:f>
      </x:c>
    </x:row>
    <x:row r="193">
      <x:c r="A193" s="48" t="str">
        <x:f>IF(Searches!$A$88&lt;&gt;"Yes","",Searches!$C$88)</x:f>
      </x:c>
      <x:c r="B193" s="48" t="str">
        <x:f>IF(Searches!$A$88&lt;&gt;"Yes","",Searches!$D$88)</x:f>
      </x:c>
      <x:c r="C193" s="48" t="str">
        <x:f>IF(Searches!$A$88&lt;&gt;"Yes","",Searches!$O$88)</x:f>
      </x:c>
      <x:c r="D193" s="48" t="str">
        <x:f>IF(Searches!$A$88&lt;&gt;"Yes","",Searches!$P$88)</x:f>
      </x:c>
      <x:c r="E193" s="48" t="str">
        <x:f>IF(Searches!$A$88&lt;&gt;"Yes","",Searches!$Q$88)</x:f>
      </x:c>
      <x:c r="F193" s="48" t="str">
        <x:f>IF(Searches!$A$88&lt;&gt;"Yes","",Searches!$R$88)</x:f>
      </x:c>
      <x:c r="G193" s="48" t="str">
        <x:f>IF(Searches!$A$88&lt;&gt;"Yes","",Searches!$E$88)</x:f>
      </x:c>
      <x:c r="H193" s="48" t="str">
        <x:f>IF(Searches!$A$88&lt;&gt;"Yes","",Searches!$N$88)</x:f>
      </x:c>
      <x:c r="I193" s="48" t="str">
        <x:f>IF(Searches!$A$88&lt;&gt;"Yes","",Searches!$B$88)</x:f>
      </x:c>
      <x:c r="J193" s="48" t="str">
        <x:f>IF(Searches!$A$88&lt;&gt;"Yes","",Searches!$K$88)</x:f>
      </x:c>
    </x:row>
    <x:row r="194">
      <x:c r="A194" s="48" t="str">
        <x:f>IF(Searches!$A$89&lt;&gt;"Yes","",Searches!$C$89)</x:f>
      </x:c>
      <x:c r="B194" s="48" t="str">
        <x:f>IF(Searches!$A$89&lt;&gt;"Yes","",Searches!$D$89)</x:f>
      </x:c>
      <x:c r="C194" s="48" t="str">
        <x:f>IF(Searches!$A$89&lt;&gt;"Yes","",Searches!$O$89)</x:f>
      </x:c>
      <x:c r="D194" s="48" t="str">
        <x:f>IF(Searches!$A$89&lt;&gt;"Yes","",Searches!$P$89)</x:f>
      </x:c>
      <x:c r="E194" s="48" t="str">
        <x:f>IF(Searches!$A$89&lt;&gt;"Yes","",Searches!$Q$89)</x:f>
      </x:c>
      <x:c r="F194" s="48" t="str">
        <x:f>IF(Searches!$A$89&lt;&gt;"Yes","",Searches!$R$89)</x:f>
      </x:c>
      <x:c r="G194" s="48" t="str">
        <x:f>IF(Searches!$A$89&lt;&gt;"Yes","",Searches!$E$89)</x:f>
      </x:c>
      <x:c r="H194" s="48" t="str">
        <x:f>IF(Searches!$A$89&lt;&gt;"Yes","",Searches!$N$89)</x:f>
      </x:c>
      <x:c r="I194" s="48" t="str">
        <x:f>IF(Searches!$A$89&lt;&gt;"Yes","",Searches!$B$89)</x:f>
      </x:c>
      <x:c r="J194" s="48" t="str">
        <x:f>IF(Searches!$A$89&lt;&gt;"Yes","",Searches!$K$89)</x:f>
      </x:c>
    </x:row>
    <x:row r="195">
      <x:c r="A195" s="48" t="str">
        <x:f>IF(Searches!$A$90&lt;&gt;"Yes","",Searches!$C$90)</x:f>
      </x:c>
      <x:c r="B195" s="48" t="str">
        <x:f>IF(Searches!$A$90&lt;&gt;"Yes","",Searches!$D$90)</x:f>
      </x:c>
      <x:c r="C195" s="48" t="str">
        <x:f>IF(Searches!$A$90&lt;&gt;"Yes","",Searches!$O$90)</x:f>
      </x:c>
      <x:c r="D195" s="48" t="str">
        <x:f>IF(Searches!$A$90&lt;&gt;"Yes","",Searches!$P$90)</x:f>
      </x:c>
      <x:c r="E195" s="48" t="str">
        <x:f>IF(Searches!$A$90&lt;&gt;"Yes","",Searches!$Q$90)</x:f>
      </x:c>
      <x:c r="F195" s="48" t="str">
        <x:f>IF(Searches!$A$90&lt;&gt;"Yes","",Searches!$R$90)</x:f>
      </x:c>
      <x:c r="G195" s="48" t="str">
        <x:f>IF(Searches!$A$90&lt;&gt;"Yes","",Searches!$E$90)</x:f>
      </x:c>
      <x:c r="H195" s="48" t="str">
        <x:f>IF(Searches!$A$90&lt;&gt;"Yes","",Searches!$N$90)</x:f>
      </x:c>
      <x:c r="I195" s="48" t="str">
        <x:f>IF(Searches!$A$90&lt;&gt;"Yes","",Searches!$B$90)</x:f>
      </x:c>
      <x:c r="J195" s="48" t="str">
        <x:f>IF(Searches!$A$90&lt;&gt;"Yes","",Searches!$K$90)</x:f>
      </x:c>
    </x:row>
    <x:row r="196">
      <x:c r="A196" s="48" t="str">
        <x:f>IF(Searches!$A$91&lt;&gt;"Yes","",Searches!$C$91)</x:f>
      </x:c>
      <x:c r="B196" s="48" t="str">
        <x:f>IF(Searches!$A$91&lt;&gt;"Yes","",Searches!$D$91)</x:f>
      </x:c>
      <x:c r="C196" s="48" t="str">
        <x:f>IF(Searches!$A$91&lt;&gt;"Yes","",Searches!$O$91)</x:f>
      </x:c>
      <x:c r="D196" s="48" t="str">
        <x:f>IF(Searches!$A$91&lt;&gt;"Yes","",Searches!$P$91)</x:f>
      </x:c>
      <x:c r="E196" s="48" t="str">
        <x:f>IF(Searches!$A$91&lt;&gt;"Yes","",Searches!$Q$91)</x:f>
      </x:c>
      <x:c r="F196" s="48" t="str">
        <x:f>IF(Searches!$A$91&lt;&gt;"Yes","",Searches!$R$91)</x:f>
      </x:c>
      <x:c r="G196" s="48" t="str">
        <x:f>IF(Searches!$A$91&lt;&gt;"Yes","",Searches!$E$91)</x:f>
      </x:c>
      <x:c r="H196" s="48" t="str">
        <x:f>IF(Searches!$A$91&lt;&gt;"Yes","",Searches!$N$91)</x:f>
      </x:c>
      <x:c r="I196" s="48" t="str">
        <x:f>IF(Searches!$A$91&lt;&gt;"Yes","",Searches!$B$91)</x:f>
      </x:c>
      <x:c r="J196" s="48" t="str">
        <x:f>IF(Searches!$A$91&lt;&gt;"Yes","",Searches!$K$91)</x:f>
      </x:c>
    </x:row>
    <x:row r="197">
      <x:c r="A197" s="48" t="str">
        <x:f>IF(Searches!$A$92&lt;&gt;"Yes","",Searches!$C$92)</x:f>
      </x:c>
      <x:c r="B197" s="48" t="str">
        <x:f>IF(Searches!$A$92&lt;&gt;"Yes","",Searches!$D$92)</x:f>
      </x:c>
      <x:c r="C197" s="48" t="str">
        <x:f>IF(Searches!$A$92&lt;&gt;"Yes","",Searches!$O$92)</x:f>
      </x:c>
      <x:c r="D197" s="48" t="str">
        <x:f>IF(Searches!$A$92&lt;&gt;"Yes","",Searches!$P$92)</x:f>
      </x:c>
      <x:c r="E197" s="48" t="str">
        <x:f>IF(Searches!$A$92&lt;&gt;"Yes","",Searches!$Q$92)</x:f>
      </x:c>
      <x:c r="F197" s="48" t="str">
        <x:f>IF(Searches!$A$92&lt;&gt;"Yes","",Searches!$R$92)</x:f>
      </x:c>
      <x:c r="G197" s="48" t="str">
        <x:f>IF(Searches!$A$92&lt;&gt;"Yes","",Searches!$E$92)</x:f>
      </x:c>
      <x:c r="H197" s="48" t="str">
        <x:f>IF(Searches!$A$92&lt;&gt;"Yes","",Searches!$N$92)</x:f>
      </x:c>
      <x:c r="I197" s="48" t="str">
        <x:f>IF(Searches!$A$92&lt;&gt;"Yes","",Searches!$B$92)</x:f>
      </x:c>
      <x:c r="J197" s="48" t="str">
        <x:f>IF(Searches!$A$92&lt;&gt;"Yes","",Searches!$K$92)</x:f>
      </x:c>
    </x:row>
    <x:row r="198">
      <x:c r="A198" s="48" t="str">
        <x:f>IF(Searches!$A$93&lt;&gt;"Yes","",Searches!$C$93)</x:f>
      </x:c>
      <x:c r="B198" s="48" t="str">
        <x:f>IF(Searches!$A$93&lt;&gt;"Yes","",Searches!$D$93)</x:f>
      </x:c>
      <x:c r="C198" s="48" t="str">
        <x:f>IF(Searches!$A$93&lt;&gt;"Yes","",Searches!$O$93)</x:f>
      </x:c>
      <x:c r="D198" s="48" t="str">
        <x:f>IF(Searches!$A$93&lt;&gt;"Yes","",Searches!$P$93)</x:f>
      </x:c>
      <x:c r="E198" s="48" t="str">
        <x:f>IF(Searches!$A$93&lt;&gt;"Yes","",Searches!$Q$93)</x:f>
      </x:c>
      <x:c r="F198" s="48" t="str">
        <x:f>IF(Searches!$A$93&lt;&gt;"Yes","",Searches!$R$93)</x:f>
      </x:c>
      <x:c r="G198" s="48" t="str">
        <x:f>IF(Searches!$A$93&lt;&gt;"Yes","",Searches!$E$93)</x:f>
      </x:c>
      <x:c r="H198" s="48" t="str">
        <x:f>IF(Searches!$A$93&lt;&gt;"Yes","",Searches!$N$93)</x:f>
      </x:c>
      <x:c r="I198" s="48" t="str">
        <x:f>IF(Searches!$A$93&lt;&gt;"Yes","",Searches!$B$93)</x:f>
      </x:c>
      <x:c r="J198" s="48" t="str">
        <x:f>IF(Searches!$A$93&lt;&gt;"Yes","",Searches!$K$93)</x:f>
      </x:c>
    </x:row>
    <x:row r="199">
      <x:c r="A199" s="48" t="str">
        <x:f>IF(Searches!$A$94&lt;&gt;"Yes","",Searches!$C$94)</x:f>
      </x:c>
      <x:c r="B199" s="48" t="str">
        <x:f>IF(Searches!$A$94&lt;&gt;"Yes","",Searches!$D$94)</x:f>
      </x:c>
      <x:c r="C199" s="48" t="str">
        <x:f>IF(Searches!$A$94&lt;&gt;"Yes","",Searches!$O$94)</x:f>
      </x:c>
      <x:c r="D199" s="48" t="str">
        <x:f>IF(Searches!$A$94&lt;&gt;"Yes","",Searches!$P$94)</x:f>
      </x:c>
      <x:c r="E199" s="48" t="str">
        <x:f>IF(Searches!$A$94&lt;&gt;"Yes","",Searches!$Q$94)</x:f>
      </x:c>
      <x:c r="F199" s="48" t="str">
        <x:f>IF(Searches!$A$94&lt;&gt;"Yes","",Searches!$R$94)</x:f>
      </x:c>
      <x:c r="G199" s="48" t="str">
        <x:f>IF(Searches!$A$94&lt;&gt;"Yes","",Searches!$E$94)</x:f>
      </x:c>
      <x:c r="H199" s="48" t="str">
        <x:f>IF(Searches!$A$94&lt;&gt;"Yes","",Searches!$N$94)</x:f>
      </x:c>
      <x:c r="I199" s="48" t="str">
        <x:f>IF(Searches!$A$94&lt;&gt;"Yes","",Searches!$B$94)</x:f>
      </x:c>
      <x:c r="J199" s="48" t="str">
        <x:f>IF(Searches!$A$94&lt;&gt;"Yes","",Searches!$K$94)</x:f>
      </x:c>
    </x:row>
    <x:row r="200">
      <x:c r="A200" s="48" t="str">
        <x:f>IF(Searches!$A$95&lt;&gt;"Yes","",Searches!$C$95)</x:f>
      </x:c>
      <x:c r="B200" s="48" t="str">
        <x:f>IF(Searches!$A$95&lt;&gt;"Yes","",Searches!$D$95)</x:f>
      </x:c>
      <x:c r="C200" s="48" t="str">
        <x:f>IF(Searches!$A$95&lt;&gt;"Yes","",Searches!$O$95)</x:f>
      </x:c>
      <x:c r="D200" s="48" t="str">
        <x:f>IF(Searches!$A$95&lt;&gt;"Yes","",Searches!$P$95)</x:f>
      </x:c>
      <x:c r="E200" s="48" t="str">
        <x:f>IF(Searches!$A$95&lt;&gt;"Yes","",Searches!$Q$95)</x:f>
      </x:c>
      <x:c r="F200" s="48" t="str">
        <x:f>IF(Searches!$A$95&lt;&gt;"Yes","",Searches!$R$95)</x:f>
      </x:c>
      <x:c r="G200" s="48" t="str">
        <x:f>IF(Searches!$A$95&lt;&gt;"Yes","",Searches!$E$95)</x:f>
      </x:c>
      <x:c r="H200" s="48" t="str">
        <x:f>IF(Searches!$A$95&lt;&gt;"Yes","",Searches!$N$95)</x:f>
      </x:c>
      <x:c r="I200" s="48" t="str">
        <x:f>IF(Searches!$A$95&lt;&gt;"Yes","",Searches!$B$95)</x:f>
      </x:c>
      <x:c r="J200" s="48" t="str">
        <x:f>IF(Searches!$A$95&lt;&gt;"Yes","",Searches!$K$95)</x:f>
      </x:c>
    </x:row>
    <x:row r="201">
      <x:c r="A201" s="48" t="str">
        <x:f>IF(Searches!$A$96&lt;&gt;"Yes","",Searches!$C$96)</x:f>
      </x:c>
      <x:c r="B201" s="48" t="str">
        <x:f>IF(Searches!$A$96&lt;&gt;"Yes","",Searches!$D$96)</x:f>
      </x:c>
      <x:c r="C201" s="48" t="str">
        <x:f>IF(Searches!$A$96&lt;&gt;"Yes","",Searches!$O$96)</x:f>
      </x:c>
      <x:c r="D201" s="48" t="str">
        <x:f>IF(Searches!$A$96&lt;&gt;"Yes","",Searches!$P$96)</x:f>
      </x:c>
      <x:c r="E201" s="48" t="str">
        <x:f>IF(Searches!$A$96&lt;&gt;"Yes","",Searches!$Q$96)</x:f>
      </x:c>
      <x:c r="F201" s="48" t="str">
        <x:f>IF(Searches!$A$96&lt;&gt;"Yes","",Searches!$R$96)</x:f>
      </x:c>
      <x:c r="G201" s="48" t="str">
        <x:f>IF(Searches!$A$96&lt;&gt;"Yes","",Searches!$E$96)</x:f>
      </x:c>
      <x:c r="H201" s="48" t="str">
        <x:f>IF(Searches!$A$96&lt;&gt;"Yes","",Searches!$N$96)</x:f>
      </x:c>
      <x:c r="I201" s="48" t="str">
        <x:f>IF(Searches!$A$96&lt;&gt;"Yes","",Searches!$B$96)</x:f>
      </x:c>
      <x:c r="J201" s="48" t="str">
        <x:f>IF(Searches!$A$96&lt;&gt;"Yes","",Searches!$K$96)</x:f>
      </x:c>
    </x:row>
    <x:row r="202">
      <x:c r="A202" s="48" t="str">
        <x:f>IF(Searches!$A$97&lt;&gt;"Yes","",Searches!$C$97)</x:f>
      </x:c>
      <x:c r="B202" s="48" t="str">
        <x:f>IF(Searches!$A$97&lt;&gt;"Yes","",Searches!$D$97)</x:f>
      </x:c>
      <x:c r="C202" s="48" t="str">
        <x:f>IF(Searches!$A$97&lt;&gt;"Yes","",Searches!$O$97)</x:f>
      </x:c>
      <x:c r="D202" s="48" t="str">
        <x:f>IF(Searches!$A$97&lt;&gt;"Yes","",Searches!$P$97)</x:f>
      </x:c>
      <x:c r="E202" s="48" t="str">
        <x:f>IF(Searches!$A$97&lt;&gt;"Yes","",Searches!$Q$97)</x:f>
      </x:c>
      <x:c r="F202" s="48" t="str">
        <x:f>IF(Searches!$A$97&lt;&gt;"Yes","",Searches!$R$97)</x:f>
      </x:c>
      <x:c r="G202" s="48" t="str">
        <x:f>IF(Searches!$A$97&lt;&gt;"Yes","",Searches!$E$97)</x:f>
      </x:c>
      <x:c r="H202" s="48" t="str">
        <x:f>IF(Searches!$A$97&lt;&gt;"Yes","",Searches!$N$97)</x:f>
      </x:c>
      <x:c r="I202" s="48" t="str">
        <x:f>IF(Searches!$A$97&lt;&gt;"Yes","",Searches!$B$97)</x:f>
      </x:c>
      <x:c r="J202" s="48" t="str">
        <x:f>IF(Searches!$A$97&lt;&gt;"Yes","",Searches!$K$97)</x:f>
      </x:c>
    </x:row>
    <x:row r="203">
      <x:c r="A203" s="48" t="str">
        <x:f>IF(Searches!$A$98&lt;&gt;"Yes","",Searches!$C$98)</x:f>
      </x:c>
      <x:c r="B203" s="48" t="str">
        <x:f>IF(Searches!$A$98&lt;&gt;"Yes","",Searches!$D$98)</x:f>
      </x:c>
      <x:c r="C203" s="48" t="str">
        <x:f>IF(Searches!$A$98&lt;&gt;"Yes","",Searches!$O$98)</x:f>
      </x:c>
      <x:c r="D203" s="48" t="str">
        <x:f>IF(Searches!$A$98&lt;&gt;"Yes","",Searches!$P$98)</x:f>
      </x:c>
      <x:c r="E203" s="48" t="str">
        <x:f>IF(Searches!$A$98&lt;&gt;"Yes","",Searches!$Q$98)</x:f>
      </x:c>
      <x:c r="F203" s="48" t="str">
        <x:f>IF(Searches!$A$98&lt;&gt;"Yes","",Searches!$R$98)</x:f>
      </x:c>
      <x:c r="G203" s="48" t="str">
        <x:f>IF(Searches!$A$98&lt;&gt;"Yes","",Searches!$E$98)</x:f>
      </x:c>
      <x:c r="H203" s="48" t="str">
        <x:f>IF(Searches!$A$98&lt;&gt;"Yes","",Searches!$N$98)</x:f>
      </x:c>
      <x:c r="I203" s="48" t="str">
        <x:f>IF(Searches!$A$98&lt;&gt;"Yes","",Searches!$B$98)</x:f>
      </x:c>
      <x:c r="J203" s="48" t="str">
        <x:f>IF(Searches!$A$98&lt;&gt;"Yes","",Searches!$K$98)</x:f>
      </x:c>
    </x:row>
    <x:row r="204">
      <x:c r="A204" s="48" t="str">
        <x:f>IF(Searches!$A$99&lt;&gt;"Yes","",Searches!$C$99)</x:f>
      </x:c>
      <x:c r="B204" s="48" t="str">
        <x:f>IF(Searches!$A$99&lt;&gt;"Yes","",Searches!$D$99)</x:f>
      </x:c>
      <x:c r="C204" s="48" t="str">
        <x:f>IF(Searches!$A$99&lt;&gt;"Yes","",Searches!$O$99)</x:f>
      </x:c>
      <x:c r="D204" s="48" t="str">
        <x:f>IF(Searches!$A$99&lt;&gt;"Yes","",Searches!$P$99)</x:f>
      </x:c>
      <x:c r="E204" s="48" t="str">
        <x:f>IF(Searches!$A$99&lt;&gt;"Yes","",Searches!$Q$99)</x:f>
      </x:c>
      <x:c r="F204" s="48" t="str">
        <x:f>IF(Searches!$A$99&lt;&gt;"Yes","",Searches!$R$99)</x:f>
      </x:c>
      <x:c r="G204" s="48" t="str">
        <x:f>IF(Searches!$A$99&lt;&gt;"Yes","",Searches!$E$99)</x:f>
      </x:c>
      <x:c r="H204" s="48" t="str">
        <x:f>IF(Searches!$A$99&lt;&gt;"Yes","",Searches!$N$99)</x:f>
      </x:c>
      <x:c r="I204" s="48" t="str">
        <x:f>IF(Searches!$A$99&lt;&gt;"Yes","",Searches!$B$99)</x:f>
      </x:c>
      <x:c r="J204" s="48" t="str">
        <x:f>IF(Searches!$A$99&lt;&gt;"Yes","",Searches!$K$99)</x:f>
      </x:c>
    </x:row>
    <x:row r="205">
      <x:c r="A205" s="48" t="str">
        <x:f>IF(Searches!$A$100&lt;&gt;"Yes","",Searches!$C$100)</x:f>
      </x:c>
      <x:c r="B205" s="48" t="str">
        <x:f>IF(Searches!$A$100&lt;&gt;"Yes","",Searches!$D$100)</x:f>
      </x:c>
      <x:c r="C205" s="48" t="str">
        <x:f>IF(Searches!$A$100&lt;&gt;"Yes","",Searches!$O$100)</x:f>
      </x:c>
      <x:c r="D205" s="48" t="str">
        <x:f>IF(Searches!$A$100&lt;&gt;"Yes","",Searches!$P$100)</x:f>
      </x:c>
      <x:c r="E205" s="48" t="str">
        <x:f>IF(Searches!$A$100&lt;&gt;"Yes","",Searches!$Q$100)</x:f>
      </x:c>
      <x:c r="F205" s="48" t="str">
        <x:f>IF(Searches!$A$100&lt;&gt;"Yes","",Searches!$R$100)</x:f>
      </x:c>
      <x:c r="G205" s="48" t="str">
        <x:f>IF(Searches!$A$100&lt;&gt;"Yes","",Searches!$E$100)</x:f>
      </x:c>
      <x:c r="H205" s="48" t="str">
        <x:f>IF(Searches!$A$100&lt;&gt;"Yes","",Searches!$N$100)</x:f>
      </x:c>
      <x:c r="I205" s="48" t="str">
        <x:f>IF(Searches!$A$100&lt;&gt;"Yes","",Searches!$B$100)</x:f>
      </x:c>
      <x:c r="J205" s="48" t="str">
        <x:f>IF(Searches!$A$100&lt;&gt;"Yes","",Searches!$K$100)</x:f>
      </x:c>
    </x:row>
    <x:row r="206">
      <x:c r="A206" s="48" t="str">
        <x:f>IF(Searches!$A$101&lt;&gt;"Yes","",Searches!$C$101)</x:f>
      </x:c>
      <x:c r="B206" s="48" t="str">
        <x:f>IF(Searches!$A$101&lt;&gt;"Yes","",Searches!$D$101)</x:f>
      </x:c>
      <x:c r="C206" s="48" t="str">
        <x:f>IF(Searches!$A$101&lt;&gt;"Yes","",Searches!$O$101)</x:f>
      </x:c>
      <x:c r="D206" s="48" t="str">
        <x:f>IF(Searches!$A$101&lt;&gt;"Yes","",Searches!$P$101)</x:f>
      </x:c>
      <x:c r="E206" s="48" t="str">
        <x:f>IF(Searches!$A$101&lt;&gt;"Yes","",Searches!$Q$101)</x:f>
      </x:c>
      <x:c r="F206" s="48" t="str">
        <x:f>IF(Searches!$A$101&lt;&gt;"Yes","",Searches!$R$101)</x:f>
      </x:c>
      <x:c r="G206" s="48" t="str">
        <x:f>IF(Searches!$A$101&lt;&gt;"Yes","",Searches!$E$101)</x:f>
      </x:c>
      <x:c r="H206" s="48" t="str">
        <x:f>IF(Searches!$A$101&lt;&gt;"Yes","",Searches!$N$101)</x:f>
      </x:c>
      <x:c r="I206" s="48" t="str">
        <x:f>IF(Searches!$A$101&lt;&gt;"Yes","",Searches!$B$101)</x:f>
      </x:c>
      <x:c r="J206" s="48" t="str">
        <x:f>IF(Searches!$A$101&lt;&gt;"Yes","",Searches!$K$101)</x:f>
      </x:c>
    </x:row>
    <x:row r="207">
      <x:c r="A207" s="48" t="str">
        <x:f>IF(Searches!$A$102&lt;&gt;"Yes","",Searches!$C$102)</x:f>
      </x:c>
      <x:c r="B207" s="48" t="str">
        <x:f>IF(Searches!$A$102&lt;&gt;"Yes","",Searches!$D$102)</x:f>
      </x:c>
      <x:c r="C207" s="48" t="str">
        <x:f>IF(Searches!$A$102&lt;&gt;"Yes","",Searches!$O$102)</x:f>
      </x:c>
      <x:c r="D207" s="48" t="str">
        <x:f>IF(Searches!$A$102&lt;&gt;"Yes","",Searches!$P$102)</x:f>
      </x:c>
      <x:c r="E207" s="48" t="str">
        <x:f>IF(Searches!$A$102&lt;&gt;"Yes","",Searches!$Q$102)</x:f>
      </x:c>
      <x:c r="F207" s="48" t="str">
        <x:f>IF(Searches!$A$102&lt;&gt;"Yes","",Searches!$R$102)</x:f>
      </x:c>
      <x:c r="G207" s="48" t="str">
        <x:f>IF(Searches!$A$102&lt;&gt;"Yes","",Searches!$E$102)</x:f>
      </x:c>
      <x:c r="H207" s="48" t="str">
        <x:f>IF(Searches!$A$102&lt;&gt;"Yes","",Searches!$N$102)</x:f>
      </x:c>
      <x:c r="I207" s="48" t="str">
        <x:f>IF(Searches!$A$102&lt;&gt;"Yes","",Searches!$B$102)</x:f>
      </x:c>
      <x:c r="J207" s="48" t="str">
        <x:f>IF(Searches!$A$102&lt;&gt;"Yes","",Searches!$K$102)</x:f>
      </x:c>
    </x:row>
    <x:row r="208">
      <x:c r="A208" s="48" t="str">
        <x:f>IF(Searches!$A$103&lt;&gt;"Yes","",Searches!$C$103)</x:f>
      </x:c>
      <x:c r="B208" s="48" t="str">
        <x:f>IF(Searches!$A$103&lt;&gt;"Yes","",Searches!$D$103)</x:f>
      </x:c>
      <x:c r="C208" s="48" t="str">
        <x:f>IF(Searches!$A$103&lt;&gt;"Yes","",Searches!$O$103)</x:f>
      </x:c>
      <x:c r="D208" s="48" t="str">
        <x:f>IF(Searches!$A$103&lt;&gt;"Yes","",Searches!$P$103)</x:f>
      </x:c>
      <x:c r="E208" s="48" t="str">
        <x:f>IF(Searches!$A$103&lt;&gt;"Yes","",Searches!$Q$103)</x:f>
      </x:c>
      <x:c r="F208" s="48" t="str">
        <x:f>IF(Searches!$A$103&lt;&gt;"Yes","",Searches!$R$103)</x:f>
      </x:c>
      <x:c r="G208" s="48" t="str">
        <x:f>IF(Searches!$A$103&lt;&gt;"Yes","",Searches!$E$103)</x:f>
      </x:c>
      <x:c r="H208" s="48" t="str">
        <x:f>IF(Searches!$A$103&lt;&gt;"Yes","",Searches!$N$103)</x:f>
      </x:c>
      <x:c r="I208" s="48" t="str">
        <x:f>IF(Searches!$A$103&lt;&gt;"Yes","",Searches!$B$103)</x:f>
      </x:c>
      <x:c r="J208" s="48" t="str">
        <x:f>IF(Searches!$A$103&lt;&gt;"Yes","",Searches!$K$103)</x:f>
      </x:c>
    </x:row>
    <x:row r="209">
      <x:c r="A209" s="48" t="str">
        <x:f>IF(Searches!$A$104&lt;&gt;"Yes","",Searches!$C$104)</x:f>
      </x:c>
      <x:c r="B209" s="48" t="str">
        <x:f>IF(Searches!$A$104&lt;&gt;"Yes","",Searches!$D$104)</x:f>
      </x:c>
      <x:c r="C209" s="48" t="str">
        <x:f>IF(Searches!$A$104&lt;&gt;"Yes","",Searches!$O$104)</x:f>
      </x:c>
      <x:c r="D209" s="48" t="str">
        <x:f>IF(Searches!$A$104&lt;&gt;"Yes","",Searches!$P$104)</x:f>
      </x:c>
      <x:c r="E209" s="48" t="str">
        <x:f>IF(Searches!$A$104&lt;&gt;"Yes","",Searches!$Q$104)</x:f>
      </x:c>
      <x:c r="F209" s="48" t="str">
        <x:f>IF(Searches!$A$104&lt;&gt;"Yes","",Searches!$R$104)</x:f>
      </x:c>
      <x:c r="G209" s="48" t="str">
        <x:f>IF(Searches!$A$104&lt;&gt;"Yes","",Searches!$E$104)</x:f>
      </x:c>
      <x:c r="H209" s="48" t="str">
        <x:f>IF(Searches!$A$104&lt;&gt;"Yes","",Searches!$N$104)</x:f>
      </x:c>
      <x:c r="I209" s="48" t="str">
        <x:f>IF(Searches!$A$104&lt;&gt;"Yes","",Searches!$B$104)</x:f>
      </x:c>
      <x:c r="J209" s="48" t="str">
        <x:f>IF(Searches!$A$104&lt;&gt;"Yes","",Searches!$K$104)</x:f>
      </x:c>
    </x:row>
    <x:row r="210">
      <x:c r="A210" s="48" t="str">
        <x:f>IF(Searches!$A$105&lt;&gt;"Yes","",Searches!$C$105)</x:f>
      </x:c>
      <x:c r="B210" s="48" t="str">
        <x:f>IF(Searches!$A$105&lt;&gt;"Yes","",Searches!$D$105)</x:f>
      </x:c>
      <x:c r="C210" s="48" t="str">
        <x:f>IF(Searches!$A$105&lt;&gt;"Yes","",Searches!$O$105)</x:f>
      </x:c>
      <x:c r="D210" s="48" t="str">
        <x:f>IF(Searches!$A$105&lt;&gt;"Yes","",Searches!$P$105)</x:f>
      </x:c>
      <x:c r="E210" s="48" t="str">
        <x:f>IF(Searches!$A$105&lt;&gt;"Yes","",Searches!$Q$105)</x:f>
      </x:c>
      <x:c r="F210" s="48" t="str">
        <x:f>IF(Searches!$A$105&lt;&gt;"Yes","",Searches!$R$105)</x:f>
      </x:c>
      <x:c r="G210" s="48" t="str">
        <x:f>IF(Searches!$A$105&lt;&gt;"Yes","",Searches!$E$105)</x:f>
      </x:c>
      <x:c r="H210" s="48" t="str">
        <x:f>IF(Searches!$A$105&lt;&gt;"Yes","",Searches!$N$105)</x:f>
      </x:c>
      <x:c r="I210" s="48" t="str">
        <x:f>IF(Searches!$A$105&lt;&gt;"Yes","",Searches!$B$105)</x:f>
      </x:c>
      <x:c r="J210" s="48" t="str">
        <x:f>IF(Searches!$A$105&lt;&gt;"Yes","",Searches!$K$105)</x:f>
      </x:c>
    </x:row>
    <x:row r="211">
      <x:c r="A211" s="48" t="str">
        <x:f>IF(Searches!$A$106&lt;&gt;"Yes","",Searches!$C$106)</x:f>
      </x:c>
      <x:c r="B211" s="48" t="str">
        <x:f>IF(Searches!$A$106&lt;&gt;"Yes","",Searches!$D$106)</x:f>
      </x:c>
      <x:c r="C211" s="48" t="str">
        <x:f>IF(Searches!$A$106&lt;&gt;"Yes","",Searches!$O$106)</x:f>
      </x:c>
      <x:c r="D211" s="48" t="str">
        <x:f>IF(Searches!$A$106&lt;&gt;"Yes","",Searches!$P$106)</x:f>
      </x:c>
      <x:c r="E211" s="48" t="str">
        <x:f>IF(Searches!$A$106&lt;&gt;"Yes","",Searches!$Q$106)</x:f>
      </x:c>
      <x:c r="F211" s="48" t="str">
        <x:f>IF(Searches!$A$106&lt;&gt;"Yes","",Searches!$R$106)</x:f>
      </x:c>
      <x:c r="G211" s="48" t="str">
        <x:f>IF(Searches!$A$106&lt;&gt;"Yes","",Searches!$E$106)</x:f>
      </x:c>
      <x:c r="H211" s="48" t="str">
        <x:f>IF(Searches!$A$106&lt;&gt;"Yes","",Searches!$N$106)</x:f>
      </x:c>
      <x:c r="I211" s="48" t="str">
        <x:f>IF(Searches!$A$106&lt;&gt;"Yes","",Searches!$B$106)</x:f>
      </x:c>
      <x:c r="J211" s="48" t="str">
        <x:f>IF(Searches!$A$106&lt;&gt;"Yes","",Searches!$K$106)</x:f>
      </x:c>
    </x:row>
    <x:row r="212">
      <x:c r="A212" s="48" t="str">
        <x:f>IF(Searches!$A$107&lt;&gt;"Yes","",Searches!$C$107)</x:f>
      </x:c>
      <x:c r="B212" s="48" t="str">
        <x:f>IF(Searches!$A$107&lt;&gt;"Yes","",Searches!$D$107)</x:f>
      </x:c>
      <x:c r="C212" s="48" t="str">
        <x:f>IF(Searches!$A$107&lt;&gt;"Yes","",Searches!$O$107)</x:f>
      </x:c>
      <x:c r="D212" s="48" t="str">
        <x:f>IF(Searches!$A$107&lt;&gt;"Yes","",Searches!$P$107)</x:f>
      </x:c>
      <x:c r="E212" s="48" t="str">
        <x:f>IF(Searches!$A$107&lt;&gt;"Yes","",Searches!$Q$107)</x:f>
      </x:c>
      <x:c r="F212" s="48" t="str">
        <x:f>IF(Searches!$A$107&lt;&gt;"Yes","",Searches!$R$107)</x:f>
      </x:c>
      <x:c r="G212" s="48" t="str">
        <x:f>IF(Searches!$A$107&lt;&gt;"Yes","",Searches!$E$107)</x:f>
      </x:c>
      <x:c r="H212" s="48" t="str">
        <x:f>IF(Searches!$A$107&lt;&gt;"Yes","",Searches!$N$107)</x:f>
      </x:c>
      <x:c r="I212" s="48" t="str">
        <x:f>IF(Searches!$A$107&lt;&gt;"Yes","",Searches!$B$107)</x:f>
      </x:c>
      <x:c r="J212" s="48" t="str">
        <x:f>IF(Searches!$A$107&lt;&gt;"Yes","",Searches!$K$107)</x:f>
      </x:c>
    </x:row>
    <x:row r="213">
      <x:c r="A213" s="48" t="str">
        <x:f>IF(Searches!$A$108&lt;&gt;"Yes","",Searches!$C$108)</x:f>
      </x:c>
      <x:c r="B213" s="48" t="str">
        <x:f>IF(Searches!$A$108&lt;&gt;"Yes","",Searches!$D$108)</x:f>
      </x:c>
      <x:c r="C213" s="48" t="str">
        <x:f>IF(Searches!$A$108&lt;&gt;"Yes","",Searches!$O$108)</x:f>
      </x:c>
      <x:c r="D213" s="48" t="str">
        <x:f>IF(Searches!$A$108&lt;&gt;"Yes","",Searches!$P$108)</x:f>
      </x:c>
      <x:c r="E213" s="48" t="str">
        <x:f>IF(Searches!$A$108&lt;&gt;"Yes","",Searches!$Q$108)</x:f>
      </x:c>
      <x:c r="F213" s="48" t="str">
        <x:f>IF(Searches!$A$108&lt;&gt;"Yes","",Searches!$R$108)</x:f>
      </x:c>
      <x:c r="G213" s="48" t="str">
        <x:f>IF(Searches!$A$108&lt;&gt;"Yes","",Searches!$E$108)</x:f>
      </x:c>
      <x:c r="H213" s="48" t="str">
        <x:f>IF(Searches!$A$108&lt;&gt;"Yes","",Searches!$N$108)</x:f>
      </x:c>
      <x:c r="I213" s="48" t="str">
        <x:f>IF(Searches!$A$108&lt;&gt;"Yes","",Searches!$B$108)</x:f>
      </x:c>
      <x:c r="J213" s="48" t="str">
        <x:f>IF(Searches!$A$108&lt;&gt;"Yes","",Searches!$K$108)</x:f>
      </x:c>
    </x:row>
    <x:row r="214">
      <x:c r="A214" s="48" t="str">
        <x:f>IF(Searches!$A$109&lt;&gt;"Yes","",Searches!$C$109)</x:f>
      </x:c>
      <x:c r="B214" s="48" t="str">
        <x:f>IF(Searches!$A$109&lt;&gt;"Yes","",Searches!$D$109)</x:f>
      </x:c>
      <x:c r="C214" s="48" t="str">
        <x:f>IF(Searches!$A$109&lt;&gt;"Yes","",Searches!$O$109)</x:f>
      </x:c>
      <x:c r="D214" s="48" t="str">
        <x:f>IF(Searches!$A$109&lt;&gt;"Yes","",Searches!$P$109)</x:f>
      </x:c>
      <x:c r="E214" s="48" t="str">
        <x:f>IF(Searches!$A$109&lt;&gt;"Yes","",Searches!$Q$109)</x:f>
      </x:c>
      <x:c r="F214" s="48" t="str">
        <x:f>IF(Searches!$A$109&lt;&gt;"Yes","",Searches!$R$109)</x:f>
      </x:c>
      <x:c r="G214" s="48" t="str">
        <x:f>IF(Searches!$A$109&lt;&gt;"Yes","",Searches!$E$109)</x:f>
      </x:c>
      <x:c r="H214" s="48" t="str">
        <x:f>IF(Searches!$A$109&lt;&gt;"Yes","",Searches!$N$109)</x:f>
      </x:c>
      <x:c r="I214" s="48" t="str">
        <x:f>IF(Searches!$A$109&lt;&gt;"Yes","",Searches!$B$109)</x:f>
      </x:c>
      <x:c r="J214" s="48" t="str">
        <x:f>IF(Searches!$A$109&lt;&gt;"Yes","",Searches!$K$109)</x:f>
      </x:c>
    </x:row>
    <x:row r="215">
      <x:c r="A215" s="48" t="str">
        <x:f>IF(Searches!$A$110&lt;&gt;"Yes","",Searches!$C$110)</x:f>
      </x:c>
      <x:c r="B215" s="48" t="str">
        <x:f>IF(Searches!$A$110&lt;&gt;"Yes","",Searches!$D$110)</x:f>
      </x:c>
      <x:c r="C215" s="48" t="str">
        <x:f>IF(Searches!$A$110&lt;&gt;"Yes","",Searches!$O$110)</x:f>
      </x:c>
      <x:c r="D215" s="48" t="str">
        <x:f>IF(Searches!$A$110&lt;&gt;"Yes","",Searches!$P$110)</x:f>
      </x:c>
      <x:c r="E215" s="48" t="str">
        <x:f>IF(Searches!$A$110&lt;&gt;"Yes","",Searches!$Q$110)</x:f>
      </x:c>
      <x:c r="F215" s="48" t="str">
        <x:f>IF(Searches!$A$110&lt;&gt;"Yes","",Searches!$R$110)</x:f>
      </x:c>
      <x:c r="G215" s="48" t="str">
        <x:f>IF(Searches!$A$110&lt;&gt;"Yes","",Searches!$E$110)</x:f>
      </x:c>
      <x:c r="H215" s="48" t="str">
        <x:f>IF(Searches!$A$110&lt;&gt;"Yes","",Searches!$N$110)</x:f>
      </x:c>
      <x:c r="I215" s="48" t="str">
        <x:f>IF(Searches!$A$110&lt;&gt;"Yes","",Searches!$B$110)</x:f>
      </x:c>
      <x:c r="J215" s="48" t="str">
        <x:f>IF(Searches!$A$110&lt;&gt;"Yes","",Searches!$K$110)</x:f>
      </x:c>
    </x:row>
    <x:row r="216">
      <x:c r="A216" s="48" t="str">
        <x:f>IF(Searches!$A$111&lt;&gt;"Yes","",Searches!$C$111)</x:f>
      </x:c>
      <x:c r="B216" s="48" t="str">
        <x:f>IF(Searches!$A$111&lt;&gt;"Yes","",Searches!$D$111)</x:f>
      </x:c>
      <x:c r="C216" s="48" t="str">
        <x:f>IF(Searches!$A$111&lt;&gt;"Yes","",Searches!$O$111)</x:f>
      </x:c>
      <x:c r="D216" s="48" t="str">
        <x:f>IF(Searches!$A$111&lt;&gt;"Yes","",Searches!$P$111)</x:f>
      </x:c>
      <x:c r="E216" s="48" t="str">
        <x:f>IF(Searches!$A$111&lt;&gt;"Yes","",Searches!$Q$111)</x:f>
      </x:c>
      <x:c r="F216" s="48" t="str">
        <x:f>IF(Searches!$A$111&lt;&gt;"Yes","",Searches!$R$111)</x:f>
      </x:c>
      <x:c r="G216" s="48" t="str">
        <x:f>IF(Searches!$A$111&lt;&gt;"Yes","",Searches!$E$111)</x:f>
      </x:c>
      <x:c r="H216" s="48" t="str">
        <x:f>IF(Searches!$A$111&lt;&gt;"Yes","",Searches!$N$111)</x:f>
      </x:c>
      <x:c r="I216" s="48" t="str">
        <x:f>IF(Searches!$A$111&lt;&gt;"Yes","",Searches!$B$111)</x:f>
      </x:c>
      <x:c r="J216" s="48" t="str">
        <x:f>IF(Searches!$A$111&lt;&gt;"Yes","",Searches!$K$111)</x:f>
      </x:c>
    </x:row>
    <x:row r="217">
      <x:c r="A217" s="48" t="str">
        <x:f>IF(Searches!$A$112&lt;&gt;"Yes","",Searches!$C$112)</x:f>
      </x:c>
      <x:c r="B217" s="48" t="str">
        <x:f>IF(Searches!$A$112&lt;&gt;"Yes","",Searches!$D$112)</x:f>
      </x:c>
      <x:c r="C217" s="48" t="str">
        <x:f>IF(Searches!$A$112&lt;&gt;"Yes","",Searches!$O$112)</x:f>
      </x:c>
      <x:c r="D217" s="48" t="str">
        <x:f>IF(Searches!$A$112&lt;&gt;"Yes","",Searches!$P$112)</x:f>
      </x:c>
      <x:c r="E217" s="48" t="str">
        <x:f>IF(Searches!$A$112&lt;&gt;"Yes","",Searches!$Q$112)</x:f>
      </x:c>
      <x:c r="F217" s="48" t="str">
        <x:f>IF(Searches!$A$112&lt;&gt;"Yes","",Searches!$R$112)</x:f>
      </x:c>
      <x:c r="G217" s="48" t="str">
        <x:f>IF(Searches!$A$112&lt;&gt;"Yes","",Searches!$E$112)</x:f>
      </x:c>
      <x:c r="H217" s="48" t="str">
        <x:f>IF(Searches!$A$112&lt;&gt;"Yes","",Searches!$N$112)</x:f>
      </x:c>
      <x:c r="I217" s="48" t="str">
        <x:f>IF(Searches!$A$112&lt;&gt;"Yes","",Searches!$B$112)</x:f>
      </x:c>
      <x:c r="J217" s="48" t="str">
        <x:f>IF(Searches!$A$112&lt;&gt;"Yes","",Searches!$K$112)</x:f>
      </x:c>
    </x:row>
    <x:row r="218">
      <x:c r="A218" s="48" t="str">
        <x:f>IF(Searches!$A$113&lt;&gt;"Yes","",Searches!$C$113)</x:f>
      </x:c>
      <x:c r="B218" s="48" t="str">
        <x:f>IF(Searches!$A$113&lt;&gt;"Yes","",Searches!$D$113)</x:f>
      </x:c>
      <x:c r="C218" s="48" t="str">
        <x:f>IF(Searches!$A$113&lt;&gt;"Yes","",Searches!$O$113)</x:f>
      </x:c>
      <x:c r="D218" s="48" t="str">
        <x:f>IF(Searches!$A$113&lt;&gt;"Yes","",Searches!$P$113)</x:f>
      </x:c>
      <x:c r="E218" s="48" t="str">
        <x:f>IF(Searches!$A$113&lt;&gt;"Yes","",Searches!$Q$113)</x:f>
      </x:c>
      <x:c r="F218" s="48" t="str">
        <x:f>IF(Searches!$A$113&lt;&gt;"Yes","",Searches!$R$113)</x:f>
      </x:c>
      <x:c r="G218" s="48" t="str">
        <x:f>IF(Searches!$A$113&lt;&gt;"Yes","",Searches!$E$113)</x:f>
      </x:c>
      <x:c r="H218" s="48" t="str">
        <x:f>IF(Searches!$A$113&lt;&gt;"Yes","",Searches!$N$113)</x:f>
      </x:c>
      <x:c r="I218" s="48" t="str">
        <x:f>IF(Searches!$A$113&lt;&gt;"Yes","",Searches!$B$113)</x:f>
      </x:c>
      <x:c r="J218" s="48" t="str">
        <x:f>IF(Searches!$A$113&lt;&gt;"Yes","",Searches!$K$113)</x:f>
      </x:c>
    </x:row>
    <x:row r="219">
      <x:c r="A219" s="48" t="str">
        <x:f>IF(Searches!$A$114&lt;&gt;"Yes","",Searches!$C$114)</x:f>
      </x:c>
      <x:c r="B219" s="48" t="str">
        <x:f>IF(Searches!$A$114&lt;&gt;"Yes","",Searches!$D$114)</x:f>
      </x:c>
      <x:c r="C219" s="48" t="str">
        <x:f>IF(Searches!$A$114&lt;&gt;"Yes","",Searches!$O$114)</x:f>
      </x:c>
      <x:c r="D219" s="48" t="str">
        <x:f>IF(Searches!$A$114&lt;&gt;"Yes","",Searches!$P$114)</x:f>
      </x:c>
      <x:c r="E219" s="48" t="str">
        <x:f>IF(Searches!$A$114&lt;&gt;"Yes","",Searches!$Q$114)</x:f>
      </x:c>
      <x:c r="F219" s="48" t="str">
        <x:f>IF(Searches!$A$114&lt;&gt;"Yes","",Searches!$R$114)</x:f>
      </x:c>
      <x:c r="G219" s="48" t="str">
        <x:f>IF(Searches!$A$114&lt;&gt;"Yes","",Searches!$E$114)</x:f>
      </x:c>
      <x:c r="H219" s="48" t="str">
        <x:f>IF(Searches!$A$114&lt;&gt;"Yes","",Searches!$N$114)</x:f>
      </x:c>
      <x:c r="I219" s="48" t="str">
        <x:f>IF(Searches!$A$114&lt;&gt;"Yes","",Searches!$B$114)</x:f>
      </x:c>
      <x:c r="J219" s="48" t="str">
        <x:f>IF(Searches!$A$114&lt;&gt;"Yes","",Searches!$K$114)</x:f>
      </x:c>
    </x:row>
    <x:row r="220">
      <x:c r="A220" s="48" t="str">
        <x:f>IF(Searches!$A$115&lt;&gt;"Yes","",Searches!$C$115)</x:f>
      </x:c>
      <x:c r="B220" s="48" t="str">
        <x:f>IF(Searches!$A$115&lt;&gt;"Yes","",Searches!$D$115)</x:f>
      </x:c>
      <x:c r="C220" s="48" t="str">
        <x:f>IF(Searches!$A$115&lt;&gt;"Yes","",Searches!$O$115)</x:f>
      </x:c>
      <x:c r="D220" s="48" t="str">
        <x:f>IF(Searches!$A$115&lt;&gt;"Yes","",Searches!$P$115)</x:f>
      </x:c>
      <x:c r="E220" s="48" t="str">
        <x:f>IF(Searches!$A$115&lt;&gt;"Yes","",Searches!$Q$115)</x:f>
      </x:c>
      <x:c r="F220" s="48" t="str">
        <x:f>IF(Searches!$A$115&lt;&gt;"Yes","",Searches!$R$115)</x:f>
      </x:c>
      <x:c r="G220" s="48" t="str">
        <x:f>IF(Searches!$A$115&lt;&gt;"Yes","",Searches!$E$115)</x:f>
      </x:c>
      <x:c r="H220" s="48" t="str">
        <x:f>IF(Searches!$A$115&lt;&gt;"Yes","",Searches!$N$115)</x:f>
      </x:c>
      <x:c r="I220" s="48" t="str">
        <x:f>IF(Searches!$A$115&lt;&gt;"Yes","",Searches!$B$115)</x:f>
      </x:c>
      <x:c r="J220" s="48" t="str">
        <x:f>IF(Searches!$A$115&lt;&gt;"Yes","",Searches!$K$115)</x:f>
      </x:c>
    </x:row>
    <x:row r="221">
      <x:c r="A221" s="48" t="str">
        <x:f>IF(Searches!$A$116&lt;&gt;"Yes","",Searches!$C$116)</x:f>
      </x:c>
      <x:c r="B221" s="48" t="str">
        <x:f>IF(Searches!$A$116&lt;&gt;"Yes","",Searches!$D$116)</x:f>
      </x:c>
      <x:c r="C221" s="48" t="str">
        <x:f>IF(Searches!$A$116&lt;&gt;"Yes","",Searches!$O$116)</x:f>
      </x:c>
      <x:c r="D221" s="48" t="str">
        <x:f>IF(Searches!$A$116&lt;&gt;"Yes","",Searches!$P$116)</x:f>
      </x:c>
      <x:c r="E221" s="48" t="str">
        <x:f>IF(Searches!$A$116&lt;&gt;"Yes","",Searches!$Q$116)</x:f>
      </x:c>
      <x:c r="F221" s="48" t="str">
        <x:f>IF(Searches!$A$116&lt;&gt;"Yes","",Searches!$R$116)</x:f>
      </x:c>
      <x:c r="G221" s="48" t="str">
        <x:f>IF(Searches!$A$116&lt;&gt;"Yes","",Searches!$E$116)</x:f>
      </x:c>
      <x:c r="H221" s="48" t="str">
        <x:f>IF(Searches!$A$116&lt;&gt;"Yes","",Searches!$N$116)</x:f>
      </x:c>
      <x:c r="I221" s="48" t="str">
        <x:f>IF(Searches!$A$116&lt;&gt;"Yes","",Searches!$B$116)</x:f>
      </x:c>
      <x:c r="J221" s="48" t="str">
        <x:f>IF(Searches!$A$116&lt;&gt;"Yes","",Searches!$K$116)</x:f>
      </x:c>
    </x:row>
    <x:row r="222">
      <x:c r="A222" s="48" t="str">
        <x:f>IF(Searches!$A$117&lt;&gt;"Yes","",Searches!$C$117)</x:f>
      </x:c>
      <x:c r="B222" s="48" t="str">
        <x:f>IF(Searches!$A$117&lt;&gt;"Yes","",Searches!$D$117)</x:f>
      </x:c>
      <x:c r="C222" s="48" t="str">
        <x:f>IF(Searches!$A$117&lt;&gt;"Yes","",Searches!$O$117)</x:f>
      </x:c>
      <x:c r="D222" s="48" t="str">
        <x:f>IF(Searches!$A$117&lt;&gt;"Yes","",Searches!$P$117)</x:f>
      </x:c>
      <x:c r="E222" s="48" t="str">
        <x:f>IF(Searches!$A$117&lt;&gt;"Yes","",Searches!$Q$117)</x:f>
      </x:c>
      <x:c r="F222" s="48" t="str">
        <x:f>IF(Searches!$A$117&lt;&gt;"Yes","",Searches!$R$117)</x:f>
      </x:c>
      <x:c r="G222" s="48" t="str">
        <x:f>IF(Searches!$A$117&lt;&gt;"Yes","",Searches!$E$117)</x:f>
      </x:c>
      <x:c r="H222" s="48" t="str">
        <x:f>IF(Searches!$A$117&lt;&gt;"Yes","",Searches!$N$117)</x:f>
      </x:c>
      <x:c r="I222" s="48" t="str">
        <x:f>IF(Searches!$A$117&lt;&gt;"Yes","",Searches!$B$117)</x:f>
      </x:c>
      <x:c r="J222" s="48" t="str">
        <x:f>IF(Searches!$A$117&lt;&gt;"Yes","",Searches!$K$117)</x:f>
      </x:c>
    </x:row>
    <x:row r="223">
      <x:c r="A223" s="48" t="str">
        <x:f>IF(Searches!$A$118&lt;&gt;"Yes","",Searches!$C$118)</x:f>
      </x:c>
      <x:c r="B223" s="48" t="str">
        <x:f>IF(Searches!$A$118&lt;&gt;"Yes","",Searches!$D$118)</x:f>
      </x:c>
      <x:c r="C223" s="48" t="str">
        <x:f>IF(Searches!$A$118&lt;&gt;"Yes","",Searches!$O$118)</x:f>
      </x:c>
      <x:c r="D223" s="48" t="str">
        <x:f>IF(Searches!$A$118&lt;&gt;"Yes","",Searches!$P$118)</x:f>
      </x:c>
      <x:c r="E223" s="48" t="str">
        <x:f>IF(Searches!$A$118&lt;&gt;"Yes","",Searches!$Q$118)</x:f>
      </x:c>
      <x:c r="F223" s="48" t="str">
        <x:f>IF(Searches!$A$118&lt;&gt;"Yes","",Searches!$R$118)</x:f>
      </x:c>
      <x:c r="G223" s="48" t="str">
        <x:f>IF(Searches!$A$118&lt;&gt;"Yes","",Searches!$E$118)</x:f>
      </x:c>
      <x:c r="H223" s="48" t="str">
        <x:f>IF(Searches!$A$118&lt;&gt;"Yes","",Searches!$N$118)</x:f>
      </x:c>
      <x:c r="I223" s="48" t="str">
        <x:f>IF(Searches!$A$118&lt;&gt;"Yes","",Searches!$B$118)</x:f>
      </x:c>
      <x:c r="J223" s="48" t="str">
        <x:f>IF(Searches!$A$118&lt;&gt;"Yes","",Searches!$K$118)</x:f>
      </x:c>
    </x:row>
    <x:row r="224">
      <x:c r="A224" s="48" t="str">
        <x:f>IF(Searches!$A$119&lt;&gt;"Yes","",Searches!$C$119)</x:f>
      </x:c>
      <x:c r="B224" s="48" t="str">
        <x:f>IF(Searches!$A$119&lt;&gt;"Yes","",Searches!$D$119)</x:f>
      </x:c>
      <x:c r="C224" s="48" t="str">
        <x:f>IF(Searches!$A$119&lt;&gt;"Yes","",Searches!$O$119)</x:f>
      </x:c>
      <x:c r="D224" s="48" t="str">
        <x:f>IF(Searches!$A$119&lt;&gt;"Yes","",Searches!$P$119)</x:f>
      </x:c>
      <x:c r="E224" s="48" t="str">
        <x:f>IF(Searches!$A$119&lt;&gt;"Yes","",Searches!$Q$119)</x:f>
      </x:c>
      <x:c r="F224" s="48" t="str">
        <x:f>IF(Searches!$A$119&lt;&gt;"Yes","",Searches!$R$119)</x:f>
      </x:c>
      <x:c r="G224" s="48" t="str">
        <x:f>IF(Searches!$A$119&lt;&gt;"Yes","",Searches!$E$119)</x:f>
      </x:c>
      <x:c r="H224" s="48" t="str">
        <x:f>IF(Searches!$A$119&lt;&gt;"Yes","",Searches!$N$119)</x:f>
      </x:c>
      <x:c r="I224" s="48" t="str">
        <x:f>IF(Searches!$A$119&lt;&gt;"Yes","",Searches!$B$119)</x:f>
      </x:c>
      <x:c r="J224" s="48" t="str">
        <x:f>IF(Searches!$A$119&lt;&gt;"Yes","",Searches!$K$119)</x:f>
      </x:c>
    </x:row>
    <x:row r="225">
      <x:c r="A225" s="48" t="str">
        <x:f>IF(Searches!$A$120&lt;&gt;"Yes","",Searches!$C$120)</x:f>
      </x:c>
      <x:c r="B225" s="48" t="str">
        <x:f>IF(Searches!$A$120&lt;&gt;"Yes","",Searches!$D$120)</x:f>
      </x:c>
      <x:c r="C225" s="48" t="str">
        <x:f>IF(Searches!$A$120&lt;&gt;"Yes","",Searches!$O$120)</x:f>
      </x:c>
      <x:c r="D225" s="48" t="str">
        <x:f>IF(Searches!$A$120&lt;&gt;"Yes","",Searches!$P$120)</x:f>
      </x:c>
      <x:c r="E225" s="48" t="str">
        <x:f>IF(Searches!$A$120&lt;&gt;"Yes","",Searches!$Q$120)</x:f>
      </x:c>
      <x:c r="F225" s="48" t="str">
        <x:f>IF(Searches!$A$120&lt;&gt;"Yes","",Searches!$R$120)</x:f>
      </x:c>
      <x:c r="G225" s="48" t="str">
        <x:f>IF(Searches!$A$120&lt;&gt;"Yes","",Searches!$E$120)</x:f>
      </x:c>
      <x:c r="H225" s="48" t="str">
        <x:f>IF(Searches!$A$120&lt;&gt;"Yes","",Searches!$N$120)</x:f>
      </x:c>
      <x:c r="I225" s="48" t="str">
        <x:f>IF(Searches!$A$120&lt;&gt;"Yes","",Searches!$B$120)</x:f>
      </x:c>
      <x:c r="J225" s="48" t="str">
        <x:f>IF(Searches!$A$120&lt;&gt;"Yes","",Searches!$K$120)</x:f>
      </x:c>
    </x:row>
    <x:row r="226">
      <x:c r="A226" s="48" t="str">
        <x:f>IF(Searches!$A$121&lt;&gt;"Yes","",Searches!$C$121)</x:f>
      </x:c>
      <x:c r="B226" s="48" t="str">
        <x:f>IF(Searches!$A$121&lt;&gt;"Yes","",Searches!$D$121)</x:f>
      </x:c>
      <x:c r="C226" s="48" t="str">
        <x:f>IF(Searches!$A$121&lt;&gt;"Yes","",Searches!$O$121)</x:f>
      </x:c>
      <x:c r="D226" s="48" t="str">
        <x:f>IF(Searches!$A$121&lt;&gt;"Yes","",Searches!$P$121)</x:f>
      </x:c>
      <x:c r="E226" s="48" t="str">
        <x:f>IF(Searches!$A$121&lt;&gt;"Yes","",Searches!$Q$121)</x:f>
      </x:c>
      <x:c r="F226" s="48" t="str">
        <x:f>IF(Searches!$A$121&lt;&gt;"Yes","",Searches!$R$121)</x:f>
      </x:c>
      <x:c r="G226" s="48" t="str">
        <x:f>IF(Searches!$A$121&lt;&gt;"Yes","",Searches!$E$121)</x:f>
      </x:c>
      <x:c r="H226" s="48" t="str">
        <x:f>IF(Searches!$A$121&lt;&gt;"Yes","",Searches!$N$121)</x:f>
      </x:c>
      <x:c r="I226" s="48" t="str">
        <x:f>IF(Searches!$A$121&lt;&gt;"Yes","",Searches!$B$121)</x:f>
      </x:c>
      <x:c r="J226" s="48" t="str">
        <x:f>IF(Searches!$A$121&lt;&gt;"Yes","",Searches!$K$121)</x:f>
      </x:c>
    </x:row>
    <x:row r="227">
      <x:c r="A227" s="48" t="str">
        <x:f>IF(Searches!$A$122&lt;&gt;"Yes","",Searches!$C$122)</x:f>
      </x:c>
      <x:c r="B227" s="48" t="str">
        <x:f>IF(Searches!$A$122&lt;&gt;"Yes","",Searches!$D$122)</x:f>
      </x:c>
      <x:c r="C227" s="48" t="str">
        <x:f>IF(Searches!$A$122&lt;&gt;"Yes","",Searches!$O$122)</x:f>
      </x:c>
      <x:c r="D227" s="48" t="str">
        <x:f>IF(Searches!$A$122&lt;&gt;"Yes","",Searches!$P$122)</x:f>
      </x:c>
      <x:c r="E227" s="48" t="str">
        <x:f>IF(Searches!$A$122&lt;&gt;"Yes","",Searches!$Q$122)</x:f>
      </x:c>
      <x:c r="F227" s="48" t="str">
        <x:f>IF(Searches!$A$122&lt;&gt;"Yes","",Searches!$R$122)</x:f>
      </x:c>
      <x:c r="G227" s="48" t="str">
        <x:f>IF(Searches!$A$122&lt;&gt;"Yes","",Searches!$E$122)</x:f>
      </x:c>
      <x:c r="H227" s="48" t="str">
        <x:f>IF(Searches!$A$122&lt;&gt;"Yes","",Searches!$N$122)</x:f>
      </x:c>
      <x:c r="I227" s="48" t="str">
        <x:f>IF(Searches!$A$122&lt;&gt;"Yes","",Searches!$B$122)</x:f>
      </x:c>
      <x:c r="J227" s="48" t="str">
        <x:f>IF(Searches!$A$122&lt;&gt;"Yes","",Searches!$K$122)</x:f>
      </x:c>
    </x:row>
    <x:row r="228">
      <x:c r="A228" s="48" t="str">
        <x:f>IF(Searches!$A$123&lt;&gt;"Yes","",Searches!$C$123)</x:f>
      </x:c>
      <x:c r="B228" s="48" t="str">
        <x:f>IF(Searches!$A$123&lt;&gt;"Yes","",Searches!$D$123)</x:f>
      </x:c>
      <x:c r="C228" s="48" t="str">
        <x:f>IF(Searches!$A$123&lt;&gt;"Yes","",Searches!$O$123)</x:f>
      </x:c>
      <x:c r="D228" s="48" t="str">
        <x:f>IF(Searches!$A$123&lt;&gt;"Yes","",Searches!$P$123)</x:f>
      </x:c>
      <x:c r="E228" s="48" t="str">
        <x:f>IF(Searches!$A$123&lt;&gt;"Yes","",Searches!$Q$123)</x:f>
      </x:c>
      <x:c r="F228" s="48" t="str">
        <x:f>IF(Searches!$A$123&lt;&gt;"Yes","",Searches!$R$123)</x:f>
      </x:c>
      <x:c r="G228" s="48" t="str">
        <x:f>IF(Searches!$A$123&lt;&gt;"Yes","",Searches!$E$123)</x:f>
      </x:c>
      <x:c r="H228" s="48" t="str">
        <x:f>IF(Searches!$A$123&lt;&gt;"Yes","",Searches!$N$123)</x:f>
      </x:c>
      <x:c r="I228" s="48" t="str">
        <x:f>IF(Searches!$A$123&lt;&gt;"Yes","",Searches!$B$123)</x:f>
      </x:c>
      <x:c r="J228" s="48" t="str">
        <x:f>IF(Searches!$A$123&lt;&gt;"Yes","",Searches!$K$123)</x:f>
      </x:c>
    </x:row>
    <x:row r="229">
      <x:c r="A229" s="48" t="str">
        <x:f>IF(Searches!$A$124&lt;&gt;"Yes","",Searches!$C$124)</x:f>
      </x:c>
      <x:c r="B229" s="48" t="str">
        <x:f>IF(Searches!$A$124&lt;&gt;"Yes","",Searches!$D$124)</x:f>
      </x:c>
      <x:c r="C229" s="48" t="str">
        <x:f>IF(Searches!$A$124&lt;&gt;"Yes","",Searches!$O$124)</x:f>
      </x:c>
      <x:c r="D229" s="48" t="str">
        <x:f>IF(Searches!$A$124&lt;&gt;"Yes","",Searches!$P$124)</x:f>
      </x:c>
      <x:c r="E229" s="48" t="str">
        <x:f>IF(Searches!$A$124&lt;&gt;"Yes","",Searches!$Q$124)</x:f>
      </x:c>
      <x:c r="F229" s="48" t="str">
        <x:f>IF(Searches!$A$124&lt;&gt;"Yes","",Searches!$R$124)</x:f>
      </x:c>
      <x:c r="G229" s="48" t="str">
        <x:f>IF(Searches!$A$124&lt;&gt;"Yes","",Searches!$E$124)</x:f>
      </x:c>
      <x:c r="H229" s="48" t="str">
        <x:f>IF(Searches!$A$124&lt;&gt;"Yes","",Searches!$N$124)</x:f>
      </x:c>
      <x:c r="I229" s="48" t="str">
        <x:f>IF(Searches!$A$124&lt;&gt;"Yes","",Searches!$B$124)</x:f>
      </x:c>
      <x:c r="J229" s="48" t="str">
        <x:f>IF(Searches!$A$124&lt;&gt;"Yes","",Searches!$K$124)</x:f>
      </x:c>
    </x:row>
    <x:row r="230">
      <x:c r="A230" s="48" t="str">
        <x:f>IF(Searches!$A$125&lt;&gt;"Yes","",Searches!$C$125)</x:f>
      </x:c>
      <x:c r="B230" s="48" t="str">
        <x:f>IF(Searches!$A$125&lt;&gt;"Yes","",Searches!$D$125)</x:f>
      </x:c>
      <x:c r="C230" s="48" t="str">
        <x:f>IF(Searches!$A$125&lt;&gt;"Yes","",Searches!$O$125)</x:f>
      </x:c>
      <x:c r="D230" s="48" t="str">
        <x:f>IF(Searches!$A$125&lt;&gt;"Yes","",Searches!$P$125)</x:f>
      </x:c>
      <x:c r="E230" s="48" t="str">
        <x:f>IF(Searches!$A$125&lt;&gt;"Yes","",Searches!$Q$125)</x:f>
      </x:c>
      <x:c r="F230" s="48" t="str">
        <x:f>IF(Searches!$A$125&lt;&gt;"Yes","",Searches!$R$125)</x:f>
      </x:c>
      <x:c r="G230" s="48" t="str">
        <x:f>IF(Searches!$A$125&lt;&gt;"Yes","",Searches!$E$125)</x:f>
      </x:c>
      <x:c r="H230" s="48" t="str">
        <x:f>IF(Searches!$A$125&lt;&gt;"Yes","",Searches!$N$125)</x:f>
      </x:c>
      <x:c r="I230" s="48" t="str">
        <x:f>IF(Searches!$A$125&lt;&gt;"Yes","",Searches!$B$125)</x:f>
      </x:c>
      <x:c r="J230" s="48" t="str">
        <x:f>IF(Searches!$A$125&lt;&gt;"Yes","",Searches!$K$125)</x:f>
      </x:c>
    </x:row>
    <x:row r="231">
      <x:c r="A231" s="48" t="str">
        <x:f>IF(Searches!$A$126&lt;&gt;"Yes","",Searches!$C$126)</x:f>
      </x:c>
      <x:c r="B231" s="48" t="str">
        <x:f>IF(Searches!$A$126&lt;&gt;"Yes","",Searches!$D$126)</x:f>
      </x:c>
      <x:c r="C231" s="48" t="str">
        <x:f>IF(Searches!$A$126&lt;&gt;"Yes","",Searches!$O$126)</x:f>
      </x:c>
      <x:c r="D231" s="48" t="str">
        <x:f>IF(Searches!$A$126&lt;&gt;"Yes","",Searches!$P$126)</x:f>
      </x:c>
      <x:c r="E231" s="48" t="str">
        <x:f>IF(Searches!$A$126&lt;&gt;"Yes","",Searches!$Q$126)</x:f>
      </x:c>
      <x:c r="F231" s="48" t="str">
        <x:f>IF(Searches!$A$126&lt;&gt;"Yes","",Searches!$R$126)</x:f>
      </x:c>
      <x:c r="G231" s="48" t="str">
        <x:f>IF(Searches!$A$126&lt;&gt;"Yes","",Searches!$E$126)</x:f>
      </x:c>
      <x:c r="H231" s="48" t="str">
        <x:f>IF(Searches!$A$126&lt;&gt;"Yes","",Searches!$N$126)</x:f>
      </x:c>
      <x:c r="I231" s="48" t="str">
        <x:f>IF(Searches!$A$126&lt;&gt;"Yes","",Searches!$B$126)</x:f>
      </x:c>
      <x:c r="J231" s="48" t="str">
        <x:f>IF(Searches!$A$126&lt;&gt;"Yes","",Searches!$K$126)</x:f>
      </x:c>
    </x:row>
    <x:row r="232">
      <x:c r="A232" s="48" t="str">
        <x:f>IF(Searches!$A$127&lt;&gt;"Yes","",Searches!$C$127)</x:f>
      </x:c>
      <x:c r="B232" s="48" t="str">
        <x:f>IF(Searches!$A$127&lt;&gt;"Yes","",Searches!$D$127)</x:f>
      </x:c>
      <x:c r="C232" s="48" t="str">
        <x:f>IF(Searches!$A$127&lt;&gt;"Yes","",Searches!$O$127)</x:f>
      </x:c>
      <x:c r="D232" s="48" t="str">
        <x:f>IF(Searches!$A$127&lt;&gt;"Yes","",Searches!$P$127)</x:f>
      </x:c>
      <x:c r="E232" s="48" t="str">
        <x:f>IF(Searches!$A$127&lt;&gt;"Yes","",Searches!$Q$127)</x:f>
      </x:c>
      <x:c r="F232" s="48" t="str">
        <x:f>IF(Searches!$A$127&lt;&gt;"Yes","",Searches!$R$127)</x:f>
      </x:c>
      <x:c r="G232" s="48" t="str">
        <x:f>IF(Searches!$A$127&lt;&gt;"Yes","",Searches!$E$127)</x:f>
      </x:c>
      <x:c r="H232" s="48" t="str">
        <x:f>IF(Searches!$A$127&lt;&gt;"Yes","",Searches!$N$127)</x:f>
      </x:c>
      <x:c r="I232" s="48" t="str">
        <x:f>IF(Searches!$A$127&lt;&gt;"Yes","",Searches!$B$127)</x:f>
      </x:c>
      <x:c r="J232" s="48" t="str">
        <x:f>IF(Searches!$A$127&lt;&gt;"Yes","",Searches!$K$127)</x:f>
      </x:c>
    </x:row>
    <x:row r="233">
      <x:c r="A233" s="48" t="str">
        <x:f>IF(Searches!$A$128&lt;&gt;"Yes","",Searches!$C$128)</x:f>
      </x:c>
      <x:c r="B233" s="48" t="str">
        <x:f>IF(Searches!$A$128&lt;&gt;"Yes","",Searches!$D$128)</x:f>
      </x:c>
      <x:c r="C233" s="48" t="str">
        <x:f>IF(Searches!$A$128&lt;&gt;"Yes","",Searches!$O$128)</x:f>
      </x:c>
      <x:c r="D233" s="48" t="str">
        <x:f>IF(Searches!$A$128&lt;&gt;"Yes","",Searches!$P$128)</x:f>
      </x:c>
      <x:c r="E233" s="48" t="str">
        <x:f>IF(Searches!$A$128&lt;&gt;"Yes","",Searches!$Q$128)</x:f>
      </x:c>
      <x:c r="F233" s="48" t="str">
        <x:f>IF(Searches!$A$128&lt;&gt;"Yes","",Searches!$R$128)</x:f>
      </x:c>
      <x:c r="G233" s="48" t="str">
        <x:f>IF(Searches!$A$128&lt;&gt;"Yes","",Searches!$E$128)</x:f>
      </x:c>
      <x:c r="H233" s="48" t="str">
        <x:f>IF(Searches!$A$128&lt;&gt;"Yes","",Searches!$N$128)</x:f>
      </x:c>
      <x:c r="I233" s="48" t="str">
        <x:f>IF(Searches!$A$128&lt;&gt;"Yes","",Searches!$B$128)</x:f>
      </x:c>
      <x:c r="J233" s="48" t="str">
        <x:f>IF(Searches!$A$128&lt;&gt;"Yes","",Searches!$K$128)</x:f>
      </x:c>
    </x:row>
    <x:row r="234">
      <x:c r="A234" s="48" t="str">
        <x:f>IF(Searches!$A$129&lt;&gt;"Yes","",Searches!$C$129)</x:f>
      </x:c>
      <x:c r="B234" s="48" t="str">
        <x:f>IF(Searches!$A$129&lt;&gt;"Yes","",Searches!$D$129)</x:f>
      </x:c>
      <x:c r="C234" s="48" t="str">
        <x:f>IF(Searches!$A$129&lt;&gt;"Yes","",Searches!$O$129)</x:f>
      </x:c>
      <x:c r="D234" s="48" t="str">
        <x:f>IF(Searches!$A$129&lt;&gt;"Yes","",Searches!$P$129)</x:f>
      </x:c>
      <x:c r="E234" s="48" t="str">
        <x:f>IF(Searches!$A$129&lt;&gt;"Yes","",Searches!$Q$129)</x:f>
      </x:c>
      <x:c r="F234" s="48" t="str">
        <x:f>IF(Searches!$A$129&lt;&gt;"Yes","",Searches!$R$129)</x:f>
      </x:c>
      <x:c r="G234" s="48" t="str">
        <x:f>IF(Searches!$A$129&lt;&gt;"Yes","",Searches!$E$129)</x:f>
      </x:c>
      <x:c r="H234" s="48" t="str">
        <x:f>IF(Searches!$A$129&lt;&gt;"Yes","",Searches!$N$129)</x:f>
      </x:c>
      <x:c r="I234" s="48" t="str">
        <x:f>IF(Searches!$A$129&lt;&gt;"Yes","",Searches!$B$129)</x:f>
      </x:c>
      <x:c r="J234" s="48" t="str">
        <x:f>IF(Searches!$A$129&lt;&gt;"Yes","",Searches!$K$129)</x:f>
      </x:c>
    </x:row>
    <x:row r="235">
      <x:c r="A235" s="48" t="str">
        <x:f>IF(Searches!$A$130&lt;&gt;"Yes","",Searches!$C$130)</x:f>
      </x:c>
      <x:c r="B235" s="48" t="str">
        <x:f>IF(Searches!$A$130&lt;&gt;"Yes","",Searches!$D$130)</x:f>
      </x:c>
      <x:c r="C235" s="48" t="str">
        <x:f>IF(Searches!$A$130&lt;&gt;"Yes","",Searches!$O$130)</x:f>
      </x:c>
      <x:c r="D235" s="48" t="str">
        <x:f>IF(Searches!$A$130&lt;&gt;"Yes","",Searches!$P$130)</x:f>
      </x:c>
      <x:c r="E235" s="48" t="str">
        <x:f>IF(Searches!$A$130&lt;&gt;"Yes","",Searches!$Q$130)</x:f>
      </x:c>
      <x:c r="F235" s="48" t="str">
        <x:f>IF(Searches!$A$130&lt;&gt;"Yes","",Searches!$R$130)</x:f>
      </x:c>
      <x:c r="G235" s="48" t="str">
        <x:f>IF(Searches!$A$130&lt;&gt;"Yes","",Searches!$E$130)</x:f>
      </x:c>
      <x:c r="H235" s="48" t="str">
        <x:f>IF(Searches!$A$130&lt;&gt;"Yes","",Searches!$N$130)</x:f>
      </x:c>
      <x:c r="I235" s="48" t="str">
        <x:f>IF(Searches!$A$130&lt;&gt;"Yes","",Searches!$B$130)</x:f>
      </x:c>
      <x:c r="J235" s="48" t="str">
        <x:f>IF(Searches!$A$130&lt;&gt;"Yes","",Searches!$K$130)</x:f>
      </x:c>
    </x:row>
    <x:row r="236">
      <x:c r="A236" s="48" t="str">
        <x:f>IF(Searches!$A$131&lt;&gt;"Yes","",Searches!$C$131)</x:f>
      </x:c>
      <x:c r="B236" s="48" t="str">
        <x:f>IF(Searches!$A$131&lt;&gt;"Yes","",Searches!$D$131)</x:f>
      </x:c>
      <x:c r="C236" s="48" t="str">
        <x:f>IF(Searches!$A$131&lt;&gt;"Yes","",Searches!$O$131)</x:f>
      </x:c>
      <x:c r="D236" s="48" t="str">
        <x:f>IF(Searches!$A$131&lt;&gt;"Yes","",Searches!$P$131)</x:f>
      </x:c>
      <x:c r="E236" s="48" t="str">
        <x:f>IF(Searches!$A$131&lt;&gt;"Yes","",Searches!$Q$131)</x:f>
      </x:c>
      <x:c r="F236" s="48" t="str">
        <x:f>IF(Searches!$A$131&lt;&gt;"Yes","",Searches!$R$131)</x:f>
      </x:c>
      <x:c r="G236" s="48" t="str">
        <x:f>IF(Searches!$A$131&lt;&gt;"Yes","",Searches!$E$131)</x:f>
      </x:c>
      <x:c r="H236" s="48" t="str">
        <x:f>IF(Searches!$A$131&lt;&gt;"Yes","",Searches!$N$131)</x:f>
      </x:c>
      <x:c r="I236" s="48" t="str">
        <x:f>IF(Searches!$A$131&lt;&gt;"Yes","",Searches!$B$131)</x:f>
      </x:c>
      <x:c r="J236" s="48" t="str">
        <x:f>IF(Searches!$A$131&lt;&gt;"Yes","",Searches!$K$131)</x:f>
      </x:c>
    </x:row>
    <x:row r="237">
      <x:c r="A237" s="48" t="str">
        <x:f>IF(Searches!$A$132&lt;&gt;"Yes","",Searches!$C$132)</x:f>
      </x:c>
      <x:c r="B237" s="48" t="str">
        <x:f>IF(Searches!$A$132&lt;&gt;"Yes","",Searches!$D$132)</x:f>
      </x:c>
      <x:c r="C237" s="48" t="str">
        <x:f>IF(Searches!$A$132&lt;&gt;"Yes","",Searches!$O$132)</x:f>
      </x:c>
      <x:c r="D237" s="48" t="str">
        <x:f>IF(Searches!$A$132&lt;&gt;"Yes","",Searches!$P$132)</x:f>
      </x:c>
      <x:c r="E237" s="48" t="str">
        <x:f>IF(Searches!$A$132&lt;&gt;"Yes","",Searches!$Q$132)</x:f>
      </x:c>
      <x:c r="F237" s="48" t="str">
        <x:f>IF(Searches!$A$132&lt;&gt;"Yes","",Searches!$R$132)</x:f>
      </x:c>
      <x:c r="G237" s="48" t="str">
        <x:f>IF(Searches!$A$132&lt;&gt;"Yes","",Searches!$E$132)</x:f>
      </x:c>
      <x:c r="H237" s="48" t="str">
        <x:f>IF(Searches!$A$132&lt;&gt;"Yes","",Searches!$N$132)</x:f>
      </x:c>
      <x:c r="I237" s="48" t="str">
        <x:f>IF(Searches!$A$132&lt;&gt;"Yes","",Searches!$B$132)</x:f>
      </x:c>
      <x:c r="J237" s="48" t="str">
        <x:f>IF(Searches!$A$132&lt;&gt;"Yes","",Searches!$K$132)</x:f>
      </x:c>
    </x:row>
    <x:row r="238">
      <x:c r="A238" s="48" t="str">
        <x:f>IF(Searches!$A$133&lt;&gt;"Yes","",Searches!$C$133)</x:f>
      </x:c>
      <x:c r="B238" s="48" t="str">
        <x:f>IF(Searches!$A$133&lt;&gt;"Yes","",Searches!$D$133)</x:f>
      </x:c>
      <x:c r="C238" s="48" t="str">
        <x:f>IF(Searches!$A$133&lt;&gt;"Yes","",Searches!$O$133)</x:f>
      </x:c>
      <x:c r="D238" s="48" t="str">
        <x:f>IF(Searches!$A$133&lt;&gt;"Yes","",Searches!$P$133)</x:f>
      </x:c>
      <x:c r="E238" s="48" t="str">
        <x:f>IF(Searches!$A$133&lt;&gt;"Yes","",Searches!$Q$133)</x:f>
      </x:c>
      <x:c r="F238" s="48" t="str">
        <x:f>IF(Searches!$A$133&lt;&gt;"Yes","",Searches!$R$133)</x:f>
      </x:c>
      <x:c r="G238" s="48" t="str">
        <x:f>IF(Searches!$A$133&lt;&gt;"Yes","",Searches!$E$133)</x:f>
      </x:c>
      <x:c r="H238" s="48" t="str">
        <x:f>IF(Searches!$A$133&lt;&gt;"Yes","",Searches!$N$133)</x:f>
      </x:c>
      <x:c r="I238" s="48" t="str">
        <x:f>IF(Searches!$A$133&lt;&gt;"Yes","",Searches!$B$133)</x:f>
      </x:c>
      <x:c r="J238" s="48" t="str">
        <x:f>IF(Searches!$A$133&lt;&gt;"Yes","",Searches!$K$133)</x:f>
      </x:c>
    </x:row>
    <x:row r="239">
      <x:c r="A239" s="48" t="str">
        <x:f>IF(Searches!$A$134&lt;&gt;"Yes","",Searches!$C$134)</x:f>
      </x:c>
      <x:c r="B239" s="48" t="str">
        <x:f>IF(Searches!$A$134&lt;&gt;"Yes","",Searches!$D$134)</x:f>
      </x:c>
      <x:c r="C239" s="48" t="str">
        <x:f>IF(Searches!$A$134&lt;&gt;"Yes","",Searches!$O$134)</x:f>
      </x:c>
      <x:c r="D239" s="48" t="str">
        <x:f>IF(Searches!$A$134&lt;&gt;"Yes","",Searches!$P$134)</x:f>
      </x:c>
      <x:c r="E239" s="48" t="str">
        <x:f>IF(Searches!$A$134&lt;&gt;"Yes","",Searches!$Q$134)</x:f>
      </x:c>
      <x:c r="F239" s="48" t="str">
        <x:f>IF(Searches!$A$134&lt;&gt;"Yes","",Searches!$R$134)</x:f>
      </x:c>
      <x:c r="G239" s="48" t="str">
        <x:f>IF(Searches!$A$134&lt;&gt;"Yes","",Searches!$E$134)</x:f>
      </x:c>
      <x:c r="H239" s="48" t="str">
        <x:f>IF(Searches!$A$134&lt;&gt;"Yes","",Searches!$N$134)</x:f>
      </x:c>
      <x:c r="I239" s="48" t="str">
        <x:f>IF(Searches!$A$134&lt;&gt;"Yes","",Searches!$B$134)</x:f>
      </x:c>
      <x:c r="J239" s="48" t="str">
        <x:f>IF(Searches!$A$134&lt;&gt;"Yes","",Searches!$K$134)</x:f>
      </x:c>
    </x:row>
    <x:row r="240">
      <x:c r="A240" s="48" t="str">
        <x:f>IF(Searches!$A$135&lt;&gt;"Yes","",Searches!$C$135)</x:f>
      </x:c>
      <x:c r="B240" s="48" t="str">
        <x:f>IF(Searches!$A$135&lt;&gt;"Yes","",Searches!$D$135)</x:f>
      </x:c>
      <x:c r="C240" s="48" t="str">
        <x:f>IF(Searches!$A$135&lt;&gt;"Yes","",Searches!$O$135)</x:f>
      </x:c>
      <x:c r="D240" s="48" t="str">
        <x:f>IF(Searches!$A$135&lt;&gt;"Yes","",Searches!$P$135)</x:f>
      </x:c>
      <x:c r="E240" s="48" t="str">
        <x:f>IF(Searches!$A$135&lt;&gt;"Yes","",Searches!$Q$135)</x:f>
      </x:c>
      <x:c r="F240" s="48" t="str">
        <x:f>IF(Searches!$A$135&lt;&gt;"Yes","",Searches!$R$135)</x:f>
      </x:c>
      <x:c r="G240" s="48" t="str">
        <x:f>IF(Searches!$A$135&lt;&gt;"Yes","",Searches!$E$135)</x:f>
      </x:c>
      <x:c r="H240" s="48" t="str">
        <x:f>IF(Searches!$A$135&lt;&gt;"Yes","",Searches!$N$135)</x:f>
      </x:c>
      <x:c r="I240" s="48" t="str">
        <x:f>IF(Searches!$A$135&lt;&gt;"Yes","",Searches!$B$135)</x:f>
      </x:c>
      <x:c r="J240" s="48" t="str">
        <x:f>IF(Searches!$A$135&lt;&gt;"Yes","",Searches!$K$135)</x:f>
      </x:c>
    </x:row>
    <x:row r="241">
      <x:c r="A241" s="48" t="str">
        <x:f>IF(Searches!$A$136&lt;&gt;"Yes","",Searches!$C$136)</x:f>
      </x:c>
      <x:c r="B241" s="48" t="str">
        <x:f>IF(Searches!$A$136&lt;&gt;"Yes","",Searches!$D$136)</x:f>
      </x:c>
      <x:c r="C241" s="48" t="str">
        <x:f>IF(Searches!$A$136&lt;&gt;"Yes","",Searches!$O$136)</x:f>
      </x:c>
      <x:c r="D241" s="48" t="str">
        <x:f>IF(Searches!$A$136&lt;&gt;"Yes","",Searches!$P$136)</x:f>
      </x:c>
      <x:c r="E241" s="48" t="str">
        <x:f>IF(Searches!$A$136&lt;&gt;"Yes","",Searches!$Q$136)</x:f>
      </x:c>
      <x:c r="F241" s="48" t="str">
        <x:f>IF(Searches!$A$136&lt;&gt;"Yes","",Searches!$R$136)</x:f>
      </x:c>
      <x:c r="G241" s="48" t="str">
        <x:f>IF(Searches!$A$136&lt;&gt;"Yes","",Searches!$E$136)</x:f>
      </x:c>
      <x:c r="H241" s="48" t="str">
        <x:f>IF(Searches!$A$136&lt;&gt;"Yes","",Searches!$N$136)</x:f>
      </x:c>
      <x:c r="I241" s="48" t="str">
        <x:f>IF(Searches!$A$136&lt;&gt;"Yes","",Searches!$B$136)</x:f>
      </x:c>
      <x:c r="J241" s="48" t="str">
        <x:f>IF(Searches!$A$136&lt;&gt;"Yes","",Searches!$K$136)</x:f>
      </x:c>
    </x:row>
    <x:row r="242">
      <x:c r="A242" s="48" t="str">
        <x:f>IF(Searches!$A$137&lt;&gt;"Yes","",Searches!$C$137)</x:f>
      </x:c>
      <x:c r="B242" s="48" t="str">
        <x:f>IF(Searches!$A$137&lt;&gt;"Yes","",Searches!$D$137)</x:f>
      </x:c>
      <x:c r="C242" s="48" t="str">
        <x:f>IF(Searches!$A$137&lt;&gt;"Yes","",Searches!$O$137)</x:f>
      </x:c>
      <x:c r="D242" s="48" t="str">
        <x:f>IF(Searches!$A$137&lt;&gt;"Yes","",Searches!$P$137)</x:f>
      </x:c>
      <x:c r="E242" s="48" t="str">
        <x:f>IF(Searches!$A$137&lt;&gt;"Yes","",Searches!$Q$137)</x:f>
      </x:c>
      <x:c r="F242" s="48" t="str">
        <x:f>IF(Searches!$A$137&lt;&gt;"Yes","",Searches!$R$137)</x:f>
      </x:c>
      <x:c r="G242" s="48" t="str">
        <x:f>IF(Searches!$A$137&lt;&gt;"Yes","",Searches!$E$137)</x:f>
      </x:c>
      <x:c r="H242" s="48" t="str">
        <x:f>IF(Searches!$A$137&lt;&gt;"Yes","",Searches!$N$137)</x:f>
      </x:c>
      <x:c r="I242" s="48" t="str">
        <x:f>IF(Searches!$A$137&lt;&gt;"Yes","",Searches!$B$137)</x:f>
      </x:c>
      <x:c r="J242" s="48" t="str">
        <x:f>IF(Searches!$A$137&lt;&gt;"Yes","",Searches!$K$137)</x:f>
      </x:c>
    </x:row>
    <x:row r="243">
      <x:c r="A243" s="48" t="str">
        <x:f>IF(Searches!$A$138&lt;&gt;"Yes","",Searches!$C$138)</x:f>
      </x:c>
      <x:c r="B243" s="48" t="str">
        <x:f>IF(Searches!$A$138&lt;&gt;"Yes","",Searches!$D$138)</x:f>
      </x:c>
      <x:c r="C243" s="48" t="str">
        <x:f>IF(Searches!$A$138&lt;&gt;"Yes","",Searches!$O$138)</x:f>
      </x:c>
      <x:c r="D243" s="48" t="str">
        <x:f>IF(Searches!$A$138&lt;&gt;"Yes","",Searches!$P$138)</x:f>
      </x:c>
      <x:c r="E243" s="48" t="str">
        <x:f>IF(Searches!$A$138&lt;&gt;"Yes","",Searches!$Q$138)</x:f>
      </x:c>
      <x:c r="F243" s="48" t="str">
        <x:f>IF(Searches!$A$138&lt;&gt;"Yes","",Searches!$R$138)</x:f>
      </x:c>
      <x:c r="G243" s="48" t="str">
        <x:f>IF(Searches!$A$138&lt;&gt;"Yes","",Searches!$E$138)</x:f>
      </x:c>
      <x:c r="H243" s="48" t="str">
        <x:f>IF(Searches!$A$138&lt;&gt;"Yes","",Searches!$N$138)</x:f>
      </x:c>
      <x:c r="I243" s="48" t="str">
        <x:f>IF(Searches!$A$138&lt;&gt;"Yes","",Searches!$B$138)</x:f>
      </x:c>
      <x:c r="J243" s="48" t="str">
        <x:f>IF(Searches!$A$138&lt;&gt;"Yes","",Searches!$K$138)</x:f>
      </x:c>
    </x:row>
    <x:row r="244">
      <x:c r="A244" s="48" t="str">
        <x:f>IF(Searches!$A$139&lt;&gt;"Yes","",Searches!$C$139)</x:f>
      </x:c>
      <x:c r="B244" s="48" t="str">
        <x:f>IF(Searches!$A$139&lt;&gt;"Yes","",Searches!$D$139)</x:f>
      </x:c>
      <x:c r="C244" s="48" t="str">
        <x:f>IF(Searches!$A$139&lt;&gt;"Yes","",Searches!$O$139)</x:f>
      </x:c>
      <x:c r="D244" s="48" t="str">
        <x:f>IF(Searches!$A$139&lt;&gt;"Yes","",Searches!$P$139)</x:f>
      </x:c>
      <x:c r="E244" s="48" t="str">
        <x:f>IF(Searches!$A$139&lt;&gt;"Yes","",Searches!$Q$139)</x:f>
      </x:c>
      <x:c r="F244" s="48" t="str">
        <x:f>IF(Searches!$A$139&lt;&gt;"Yes","",Searches!$R$139)</x:f>
      </x:c>
      <x:c r="G244" s="48" t="str">
        <x:f>IF(Searches!$A$139&lt;&gt;"Yes","",Searches!$E$139)</x:f>
      </x:c>
      <x:c r="H244" s="48" t="str">
        <x:f>IF(Searches!$A$139&lt;&gt;"Yes","",Searches!$N$139)</x:f>
      </x:c>
      <x:c r="I244" s="48" t="str">
        <x:f>IF(Searches!$A$139&lt;&gt;"Yes","",Searches!$B$139)</x:f>
      </x:c>
      <x:c r="J244" s="48" t="str">
        <x:f>IF(Searches!$A$139&lt;&gt;"Yes","",Searches!$K$139)</x:f>
      </x:c>
    </x:row>
    <x:row r="245">
      <x:c r="A245" s="48" t="str">
        <x:f>IF(Searches!$A$140&lt;&gt;"Yes","",Searches!$C$140)</x:f>
      </x:c>
      <x:c r="B245" s="48" t="str">
        <x:f>IF(Searches!$A$140&lt;&gt;"Yes","",Searches!$D$140)</x:f>
      </x:c>
      <x:c r="C245" s="48" t="str">
        <x:f>IF(Searches!$A$140&lt;&gt;"Yes","",Searches!$O$140)</x:f>
      </x:c>
      <x:c r="D245" s="48" t="str">
        <x:f>IF(Searches!$A$140&lt;&gt;"Yes","",Searches!$P$140)</x:f>
      </x:c>
      <x:c r="E245" s="48" t="str">
        <x:f>IF(Searches!$A$140&lt;&gt;"Yes","",Searches!$Q$140)</x:f>
      </x:c>
      <x:c r="F245" s="48" t="str">
        <x:f>IF(Searches!$A$140&lt;&gt;"Yes","",Searches!$R$140)</x:f>
      </x:c>
      <x:c r="G245" s="48" t="str">
        <x:f>IF(Searches!$A$140&lt;&gt;"Yes","",Searches!$E$140)</x:f>
      </x:c>
      <x:c r="H245" s="48" t="str">
        <x:f>IF(Searches!$A$140&lt;&gt;"Yes","",Searches!$N$140)</x:f>
      </x:c>
      <x:c r="I245" s="48" t="str">
        <x:f>IF(Searches!$A$140&lt;&gt;"Yes","",Searches!$B$140)</x:f>
      </x:c>
      <x:c r="J245" s="48" t="str">
        <x:f>IF(Searches!$A$140&lt;&gt;"Yes","",Searches!$K$140)</x:f>
      </x:c>
    </x:row>
    <x:row r="246">
      <x:c r="A246" s="48" t="str">
        <x:f>IF(Searches!$A$141&lt;&gt;"Yes","",Searches!$C$141)</x:f>
      </x:c>
      <x:c r="B246" s="48" t="str">
        <x:f>IF(Searches!$A$141&lt;&gt;"Yes","",Searches!$D$141)</x:f>
      </x:c>
      <x:c r="C246" s="48" t="str">
        <x:f>IF(Searches!$A$141&lt;&gt;"Yes","",Searches!$O$141)</x:f>
      </x:c>
      <x:c r="D246" s="48" t="str">
        <x:f>IF(Searches!$A$141&lt;&gt;"Yes","",Searches!$P$141)</x:f>
      </x:c>
      <x:c r="E246" s="48" t="str">
        <x:f>IF(Searches!$A$141&lt;&gt;"Yes","",Searches!$Q$141)</x:f>
      </x:c>
      <x:c r="F246" s="48" t="str">
        <x:f>IF(Searches!$A$141&lt;&gt;"Yes","",Searches!$R$141)</x:f>
      </x:c>
      <x:c r="G246" s="48" t="str">
        <x:f>IF(Searches!$A$141&lt;&gt;"Yes","",Searches!$E$141)</x:f>
      </x:c>
      <x:c r="H246" s="48" t="str">
        <x:f>IF(Searches!$A$141&lt;&gt;"Yes","",Searches!$N$141)</x:f>
      </x:c>
      <x:c r="I246" s="48" t="str">
        <x:f>IF(Searches!$A$141&lt;&gt;"Yes","",Searches!$B$141)</x:f>
      </x:c>
      <x:c r="J246" s="48" t="str">
        <x:f>IF(Searches!$A$141&lt;&gt;"Yes","",Searches!$K$141)</x:f>
      </x:c>
    </x:row>
    <x:row r="247">
      <x:c r="A247" s="48" t="str">
        <x:f>IF(Searches!$A$142&lt;&gt;"Yes","",Searches!$C$142)</x:f>
      </x:c>
      <x:c r="B247" s="48" t="str">
        <x:f>IF(Searches!$A$142&lt;&gt;"Yes","",Searches!$D$142)</x:f>
      </x:c>
      <x:c r="C247" s="48" t="str">
        <x:f>IF(Searches!$A$142&lt;&gt;"Yes","",Searches!$O$142)</x:f>
      </x:c>
      <x:c r="D247" s="48" t="str">
        <x:f>IF(Searches!$A$142&lt;&gt;"Yes","",Searches!$P$142)</x:f>
      </x:c>
      <x:c r="E247" s="48" t="str">
        <x:f>IF(Searches!$A$142&lt;&gt;"Yes","",Searches!$Q$142)</x:f>
      </x:c>
      <x:c r="F247" s="48" t="str">
        <x:f>IF(Searches!$A$142&lt;&gt;"Yes","",Searches!$R$142)</x:f>
      </x:c>
      <x:c r="G247" s="48" t="str">
        <x:f>IF(Searches!$A$142&lt;&gt;"Yes","",Searches!$E$142)</x:f>
      </x:c>
      <x:c r="H247" s="48" t="str">
        <x:f>IF(Searches!$A$142&lt;&gt;"Yes","",Searches!$N$142)</x:f>
      </x:c>
      <x:c r="I247" s="48" t="str">
        <x:f>IF(Searches!$A$142&lt;&gt;"Yes","",Searches!$B$142)</x:f>
      </x:c>
      <x:c r="J247" s="48" t="str">
        <x:f>IF(Searches!$A$142&lt;&gt;"Yes","",Searches!$K$142)</x:f>
      </x:c>
    </x:row>
    <x:row r="248">
      <x:c r="A248" s="48" t="str">
        <x:f>IF(Searches!$A$143&lt;&gt;"Yes","",Searches!$C$143)</x:f>
      </x:c>
      <x:c r="B248" s="48" t="str">
        <x:f>IF(Searches!$A$143&lt;&gt;"Yes","",Searches!$D$143)</x:f>
      </x:c>
      <x:c r="C248" s="48" t="str">
        <x:f>IF(Searches!$A$143&lt;&gt;"Yes","",Searches!$O$143)</x:f>
      </x:c>
      <x:c r="D248" s="48" t="str">
        <x:f>IF(Searches!$A$143&lt;&gt;"Yes","",Searches!$P$143)</x:f>
      </x:c>
      <x:c r="E248" s="48" t="str">
        <x:f>IF(Searches!$A$143&lt;&gt;"Yes","",Searches!$Q$143)</x:f>
      </x:c>
      <x:c r="F248" s="48" t="str">
        <x:f>IF(Searches!$A$143&lt;&gt;"Yes","",Searches!$R$143)</x:f>
      </x:c>
      <x:c r="G248" s="48" t="str">
        <x:f>IF(Searches!$A$143&lt;&gt;"Yes","",Searches!$E$143)</x:f>
      </x:c>
      <x:c r="H248" s="48" t="str">
        <x:f>IF(Searches!$A$143&lt;&gt;"Yes","",Searches!$N$143)</x:f>
      </x:c>
      <x:c r="I248" s="48" t="str">
        <x:f>IF(Searches!$A$143&lt;&gt;"Yes","",Searches!$B$143)</x:f>
      </x:c>
      <x:c r="J248" s="48" t="str">
        <x:f>IF(Searches!$A$143&lt;&gt;"Yes","",Searches!$K$143)</x:f>
      </x:c>
    </x:row>
    <x:row r="249">
      <x:c r="A249" s="48" t="str">
        <x:f>IF(Searches!$A$144&lt;&gt;"Yes","",Searches!$C$144)</x:f>
      </x:c>
      <x:c r="B249" s="48" t="str">
        <x:f>IF(Searches!$A$144&lt;&gt;"Yes","",Searches!$D$144)</x:f>
      </x:c>
      <x:c r="C249" s="48" t="str">
        <x:f>IF(Searches!$A$144&lt;&gt;"Yes","",Searches!$O$144)</x:f>
      </x:c>
      <x:c r="D249" s="48" t="str">
        <x:f>IF(Searches!$A$144&lt;&gt;"Yes","",Searches!$P$144)</x:f>
      </x:c>
      <x:c r="E249" s="48" t="str">
        <x:f>IF(Searches!$A$144&lt;&gt;"Yes","",Searches!$Q$144)</x:f>
      </x:c>
      <x:c r="F249" s="48" t="str">
        <x:f>IF(Searches!$A$144&lt;&gt;"Yes","",Searches!$R$144)</x:f>
      </x:c>
      <x:c r="G249" s="48" t="str">
        <x:f>IF(Searches!$A$144&lt;&gt;"Yes","",Searches!$E$144)</x:f>
      </x:c>
      <x:c r="H249" s="48" t="str">
        <x:f>IF(Searches!$A$144&lt;&gt;"Yes","",Searches!$N$144)</x:f>
      </x:c>
      <x:c r="I249" s="48" t="str">
        <x:f>IF(Searches!$A$144&lt;&gt;"Yes","",Searches!$B$144)</x:f>
      </x:c>
      <x:c r="J249" s="48" t="str">
        <x:f>IF(Searches!$A$144&lt;&gt;"Yes","",Searches!$K$144)</x:f>
      </x:c>
    </x:row>
    <x:row r="250">
      <x:c r="A250" s="48" t="str">
        <x:f>IF(Searches!$A$145&lt;&gt;"Yes","",Searches!$C$145)</x:f>
      </x:c>
      <x:c r="B250" s="48" t="str">
        <x:f>IF(Searches!$A$145&lt;&gt;"Yes","",Searches!$D$145)</x:f>
      </x:c>
      <x:c r="C250" s="48" t="str">
        <x:f>IF(Searches!$A$145&lt;&gt;"Yes","",Searches!$O$145)</x:f>
      </x:c>
      <x:c r="D250" s="48" t="str">
        <x:f>IF(Searches!$A$145&lt;&gt;"Yes","",Searches!$P$145)</x:f>
      </x:c>
      <x:c r="E250" s="48" t="str">
        <x:f>IF(Searches!$A$145&lt;&gt;"Yes","",Searches!$Q$145)</x:f>
      </x:c>
      <x:c r="F250" s="48" t="str">
        <x:f>IF(Searches!$A$145&lt;&gt;"Yes","",Searches!$R$145)</x:f>
      </x:c>
      <x:c r="G250" s="48" t="str">
        <x:f>IF(Searches!$A$145&lt;&gt;"Yes","",Searches!$E$145)</x:f>
      </x:c>
      <x:c r="H250" s="48" t="str">
        <x:f>IF(Searches!$A$145&lt;&gt;"Yes","",Searches!$N$145)</x:f>
      </x:c>
      <x:c r="I250" s="48" t="str">
        <x:f>IF(Searches!$A$145&lt;&gt;"Yes","",Searches!$B$145)</x:f>
      </x:c>
      <x:c r="J250" s="48" t="str">
        <x:f>IF(Searches!$A$145&lt;&gt;"Yes","",Searches!$K$145)</x:f>
      </x:c>
    </x:row>
    <x:row r="251">
      <x:c r="A251" s="48" t="str">
        <x:f>IF(Searches!$A$146&lt;&gt;"Yes","",Searches!$C$146)</x:f>
      </x:c>
      <x:c r="B251" s="48" t="str">
        <x:f>IF(Searches!$A$146&lt;&gt;"Yes","",Searches!$D$146)</x:f>
      </x:c>
      <x:c r="C251" s="48" t="str">
        <x:f>IF(Searches!$A$146&lt;&gt;"Yes","",Searches!$O$146)</x:f>
      </x:c>
      <x:c r="D251" s="48" t="str">
        <x:f>IF(Searches!$A$146&lt;&gt;"Yes","",Searches!$P$146)</x:f>
      </x:c>
      <x:c r="E251" s="48" t="str">
        <x:f>IF(Searches!$A$146&lt;&gt;"Yes","",Searches!$Q$146)</x:f>
      </x:c>
      <x:c r="F251" s="48" t="str">
        <x:f>IF(Searches!$A$146&lt;&gt;"Yes","",Searches!$R$146)</x:f>
      </x:c>
      <x:c r="G251" s="48" t="str">
        <x:f>IF(Searches!$A$146&lt;&gt;"Yes","",Searches!$E$146)</x:f>
      </x:c>
      <x:c r="H251" s="48" t="str">
        <x:f>IF(Searches!$A$146&lt;&gt;"Yes","",Searches!$N$146)</x:f>
      </x:c>
      <x:c r="I251" s="48" t="str">
        <x:f>IF(Searches!$A$146&lt;&gt;"Yes","",Searches!$B$146)</x:f>
      </x:c>
      <x:c r="J251" s="48" t="str">
        <x:f>IF(Searches!$A$146&lt;&gt;"Yes","",Searches!$K$146)</x:f>
      </x:c>
    </x:row>
    <x:row r="252">
      <x:c r="A252" s="48" t="str">
        <x:f>IF(Searches!$A$147&lt;&gt;"Yes","",Searches!$C$147)</x:f>
      </x:c>
      <x:c r="B252" s="48" t="str">
        <x:f>IF(Searches!$A$147&lt;&gt;"Yes","",Searches!$D$147)</x:f>
      </x:c>
      <x:c r="C252" s="48" t="str">
        <x:f>IF(Searches!$A$147&lt;&gt;"Yes","",Searches!$O$147)</x:f>
      </x:c>
      <x:c r="D252" s="48" t="str">
        <x:f>IF(Searches!$A$147&lt;&gt;"Yes","",Searches!$P$147)</x:f>
      </x:c>
      <x:c r="E252" s="48" t="str">
        <x:f>IF(Searches!$A$147&lt;&gt;"Yes","",Searches!$Q$147)</x:f>
      </x:c>
      <x:c r="F252" s="48" t="str">
        <x:f>IF(Searches!$A$147&lt;&gt;"Yes","",Searches!$R$147)</x:f>
      </x:c>
      <x:c r="G252" s="48" t="str">
        <x:f>IF(Searches!$A$147&lt;&gt;"Yes","",Searches!$E$147)</x:f>
      </x:c>
      <x:c r="H252" s="48" t="str">
        <x:f>IF(Searches!$A$147&lt;&gt;"Yes","",Searches!$N$147)</x:f>
      </x:c>
      <x:c r="I252" s="48" t="str">
        <x:f>IF(Searches!$A$147&lt;&gt;"Yes","",Searches!$B$147)</x:f>
      </x:c>
      <x:c r="J252" s="48" t="str">
        <x:f>IF(Searches!$A$147&lt;&gt;"Yes","",Searches!$K$147)</x:f>
      </x:c>
    </x:row>
    <x:row r="253">
      <x:c r="A253" s="48" t="str">
        <x:f>IF(Searches!$A$148&lt;&gt;"Yes","",Searches!$C$148)</x:f>
      </x:c>
      <x:c r="B253" s="48" t="str">
        <x:f>IF(Searches!$A$148&lt;&gt;"Yes","",Searches!$D$148)</x:f>
      </x:c>
      <x:c r="C253" s="48" t="str">
        <x:f>IF(Searches!$A$148&lt;&gt;"Yes","",Searches!$O$148)</x:f>
      </x:c>
      <x:c r="D253" s="48" t="str">
        <x:f>IF(Searches!$A$148&lt;&gt;"Yes","",Searches!$P$148)</x:f>
      </x:c>
      <x:c r="E253" s="48" t="str">
        <x:f>IF(Searches!$A$148&lt;&gt;"Yes","",Searches!$Q$148)</x:f>
      </x:c>
      <x:c r="F253" s="48" t="str">
        <x:f>IF(Searches!$A$148&lt;&gt;"Yes","",Searches!$R$148)</x:f>
      </x:c>
      <x:c r="G253" s="48" t="str">
        <x:f>IF(Searches!$A$148&lt;&gt;"Yes","",Searches!$E$148)</x:f>
      </x:c>
      <x:c r="H253" s="48" t="str">
        <x:f>IF(Searches!$A$148&lt;&gt;"Yes","",Searches!$N$148)</x:f>
      </x:c>
      <x:c r="I253" s="48" t="str">
        <x:f>IF(Searches!$A$148&lt;&gt;"Yes","",Searches!$B$148)</x:f>
      </x:c>
      <x:c r="J253" s="48" t="str">
        <x:f>IF(Searches!$A$148&lt;&gt;"Yes","",Searches!$K$148)</x:f>
      </x:c>
    </x:row>
    <x:row r="254">
      <x:c r="A254" s="48" t="str">
        <x:f>IF(Searches!$A$149&lt;&gt;"Yes","",Searches!$C$149)</x:f>
      </x:c>
      <x:c r="B254" s="48" t="str">
        <x:f>IF(Searches!$A$149&lt;&gt;"Yes","",Searches!$D$149)</x:f>
      </x:c>
      <x:c r="C254" s="48" t="str">
        <x:f>IF(Searches!$A$149&lt;&gt;"Yes","",Searches!$O$149)</x:f>
      </x:c>
      <x:c r="D254" s="48" t="str">
        <x:f>IF(Searches!$A$149&lt;&gt;"Yes","",Searches!$P$149)</x:f>
      </x:c>
      <x:c r="E254" s="48" t="str">
        <x:f>IF(Searches!$A$149&lt;&gt;"Yes","",Searches!$Q$149)</x:f>
      </x:c>
      <x:c r="F254" s="48" t="str">
        <x:f>IF(Searches!$A$149&lt;&gt;"Yes","",Searches!$R$149)</x:f>
      </x:c>
      <x:c r="G254" s="48" t="str">
        <x:f>IF(Searches!$A$149&lt;&gt;"Yes","",Searches!$E$149)</x:f>
      </x:c>
      <x:c r="H254" s="48" t="str">
        <x:f>IF(Searches!$A$149&lt;&gt;"Yes","",Searches!$N$149)</x:f>
      </x:c>
      <x:c r="I254" s="48" t="str">
        <x:f>IF(Searches!$A$149&lt;&gt;"Yes","",Searches!$B$149)</x:f>
      </x:c>
      <x:c r="J254" s="48" t="str">
        <x:f>IF(Searches!$A$149&lt;&gt;"Yes","",Searches!$K$149)</x:f>
      </x:c>
    </x:row>
    <x:row r="255">
      <x:c r="A255" s="48" t="str">
        <x:f>IF(Searches!$A$150&lt;&gt;"Yes","",Searches!$C$150)</x:f>
      </x:c>
      <x:c r="B255" s="48" t="str">
        <x:f>IF(Searches!$A$150&lt;&gt;"Yes","",Searches!$D$150)</x:f>
      </x:c>
      <x:c r="C255" s="48" t="str">
        <x:f>IF(Searches!$A$150&lt;&gt;"Yes","",Searches!$O$150)</x:f>
      </x:c>
      <x:c r="D255" s="48" t="str">
        <x:f>IF(Searches!$A$150&lt;&gt;"Yes","",Searches!$P$150)</x:f>
      </x:c>
      <x:c r="E255" s="48" t="str">
        <x:f>IF(Searches!$A$150&lt;&gt;"Yes","",Searches!$Q$150)</x:f>
      </x:c>
      <x:c r="F255" s="48" t="str">
        <x:f>IF(Searches!$A$150&lt;&gt;"Yes","",Searches!$R$150)</x:f>
      </x:c>
      <x:c r="G255" s="48" t="str">
        <x:f>IF(Searches!$A$150&lt;&gt;"Yes","",Searches!$E$150)</x:f>
      </x:c>
      <x:c r="H255" s="48" t="str">
        <x:f>IF(Searches!$A$150&lt;&gt;"Yes","",Searches!$N$150)</x:f>
      </x:c>
      <x:c r="I255" s="48" t="str">
        <x:f>IF(Searches!$A$150&lt;&gt;"Yes","",Searches!$B$150)</x:f>
      </x:c>
      <x:c r="J255" s="48" t="str">
        <x:f>IF(Searches!$A$150&lt;&gt;"Yes","",Searches!$K$150)</x:f>
      </x:c>
    </x:row>
    <x:row r="256">
      <x:c r="A256" s="48" t="str">
        <x:f>IF(Searches!$A$151&lt;&gt;"Yes","",Searches!$C$151)</x:f>
      </x:c>
      <x:c r="B256" s="48" t="str">
        <x:f>IF(Searches!$A$151&lt;&gt;"Yes","",Searches!$D$151)</x:f>
      </x:c>
      <x:c r="C256" s="48" t="str">
        <x:f>IF(Searches!$A$151&lt;&gt;"Yes","",Searches!$O$151)</x:f>
      </x:c>
      <x:c r="D256" s="48" t="str">
        <x:f>IF(Searches!$A$151&lt;&gt;"Yes","",Searches!$P$151)</x:f>
      </x:c>
      <x:c r="E256" s="48" t="str">
        <x:f>IF(Searches!$A$151&lt;&gt;"Yes","",Searches!$Q$151)</x:f>
      </x:c>
      <x:c r="F256" s="48" t="str">
        <x:f>IF(Searches!$A$151&lt;&gt;"Yes","",Searches!$R$151)</x:f>
      </x:c>
      <x:c r="G256" s="48" t="str">
        <x:f>IF(Searches!$A$151&lt;&gt;"Yes","",Searches!$E$151)</x:f>
      </x:c>
      <x:c r="H256" s="48" t="str">
        <x:f>IF(Searches!$A$151&lt;&gt;"Yes","",Searches!$N$151)</x:f>
      </x:c>
      <x:c r="I256" s="48" t="str">
        <x:f>IF(Searches!$A$151&lt;&gt;"Yes","",Searches!$B$151)</x:f>
      </x:c>
      <x:c r="J256" s="48" t="str">
        <x:f>IF(Searches!$A$151&lt;&gt;"Yes","",Searches!$K$151)</x:f>
      </x:c>
    </x:row>
    <x:row r="257">
      <x:c r="A257" s="48" t="str">
        <x:f>IF(Searches!$A$152&lt;&gt;"Yes","",Searches!$C$152)</x:f>
      </x:c>
      <x:c r="B257" s="48" t="str">
        <x:f>IF(Searches!$A$152&lt;&gt;"Yes","",Searches!$D$152)</x:f>
      </x:c>
      <x:c r="C257" s="48" t="str">
        <x:f>IF(Searches!$A$152&lt;&gt;"Yes","",Searches!$O$152)</x:f>
      </x:c>
      <x:c r="D257" s="48" t="str">
        <x:f>IF(Searches!$A$152&lt;&gt;"Yes","",Searches!$P$152)</x:f>
      </x:c>
      <x:c r="E257" s="48" t="str">
        <x:f>IF(Searches!$A$152&lt;&gt;"Yes","",Searches!$Q$152)</x:f>
      </x:c>
      <x:c r="F257" s="48" t="str">
        <x:f>IF(Searches!$A$152&lt;&gt;"Yes","",Searches!$R$152)</x:f>
      </x:c>
      <x:c r="G257" s="48" t="str">
        <x:f>IF(Searches!$A$152&lt;&gt;"Yes","",Searches!$E$152)</x:f>
      </x:c>
      <x:c r="H257" s="48" t="str">
        <x:f>IF(Searches!$A$152&lt;&gt;"Yes","",Searches!$N$152)</x:f>
      </x:c>
      <x:c r="I257" s="48" t="str">
        <x:f>IF(Searches!$A$152&lt;&gt;"Yes","",Searches!$B$152)</x:f>
      </x:c>
      <x:c r="J257" s="48" t="str">
        <x:f>IF(Searches!$A$152&lt;&gt;"Yes","",Searches!$K$152)</x:f>
      </x:c>
    </x:row>
    <x:row r="258">
      <x:c r="A258" s="48" t="str">
        <x:f>IF(Searches!$A$153&lt;&gt;"Yes","",Searches!$C$153)</x:f>
      </x:c>
      <x:c r="B258" s="48" t="str">
        <x:f>IF(Searches!$A$153&lt;&gt;"Yes","",Searches!$D$153)</x:f>
      </x:c>
      <x:c r="C258" s="48" t="str">
        <x:f>IF(Searches!$A$153&lt;&gt;"Yes","",Searches!$O$153)</x:f>
      </x:c>
      <x:c r="D258" s="48" t="str">
        <x:f>IF(Searches!$A$153&lt;&gt;"Yes","",Searches!$P$153)</x:f>
      </x:c>
      <x:c r="E258" s="48" t="str">
        <x:f>IF(Searches!$A$153&lt;&gt;"Yes","",Searches!$Q$153)</x:f>
      </x:c>
      <x:c r="F258" s="48" t="str">
        <x:f>IF(Searches!$A$153&lt;&gt;"Yes","",Searches!$R$153)</x:f>
      </x:c>
      <x:c r="G258" s="48" t="str">
        <x:f>IF(Searches!$A$153&lt;&gt;"Yes","",Searches!$E$153)</x:f>
      </x:c>
      <x:c r="H258" s="48" t="str">
        <x:f>IF(Searches!$A$153&lt;&gt;"Yes","",Searches!$N$153)</x:f>
      </x:c>
      <x:c r="I258" s="48" t="str">
        <x:f>IF(Searches!$A$153&lt;&gt;"Yes","",Searches!$B$153)</x:f>
      </x:c>
      <x:c r="J258" s="48" t="str">
        <x:f>IF(Searches!$A$153&lt;&gt;"Yes","",Searches!$K$153)</x:f>
      </x:c>
    </x:row>
    <x:row r="259">
      <x:c r="A259" s="48" t="str">
        <x:f>IF(Searches!$A$154&lt;&gt;"Yes","",Searches!$C$154)</x:f>
      </x:c>
      <x:c r="B259" s="48" t="str">
        <x:f>IF(Searches!$A$154&lt;&gt;"Yes","",Searches!$D$154)</x:f>
      </x:c>
      <x:c r="C259" s="48" t="str">
        <x:f>IF(Searches!$A$154&lt;&gt;"Yes","",Searches!$O$154)</x:f>
      </x:c>
      <x:c r="D259" s="48" t="str">
        <x:f>IF(Searches!$A$154&lt;&gt;"Yes","",Searches!$P$154)</x:f>
      </x:c>
      <x:c r="E259" s="48" t="str">
        <x:f>IF(Searches!$A$154&lt;&gt;"Yes","",Searches!$Q$154)</x:f>
      </x:c>
      <x:c r="F259" s="48" t="str">
        <x:f>IF(Searches!$A$154&lt;&gt;"Yes","",Searches!$R$154)</x:f>
      </x:c>
      <x:c r="G259" s="48" t="str">
        <x:f>IF(Searches!$A$154&lt;&gt;"Yes","",Searches!$E$154)</x:f>
      </x:c>
      <x:c r="H259" s="48" t="str">
        <x:f>IF(Searches!$A$154&lt;&gt;"Yes","",Searches!$N$154)</x:f>
      </x:c>
      <x:c r="I259" s="48" t="str">
        <x:f>IF(Searches!$A$154&lt;&gt;"Yes","",Searches!$B$154)</x:f>
      </x:c>
      <x:c r="J259" s="48" t="str">
        <x:f>IF(Searches!$A$154&lt;&gt;"Yes","",Searches!$K$154)</x:f>
      </x:c>
    </x:row>
    <x:row r="260">
      <x:c r="A260" s="48" t="str">
        <x:f>IF(Searches!$A$155&lt;&gt;"Yes","",Searches!$C$155)</x:f>
      </x:c>
      <x:c r="B260" s="48" t="str">
        <x:f>IF(Searches!$A$155&lt;&gt;"Yes","",Searches!$D$155)</x:f>
      </x:c>
      <x:c r="C260" s="48" t="str">
        <x:f>IF(Searches!$A$155&lt;&gt;"Yes","",Searches!$O$155)</x:f>
      </x:c>
      <x:c r="D260" s="48" t="str">
        <x:f>IF(Searches!$A$155&lt;&gt;"Yes","",Searches!$P$155)</x:f>
      </x:c>
      <x:c r="E260" s="48" t="str">
        <x:f>IF(Searches!$A$155&lt;&gt;"Yes","",Searches!$Q$155)</x:f>
      </x:c>
      <x:c r="F260" s="48" t="str">
        <x:f>IF(Searches!$A$155&lt;&gt;"Yes","",Searches!$R$155)</x:f>
      </x:c>
      <x:c r="G260" s="48" t="str">
        <x:f>IF(Searches!$A$155&lt;&gt;"Yes","",Searches!$E$155)</x:f>
      </x:c>
      <x:c r="H260" s="48" t="str">
        <x:f>IF(Searches!$A$155&lt;&gt;"Yes","",Searches!$N$155)</x:f>
      </x:c>
      <x:c r="I260" s="48" t="str">
        <x:f>IF(Searches!$A$155&lt;&gt;"Yes","",Searches!$B$155)</x:f>
      </x:c>
      <x:c r="J260" s="48" t="str">
        <x:f>IF(Searches!$A$155&lt;&gt;"Yes","",Searches!$K$155)</x:f>
      </x:c>
    </x:row>
    <x:row r="261">
      <x:c r="A261" s="48" t="str">
        <x:f>IF(Searches!$A$156&lt;&gt;"Yes","",Searches!$C$156)</x:f>
      </x:c>
      <x:c r="B261" s="48" t="str">
        <x:f>IF(Searches!$A$156&lt;&gt;"Yes","",Searches!$D$156)</x:f>
      </x:c>
      <x:c r="C261" s="48" t="str">
        <x:f>IF(Searches!$A$156&lt;&gt;"Yes","",Searches!$O$156)</x:f>
      </x:c>
      <x:c r="D261" s="48" t="str">
        <x:f>IF(Searches!$A$156&lt;&gt;"Yes","",Searches!$P$156)</x:f>
      </x:c>
      <x:c r="E261" s="48" t="str">
        <x:f>IF(Searches!$A$156&lt;&gt;"Yes","",Searches!$Q$156)</x:f>
      </x:c>
      <x:c r="F261" s="48" t="str">
        <x:f>IF(Searches!$A$156&lt;&gt;"Yes","",Searches!$R$156)</x:f>
      </x:c>
      <x:c r="G261" s="48" t="str">
        <x:f>IF(Searches!$A$156&lt;&gt;"Yes","",Searches!$E$156)</x:f>
      </x:c>
      <x:c r="H261" s="48" t="str">
        <x:f>IF(Searches!$A$156&lt;&gt;"Yes","",Searches!$N$156)</x:f>
      </x:c>
      <x:c r="I261" s="48" t="str">
        <x:f>IF(Searches!$A$156&lt;&gt;"Yes","",Searches!$B$156)</x:f>
      </x:c>
      <x:c r="J261" s="48" t="str">
        <x:f>IF(Searches!$A$156&lt;&gt;"Yes","",Searches!$K$156)</x:f>
      </x:c>
    </x:row>
    <x:row r="262">
      <x:c r="A262" s="48" t="str">
        <x:f>IF(Searches!$A$157&lt;&gt;"Yes","",Searches!$C$157)</x:f>
      </x:c>
      <x:c r="B262" s="48" t="str">
        <x:f>IF(Searches!$A$157&lt;&gt;"Yes","",Searches!$D$157)</x:f>
      </x:c>
      <x:c r="C262" s="48" t="str">
        <x:f>IF(Searches!$A$157&lt;&gt;"Yes","",Searches!$O$157)</x:f>
      </x:c>
      <x:c r="D262" s="48" t="str">
        <x:f>IF(Searches!$A$157&lt;&gt;"Yes","",Searches!$P$157)</x:f>
      </x:c>
      <x:c r="E262" s="48" t="str">
        <x:f>IF(Searches!$A$157&lt;&gt;"Yes","",Searches!$Q$157)</x:f>
      </x:c>
      <x:c r="F262" s="48" t="str">
        <x:f>IF(Searches!$A$157&lt;&gt;"Yes","",Searches!$R$157)</x:f>
      </x:c>
      <x:c r="G262" s="48" t="str">
        <x:f>IF(Searches!$A$157&lt;&gt;"Yes","",Searches!$E$157)</x:f>
      </x:c>
      <x:c r="H262" s="48" t="str">
        <x:f>IF(Searches!$A$157&lt;&gt;"Yes","",Searches!$N$157)</x:f>
      </x:c>
      <x:c r="I262" s="48" t="str">
        <x:f>IF(Searches!$A$157&lt;&gt;"Yes","",Searches!$B$157)</x:f>
      </x:c>
      <x:c r="J262" s="48" t="str">
        <x:f>IF(Searches!$A$157&lt;&gt;"Yes","",Searches!$K$157)</x:f>
      </x:c>
    </x:row>
    <x:row r="263">
      <x:c r="A263" s="48" t="str">
        <x:f>IF(Searches!$A$158&lt;&gt;"Yes","",Searches!$C$158)</x:f>
      </x:c>
      <x:c r="B263" s="48" t="str">
        <x:f>IF(Searches!$A$158&lt;&gt;"Yes","",Searches!$D$158)</x:f>
      </x:c>
      <x:c r="C263" s="48" t="str">
        <x:f>IF(Searches!$A$158&lt;&gt;"Yes","",Searches!$O$158)</x:f>
      </x:c>
      <x:c r="D263" s="48" t="str">
        <x:f>IF(Searches!$A$158&lt;&gt;"Yes","",Searches!$P$158)</x:f>
      </x:c>
      <x:c r="E263" s="48" t="str">
        <x:f>IF(Searches!$A$158&lt;&gt;"Yes","",Searches!$Q$158)</x:f>
      </x:c>
      <x:c r="F263" s="48" t="str">
        <x:f>IF(Searches!$A$158&lt;&gt;"Yes","",Searches!$R$158)</x:f>
      </x:c>
      <x:c r="G263" s="48" t="str">
        <x:f>IF(Searches!$A$158&lt;&gt;"Yes","",Searches!$E$158)</x:f>
      </x:c>
      <x:c r="H263" s="48" t="str">
        <x:f>IF(Searches!$A$158&lt;&gt;"Yes","",Searches!$N$158)</x:f>
      </x:c>
      <x:c r="I263" s="48" t="str">
        <x:f>IF(Searches!$A$158&lt;&gt;"Yes","",Searches!$B$158)</x:f>
      </x:c>
      <x:c r="J263" s="48" t="str">
        <x:f>IF(Searches!$A$158&lt;&gt;"Yes","",Searches!$K$158)</x:f>
      </x:c>
    </x:row>
    <x:row r="264">
      <x:c r="A264" s="48" t="str">
        <x:f>IF(Searches!$A$159&lt;&gt;"Yes","",Searches!$C$159)</x:f>
      </x:c>
      <x:c r="B264" s="48" t="str">
        <x:f>IF(Searches!$A$159&lt;&gt;"Yes","",Searches!$D$159)</x:f>
      </x:c>
      <x:c r="C264" s="48" t="str">
        <x:f>IF(Searches!$A$159&lt;&gt;"Yes","",Searches!$O$159)</x:f>
      </x:c>
      <x:c r="D264" s="48" t="str">
        <x:f>IF(Searches!$A$159&lt;&gt;"Yes","",Searches!$P$159)</x:f>
      </x:c>
      <x:c r="E264" s="48" t="str">
        <x:f>IF(Searches!$A$159&lt;&gt;"Yes","",Searches!$Q$159)</x:f>
      </x:c>
      <x:c r="F264" s="48" t="str">
        <x:f>IF(Searches!$A$159&lt;&gt;"Yes","",Searches!$R$159)</x:f>
      </x:c>
      <x:c r="G264" s="48" t="str">
        <x:f>IF(Searches!$A$159&lt;&gt;"Yes","",Searches!$E$159)</x:f>
      </x:c>
      <x:c r="H264" s="48" t="str">
        <x:f>IF(Searches!$A$159&lt;&gt;"Yes","",Searches!$N$159)</x:f>
      </x:c>
      <x:c r="I264" s="48" t="str">
        <x:f>IF(Searches!$A$159&lt;&gt;"Yes","",Searches!$B$159)</x:f>
      </x:c>
      <x:c r="J264" s="48" t="str">
        <x:f>IF(Searches!$A$159&lt;&gt;"Yes","",Searches!$K$159)</x:f>
      </x:c>
    </x:row>
    <x:row r="265">
      <x:c r="A265" s="48" t="str">
        <x:f>IF(Searches!$A$160&lt;&gt;"Yes","",Searches!$C$160)</x:f>
      </x:c>
      <x:c r="B265" s="48" t="str">
        <x:f>IF(Searches!$A$160&lt;&gt;"Yes","",Searches!$D$160)</x:f>
      </x:c>
      <x:c r="C265" s="48" t="str">
        <x:f>IF(Searches!$A$160&lt;&gt;"Yes","",Searches!$O$160)</x:f>
      </x:c>
      <x:c r="D265" s="48" t="str">
        <x:f>IF(Searches!$A$160&lt;&gt;"Yes","",Searches!$P$160)</x:f>
      </x:c>
      <x:c r="E265" s="48" t="str">
        <x:f>IF(Searches!$A$160&lt;&gt;"Yes","",Searches!$Q$160)</x:f>
      </x:c>
      <x:c r="F265" s="48" t="str">
        <x:f>IF(Searches!$A$160&lt;&gt;"Yes","",Searches!$R$160)</x:f>
      </x:c>
      <x:c r="G265" s="48" t="str">
        <x:f>IF(Searches!$A$160&lt;&gt;"Yes","",Searches!$E$160)</x:f>
      </x:c>
      <x:c r="H265" s="48" t="str">
        <x:f>IF(Searches!$A$160&lt;&gt;"Yes","",Searches!$N$160)</x:f>
      </x:c>
      <x:c r="I265" s="48" t="str">
        <x:f>IF(Searches!$A$160&lt;&gt;"Yes","",Searches!$B$160)</x:f>
      </x:c>
      <x:c r="J265" s="48" t="str">
        <x:f>IF(Searches!$A$160&lt;&gt;"Yes","",Searches!$K$160)</x:f>
      </x:c>
    </x:row>
    <x:row r="266">
      <x:c r="A266" s="48" t="str">
        <x:f>IF(Searches!$A$161&lt;&gt;"Yes","",Searches!$C$161)</x:f>
      </x:c>
      <x:c r="B266" s="48" t="str">
        <x:f>IF(Searches!$A$161&lt;&gt;"Yes","",Searches!$D$161)</x:f>
      </x:c>
      <x:c r="C266" s="48" t="str">
        <x:f>IF(Searches!$A$161&lt;&gt;"Yes","",Searches!$O$161)</x:f>
      </x:c>
      <x:c r="D266" s="48" t="str">
        <x:f>IF(Searches!$A$161&lt;&gt;"Yes","",Searches!$P$161)</x:f>
      </x:c>
      <x:c r="E266" s="48" t="str">
        <x:f>IF(Searches!$A$161&lt;&gt;"Yes","",Searches!$Q$161)</x:f>
      </x:c>
      <x:c r="F266" s="48" t="str">
        <x:f>IF(Searches!$A$161&lt;&gt;"Yes","",Searches!$R$161)</x:f>
      </x:c>
      <x:c r="G266" s="48" t="str">
        <x:f>IF(Searches!$A$161&lt;&gt;"Yes","",Searches!$E$161)</x:f>
      </x:c>
      <x:c r="H266" s="48" t="str">
        <x:f>IF(Searches!$A$161&lt;&gt;"Yes","",Searches!$N$161)</x:f>
      </x:c>
      <x:c r="I266" s="48" t="str">
        <x:f>IF(Searches!$A$161&lt;&gt;"Yes","",Searches!$B$161)</x:f>
      </x:c>
      <x:c r="J266" s="48" t="str">
        <x:f>IF(Searches!$A$161&lt;&gt;"Yes","",Searches!$K$161)</x:f>
      </x:c>
    </x:row>
    <x:row r="267">
      <x:c r="A267" s="48" t="str">
        <x:f>IF(Searches!$A$162&lt;&gt;"Yes","",Searches!$C$162)</x:f>
      </x:c>
      <x:c r="B267" s="48" t="str">
        <x:f>IF(Searches!$A$162&lt;&gt;"Yes","",Searches!$D$162)</x:f>
      </x:c>
      <x:c r="C267" s="48" t="str">
        <x:f>IF(Searches!$A$162&lt;&gt;"Yes","",Searches!$O$162)</x:f>
      </x:c>
      <x:c r="D267" s="48" t="str">
        <x:f>IF(Searches!$A$162&lt;&gt;"Yes","",Searches!$P$162)</x:f>
      </x:c>
      <x:c r="E267" s="48" t="str">
        <x:f>IF(Searches!$A$162&lt;&gt;"Yes","",Searches!$Q$162)</x:f>
      </x:c>
      <x:c r="F267" s="48" t="str">
        <x:f>IF(Searches!$A$162&lt;&gt;"Yes","",Searches!$R$162)</x:f>
      </x:c>
      <x:c r="G267" s="48" t="str">
        <x:f>IF(Searches!$A$162&lt;&gt;"Yes","",Searches!$E$162)</x:f>
      </x:c>
      <x:c r="H267" s="48" t="str">
        <x:f>IF(Searches!$A$162&lt;&gt;"Yes","",Searches!$N$162)</x:f>
      </x:c>
      <x:c r="I267" s="48" t="str">
        <x:f>IF(Searches!$A$162&lt;&gt;"Yes","",Searches!$B$162)</x:f>
      </x:c>
      <x:c r="J267" s="48" t="str">
        <x:f>IF(Searches!$A$162&lt;&gt;"Yes","",Searches!$K$162)</x:f>
      </x:c>
    </x:row>
    <x:row r="268">
      <x:c r="A268" s="48" t="str">
        <x:f>IF(Searches!$A$163&lt;&gt;"Yes","",Searches!$C$163)</x:f>
      </x:c>
      <x:c r="B268" s="48" t="str">
        <x:f>IF(Searches!$A$163&lt;&gt;"Yes","",Searches!$D$163)</x:f>
      </x:c>
      <x:c r="C268" s="48" t="str">
        <x:f>IF(Searches!$A$163&lt;&gt;"Yes","",Searches!$O$163)</x:f>
      </x:c>
      <x:c r="D268" s="48" t="str">
        <x:f>IF(Searches!$A$163&lt;&gt;"Yes","",Searches!$P$163)</x:f>
      </x:c>
      <x:c r="E268" s="48" t="str">
        <x:f>IF(Searches!$A$163&lt;&gt;"Yes","",Searches!$Q$163)</x:f>
      </x:c>
      <x:c r="F268" s="48" t="str">
        <x:f>IF(Searches!$A$163&lt;&gt;"Yes","",Searches!$R$163)</x:f>
      </x:c>
      <x:c r="G268" s="48" t="str">
        <x:f>IF(Searches!$A$163&lt;&gt;"Yes","",Searches!$E$163)</x:f>
      </x:c>
      <x:c r="H268" s="48" t="str">
        <x:f>IF(Searches!$A$163&lt;&gt;"Yes","",Searches!$N$163)</x:f>
      </x:c>
      <x:c r="I268" s="48" t="str">
        <x:f>IF(Searches!$A$163&lt;&gt;"Yes","",Searches!$B$163)</x:f>
      </x:c>
      <x:c r="J268" s="48" t="str">
        <x:f>IF(Searches!$A$163&lt;&gt;"Yes","",Searches!$K$163)</x:f>
      </x:c>
    </x:row>
    <x:row r="269">
      <x:c r="A269" s="48" t="str">
        <x:f>IF(Searches!$A$164&lt;&gt;"Yes","",Searches!$C$164)</x:f>
      </x:c>
      <x:c r="B269" s="48" t="str">
        <x:f>IF(Searches!$A$164&lt;&gt;"Yes","",Searches!$D$164)</x:f>
      </x:c>
      <x:c r="C269" s="48" t="str">
        <x:f>IF(Searches!$A$164&lt;&gt;"Yes","",Searches!$O$164)</x:f>
      </x:c>
      <x:c r="D269" s="48" t="str">
        <x:f>IF(Searches!$A$164&lt;&gt;"Yes","",Searches!$P$164)</x:f>
      </x:c>
      <x:c r="E269" s="48" t="str">
        <x:f>IF(Searches!$A$164&lt;&gt;"Yes","",Searches!$Q$164)</x:f>
      </x:c>
      <x:c r="F269" s="48" t="str">
        <x:f>IF(Searches!$A$164&lt;&gt;"Yes","",Searches!$R$164)</x:f>
      </x:c>
      <x:c r="G269" s="48" t="str">
        <x:f>IF(Searches!$A$164&lt;&gt;"Yes","",Searches!$E$164)</x:f>
      </x:c>
      <x:c r="H269" s="48" t="str">
        <x:f>IF(Searches!$A$164&lt;&gt;"Yes","",Searches!$N$164)</x:f>
      </x:c>
      <x:c r="I269" s="48" t="str">
        <x:f>IF(Searches!$A$164&lt;&gt;"Yes","",Searches!$B$164)</x:f>
      </x:c>
      <x:c r="J269" s="48" t="str">
        <x:f>IF(Searches!$A$164&lt;&gt;"Yes","",Searches!$K$164)</x:f>
      </x:c>
    </x:row>
    <x:row r="270">
      <x:c r="A270" s="48" t="str">
        <x:f>IF(Searches!$A$165&lt;&gt;"Yes","",Searches!$C$165)</x:f>
      </x:c>
      <x:c r="B270" s="48" t="str">
        <x:f>IF(Searches!$A$165&lt;&gt;"Yes","",Searches!$D$165)</x:f>
      </x:c>
      <x:c r="C270" s="48" t="str">
        <x:f>IF(Searches!$A$165&lt;&gt;"Yes","",Searches!$O$165)</x:f>
      </x:c>
      <x:c r="D270" s="48" t="str">
        <x:f>IF(Searches!$A$165&lt;&gt;"Yes","",Searches!$P$165)</x:f>
      </x:c>
      <x:c r="E270" s="48" t="str">
        <x:f>IF(Searches!$A$165&lt;&gt;"Yes","",Searches!$Q$165)</x:f>
      </x:c>
      <x:c r="F270" s="48" t="str">
        <x:f>IF(Searches!$A$165&lt;&gt;"Yes","",Searches!$R$165)</x:f>
      </x:c>
      <x:c r="G270" s="48" t="str">
        <x:f>IF(Searches!$A$165&lt;&gt;"Yes","",Searches!$E$165)</x:f>
      </x:c>
      <x:c r="H270" s="48" t="str">
        <x:f>IF(Searches!$A$165&lt;&gt;"Yes","",Searches!$N$165)</x:f>
      </x:c>
      <x:c r="I270" s="48" t="str">
        <x:f>IF(Searches!$A$165&lt;&gt;"Yes","",Searches!$B$165)</x:f>
      </x:c>
      <x:c r="J270" s="48" t="str">
        <x:f>IF(Searches!$A$165&lt;&gt;"Yes","",Searches!$K$165)</x:f>
      </x:c>
    </x:row>
    <x:row r="271">
      <x:c r="A271" s="48" t="str">
        <x:f>IF(Searches!$A$166&lt;&gt;"Yes","",Searches!$C$166)</x:f>
      </x:c>
      <x:c r="B271" s="48" t="str">
        <x:f>IF(Searches!$A$166&lt;&gt;"Yes","",Searches!$D$166)</x:f>
      </x:c>
      <x:c r="C271" s="48" t="str">
        <x:f>IF(Searches!$A$166&lt;&gt;"Yes","",Searches!$O$166)</x:f>
      </x:c>
      <x:c r="D271" s="48" t="str">
        <x:f>IF(Searches!$A$166&lt;&gt;"Yes","",Searches!$P$166)</x:f>
      </x:c>
      <x:c r="E271" s="48" t="str">
        <x:f>IF(Searches!$A$166&lt;&gt;"Yes","",Searches!$Q$166)</x:f>
      </x:c>
      <x:c r="F271" s="48" t="str">
        <x:f>IF(Searches!$A$166&lt;&gt;"Yes","",Searches!$R$166)</x:f>
      </x:c>
      <x:c r="G271" s="48" t="str">
        <x:f>IF(Searches!$A$166&lt;&gt;"Yes","",Searches!$E$166)</x:f>
      </x:c>
      <x:c r="H271" s="48" t="str">
        <x:f>IF(Searches!$A$166&lt;&gt;"Yes","",Searches!$N$166)</x:f>
      </x:c>
      <x:c r="I271" s="48" t="str">
        <x:f>IF(Searches!$A$166&lt;&gt;"Yes","",Searches!$B$166)</x:f>
      </x:c>
      <x:c r="J271" s="48" t="str">
        <x:f>IF(Searches!$A$166&lt;&gt;"Yes","",Searches!$K$166)</x:f>
      </x:c>
    </x:row>
    <x:row r="272">
      <x:c r="A272" s="48" t="str">
        <x:f>IF(Searches!$A$167&lt;&gt;"Yes","",Searches!$C$167)</x:f>
      </x:c>
      <x:c r="B272" s="48" t="str">
        <x:f>IF(Searches!$A$167&lt;&gt;"Yes","",Searches!$D$167)</x:f>
      </x:c>
      <x:c r="C272" s="48" t="str">
        <x:f>IF(Searches!$A$167&lt;&gt;"Yes","",Searches!$O$167)</x:f>
      </x:c>
      <x:c r="D272" s="48" t="str">
        <x:f>IF(Searches!$A$167&lt;&gt;"Yes","",Searches!$P$167)</x:f>
      </x:c>
      <x:c r="E272" s="48" t="str">
        <x:f>IF(Searches!$A$167&lt;&gt;"Yes","",Searches!$Q$167)</x:f>
      </x:c>
      <x:c r="F272" s="48" t="str">
        <x:f>IF(Searches!$A$167&lt;&gt;"Yes","",Searches!$R$167)</x:f>
      </x:c>
      <x:c r="G272" s="48" t="str">
        <x:f>IF(Searches!$A$167&lt;&gt;"Yes","",Searches!$E$167)</x:f>
      </x:c>
      <x:c r="H272" s="48" t="str">
        <x:f>IF(Searches!$A$167&lt;&gt;"Yes","",Searches!$N$167)</x:f>
      </x:c>
      <x:c r="I272" s="48" t="str">
        <x:f>IF(Searches!$A$167&lt;&gt;"Yes","",Searches!$B$167)</x:f>
      </x:c>
      <x:c r="J272" s="48" t="str">
        <x:f>IF(Searches!$A$167&lt;&gt;"Yes","",Searches!$K$167)</x:f>
      </x:c>
    </x:row>
    <x:row r="273">
      <x:c r="A273" s="48" t="str">
        <x:f>IF(Searches!$A$168&lt;&gt;"Yes","",Searches!$C$168)</x:f>
      </x:c>
      <x:c r="B273" s="48" t="str">
        <x:f>IF(Searches!$A$168&lt;&gt;"Yes","",Searches!$D$168)</x:f>
      </x:c>
      <x:c r="C273" s="48" t="str">
        <x:f>IF(Searches!$A$168&lt;&gt;"Yes","",Searches!$O$168)</x:f>
      </x:c>
      <x:c r="D273" s="48" t="str">
        <x:f>IF(Searches!$A$168&lt;&gt;"Yes","",Searches!$P$168)</x:f>
      </x:c>
      <x:c r="E273" s="48" t="str">
        <x:f>IF(Searches!$A$168&lt;&gt;"Yes","",Searches!$Q$168)</x:f>
      </x:c>
      <x:c r="F273" s="48" t="str">
        <x:f>IF(Searches!$A$168&lt;&gt;"Yes","",Searches!$R$168)</x:f>
      </x:c>
      <x:c r="G273" s="48" t="str">
        <x:f>IF(Searches!$A$168&lt;&gt;"Yes","",Searches!$E$168)</x:f>
      </x:c>
      <x:c r="H273" s="48" t="str">
        <x:f>IF(Searches!$A$168&lt;&gt;"Yes","",Searches!$N$168)</x:f>
      </x:c>
      <x:c r="I273" s="48" t="str">
        <x:f>IF(Searches!$A$168&lt;&gt;"Yes","",Searches!$B$168)</x:f>
      </x:c>
      <x:c r="J273" s="48" t="str">
        <x:f>IF(Searches!$A$168&lt;&gt;"Yes","",Searches!$K$168)</x:f>
      </x:c>
    </x:row>
    <x:row r="274">
      <x:c r="A274" s="48" t="str">
        <x:f>IF(Searches!$A$169&lt;&gt;"Yes","",Searches!$C$169)</x:f>
      </x:c>
      <x:c r="B274" s="48" t="str">
        <x:f>IF(Searches!$A$169&lt;&gt;"Yes","",Searches!$D$169)</x:f>
      </x:c>
      <x:c r="C274" s="48" t="str">
        <x:f>IF(Searches!$A$169&lt;&gt;"Yes","",Searches!$O$169)</x:f>
      </x:c>
      <x:c r="D274" s="48" t="str">
        <x:f>IF(Searches!$A$169&lt;&gt;"Yes","",Searches!$P$169)</x:f>
      </x:c>
      <x:c r="E274" s="48" t="str">
        <x:f>IF(Searches!$A$169&lt;&gt;"Yes","",Searches!$Q$169)</x:f>
      </x:c>
      <x:c r="F274" s="48" t="str">
        <x:f>IF(Searches!$A$169&lt;&gt;"Yes","",Searches!$R$169)</x:f>
      </x:c>
      <x:c r="G274" s="48" t="str">
        <x:f>IF(Searches!$A$169&lt;&gt;"Yes","",Searches!$E$169)</x:f>
      </x:c>
      <x:c r="H274" s="48" t="str">
        <x:f>IF(Searches!$A$169&lt;&gt;"Yes","",Searches!$N$169)</x:f>
      </x:c>
      <x:c r="I274" s="48" t="str">
        <x:f>IF(Searches!$A$169&lt;&gt;"Yes","",Searches!$B$169)</x:f>
      </x:c>
      <x:c r="J274" s="48" t="str">
        <x:f>IF(Searches!$A$169&lt;&gt;"Yes","",Searches!$K$169)</x:f>
      </x:c>
    </x:row>
    <x:row r="275">
      <x:c r="A275" s="48" t="str">
        <x:f>IF(Searches!$A$170&lt;&gt;"Yes","",Searches!$C$170)</x:f>
      </x:c>
      <x:c r="B275" s="48" t="str">
        <x:f>IF(Searches!$A$170&lt;&gt;"Yes","",Searches!$D$170)</x:f>
      </x:c>
      <x:c r="C275" s="48" t="str">
        <x:f>IF(Searches!$A$170&lt;&gt;"Yes","",Searches!$O$170)</x:f>
      </x:c>
      <x:c r="D275" s="48" t="str">
        <x:f>IF(Searches!$A$170&lt;&gt;"Yes","",Searches!$P$170)</x:f>
      </x:c>
      <x:c r="E275" s="48" t="str">
        <x:f>IF(Searches!$A$170&lt;&gt;"Yes","",Searches!$Q$170)</x:f>
      </x:c>
      <x:c r="F275" s="48" t="str">
        <x:f>IF(Searches!$A$170&lt;&gt;"Yes","",Searches!$R$170)</x:f>
      </x:c>
      <x:c r="G275" s="48" t="str">
        <x:f>IF(Searches!$A$170&lt;&gt;"Yes","",Searches!$E$170)</x:f>
      </x:c>
      <x:c r="H275" s="48" t="str">
        <x:f>IF(Searches!$A$170&lt;&gt;"Yes","",Searches!$N$170)</x:f>
      </x:c>
      <x:c r="I275" s="48" t="str">
        <x:f>IF(Searches!$A$170&lt;&gt;"Yes","",Searches!$B$170)</x:f>
      </x:c>
      <x:c r="J275" s="48" t="str">
        <x:f>IF(Searches!$A$170&lt;&gt;"Yes","",Searches!$K$170)</x:f>
      </x:c>
    </x:row>
    <x:row r="276">
      <x:c r="A276" s="48" t="str">
        <x:f>IF(Searches!$A$171&lt;&gt;"Yes","",Searches!$C$171)</x:f>
      </x:c>
      <x:c r="B276" s="48" t="str">
        <x:f>IF(Searches!$A$171&lt;&gt;"Yes","",Searches!$D$171)</x:f>
      </x:c>
      <x:c r="C276" s="48" t="str">
        <x:f>IF(Searches!$A$171&lt;&gt;"Yes","",Searches!$O$171)</x:f>
      </x:c>
      <x:c r="D276" s="48" t="str">
        <x:f>IF(Searches!$A$171&lt;&gt;"Yes","",Searches!$P$171)</x:f>
      </x:c>
      <x:c r="E276" s="48" t="str">
        <x:f>IF(Searches!$A$171&lt;&gt;"Yes","",Searches!$Q$171)</x:f>
      </x:c>
      <x:c r="F276" s="48" t="str">
        <x:f>IF(Searches!$A$171&lt;&gt;"Yes","",Searches!$R$171)</x:f>
      </x:c>
      <x:c r="G276" s="48" t="str">
        <x:f>IF(Searches!$A$171&lt;&gt;"Yes","",Searches!$E$171)</x:f>
      </x:c>
      <x:c r="H276" s="48" t="str">
        <x:f>IF(Searches!$A$171&lt;&gt;"Yes","",Searches!$N$171)</x:f>
      </x:c>
      <x:c r="I276" s="48" t="str">
        <x:f>IF(Searches!$A$171&lt;&gt;"Yes","",Searches!$B$171)</x:f>
      </x:c>
      <x:c r="J276" s="48" t="str">
        <x:f>IF(Searches!$A$171&lt;&gt;"Yes","",Searches!$K$171)</x:f>
      </x:c>
    </x:row>
    <x:row r="277">
      <x:c r="A277" s="48" t="str">
        <x:f>IF(Searches!$A$172&lt;&gt;"Yes","",Searches!$C$172)</x:f>
      </x:c>
      <x:c r="B277" s="48" t="str">
        <x:f>IF(Searches!$A$172&lt;&gt;"Yes","",Searches!$D$172)</x:f>
      </x:c>
      <x:c r="C277" s="48" t="str">
        <x:f>IF(Searches!$A$172&lt;&gt;"Yes","",Searches!$O$172)</x:f>
      </x:c>
      <x:c r="D277" s="48" t="str">
        <x:f>IF(Searches!$A$172&lt;&gt;"Yes","",Searches!$P$172)</x:f>
      </x:c>
      <x:c r="E277" s="48" t="str">
        <x:f>IF(Searches!$A$172&lt;&gt;"Yes","",Searches!$Q$172)</x:f>
      </x:c>
      <x:c r="F277" s="48" t="str">
        <x:f>IF(Searches!$A$172&lt;&gt;"Yes","",Searches!$R$172)</x:f>
      </x:c>
      <x:c r="G277" s="48" t="str">
        <x:f>IF(Searches!$A$172&lt;&gt;"Yes","",Searches!$E$172)</x:f>
      </x:c>
      <x:c r="H277" s="48" t="str">
        <x:f>IF(Searches!$A$172&lt;&gt;"Yes","",Searches!$N$172)</x:f>
      </x:c>
      <x:c r="I277" s="48" t="str">
        <x:f>IF(Searches!$A$172&lt;&gt;"Yes","",Searches!$B$172)</x:f>
      </x:c>
      <x:c r="J277" s="48" t="str">
        <x:f>IF(Searches!$A$172&lt;&gt;"Yes","",Searches!$K$172)</x:f>
      </x:c>
    </x:row>
    <x:row r="278">
      <x:c r="A278" s="48" t="str">
        <x:f>IF(Searches!$A$173&lt;&gt;"Yes","",Searches!$C$173)</x:f>
      </x:c>
      <x:c r="B278" s="48" t="str">
        <x:f>IF(Searches!$A$173&lt;&gt;"Yes","",Searches!$D$173)</x:f>
      </x:c>
      <x:c r="C278" s="48" t="str">
        <x:f>IF(Searches!$A$173&lt;&gt;"Yes","",Searches!$O$173)</x:f>
      </x:c>
      <x:c r="D278" s="48" t="str">
        <x:f>IF(Searches!$A$173&lt;&gt;"Yes","",Searches!$P$173)</x:f>
      </x:c>
      <x:c r="E278" s="48" t="str">
        <x:f>IF(Searches!$A$173&lt;&gt;"Yes","",Searches!$Q$173)</x:f>
      </x:c>
      <x:c r="F278" s="48" t="str">
        <x:f>IF(Searches!$A$173&lt;&gt;"Yes","",Searches!$R$173)</x:f>
      </x:c>
      <x:c r="G278" s="48" t="str">
        <x:f>IF(Searches!$A$173&lt;&gt;"Yes","",Searches!$E$173)</x:f>
      </x:c>
      <x:c r="H278" s="48" t="str">
        <x:f>IF(Searches!$A$173&lt;&gt;"Yes","",Searches!$N$173)</x:f>
      </x:c>
      <x:c r="I278" s="48" t="str">
        <x:f>IF(Searches!$A$173&lt;&gt;"Yes","",Searches!$B$173)</x:f>
      </x:c>
      <x:c r="J278" s="48" t="str">
        <x:f>IF(Searches!$A$173&lt;&gt;"Yes","",Searches!$K$173)</x:f>
      </x:c>
    </x:row>
    <x:row r="279">
      <x:c r="A279" s="48" t="str">
        <x:f>IF(Searches!$A$174&lt;&gt;"Yes","",Searches!$C$174)</x:f>
      </x:c>
      <x:c r="B279" s="48" t="str">
        <x:f>IF(Searches!$A$174&lt;&gt;"Yes","",Searches!$D$174)</x:f>
      </x:c>
      <x:c r="C279" s="48" t="str">
        <x:f>IF(Searches!$A$174&lt;&gt;"Yes","",Searches!$O$174)</x:f>
      </x:c>
      <x:c r="D279" s="48" t="str">
        <x:f>IF(Searches!$A$174&lt;&gt;"Yes","",Searches!$P$174)</x:f>
      </x:c>
      <x:c r="E279" s="48" t="str">
        <x:f>IF(Searches!$A$174&lt;&gt;"Yes","",Searches!$Q$174)</x:f>
      </x:c>
      <x:c r="F279" s="48" t="str">
        <x:f>IF(Searches!$A$174&lt;&gt;"Yes","",Searches!$R$174)</x:f>
      </x:c>
      <x:c r="G279" s="48" t="str">
        <x:f>IF(Searches!$A$174&lt;&gt;"Yes","",Searches!$E$174)</x:f>
      </x:c>
      <x:c r="H279" s="48" t="str">
        <x:f>IF(Searches!$A$174&lt;&gt;"Yes","",Searches!$N$174)</x:f>
      </x:c>
      <x:c r="I279" s="48" t="str">
        <x:f>IF(Searches!$A$174&lt;&gt;"Yes","",Searches!$B$174)</x:f>
      </x:c>
      <x:c r="J279" s="48" t="str">
        <x:f>IF(Searches!$A$174&lt;&gt;"Yes","",Searches!$K$174)</x:f>
      </x:c>
    </x:row>
    <x:row r="280">
      <x:c r="A280" s="48" t="str">
        <x:f>IF(Searches!$A$175&lt;&gt;"Yes","",Searches!$C$175)</x:f>
      </x:c>
      <x:c r="B280" s="48" t="str">
        <x:f>IF(Searches!$A$175&lt;&gt;"Yes","",Searches!$D$175)</x:f>
      </x:c>
      <x:c r="C280" s="48" t="str">
        <x:f>IF(Searches!$A$175&lt;&gt;"Yes","",Searches!$O$175)</x:f>
      </x:c>
      <x:c r="D280" s="48" t="str">
        <x:f>IF(Searches!$A$175&lt;&gt;"Yes","",Searches!$P$175)</x:f>
      </x:c>
      <x:c r="E280" s="48" t="str">
        <x:f>IF(Searches!$A$175&lt;&gt;"Yes","",Searches!$Q$175)</x:f>
      </x:c>
      <x:c r="F280" s="48" t="str">
        <x:f>IF(Searches!$A$175&lt;&gt;"Yes","",Searches!$R$175)</x:f>
      </x:c>
      <x:c r="G280" s="48" t="str">
        <x:f>IF(Searches!$A$175&lt;&gt;"Yes","",Searches!$E$175)</x:f>
      </x:c>
      <x:c r="H280" s="48" t="str">
        <x:f>IF(Searches!$A$175&lt;&gt;"Yes","",Searches!$N$175)</x:f>
      </x:c>
      <x:c r="I280" s="48" t="str">
        <x:f>IF(Searches!$A$175&lt;&gt;"Yes","",Searches!$B$175)</x:f>
      </x:c>
      <x:c r="J280" s="48" t="str">
        <x:f>IF(Searches!$A$175&lt;&gt;"Yes","",Searches!$K$175)</x:f>
      </x:c>
    </x:row>
    <x:row r="281">
      <x:c r="A281" s="48" t="str">
        <x:f>IF(Searches!$A$176&lt;&gt;"Yes","",Searches!$C$176)</x:f>
      </x:c>
      <x:c r="B281" s="48" t="str">
        <x:f>IF(Searches!$A$176&lt;&gt;"Yes","",Searches!$D$176)</x:f>
      </x:c>
      <x:c r="C281" s="48" t="str">
        <x:f>IF(Searches!$A$176&lt;&gt;"Yes","",Searches!$O$176)</x:f>
      </x:c>
      <x:c r="D281" s="48" t="str">
        <x:f>IF(Searches!$A$176&lt;&gt;"Yes","",Searches!$P$176)</x:f>
      </x:c>
      <x:c r="E281" s="48" t="str">
        <x:f>IF(Searches!$A$176&lt;&gt;"Yes","",Searches!$Q$176)</x:f>
      </x:c>
      <x:c r="F281" s="48" t="str">
        <x:f>IF(Searches!$A$176&lt;&gt;"Yes","",Searches!$R$176)</x:f>
      </x:c>
      <x:c r="G281" s="48" t="str">
        <x:f>IF(Searches!$A$176&lt;&gt;"Yes","",Searches!$E$176)</x:f>
      </x:c>
      <x:c r="H281" s="48" t="str">
        <x:f>IF(Searches!$A$176&lt;&gt;"Yes","",Searches!$N$176)</x:f>
      </x:c>
      <x:c r="I281" s="48" t="str">
        <x:f>IF(Searches!$A$176&lt;&gt;"Yes","",Searches!$B$176)</x:f>
      </x:c>
      <x:c r="J281" s="48" t="str">
        <x:f>IF(Searches!$A$176&lt;&gt;"Yes","",Searches!$K$176)</x:f>
      </x:c>
    </x:row>
    <x:row r="282">
      <x:c r="A282" s="48" t="str">
        <x:f>IF(Searches!$A$177&lt;&gt;"Yes","",Searches!$C$177)</x:f>
      </x:c>
      <x:c r="B282" s="48" t="str">
        <x:f>IF(Searches!$A$177&lt;&gt;"Yes","",Searches!$D$177)</x:f>
      </x:c>
      <x:c r="C282" s="48" t="str">
        <x:f>IF(Searches!$A$177&lt;&gt;"Yes","",Searches!$O$177)</x:f>
      </x:c>
      <x:c r="D282" s="48" t="str">
        <x:f>IF(Searches!$A$177&lt;&gt;"Yes","",Searches!$P$177)</x:f>
      </x:c>
      <x:c r="E282" s="48" t="str">
        <x:f>IF(Searches!$A$177&lt;&gt;"Yes","",Searches!$Q$177)</x:f>
      </x:c>
      <x:c r="F282" s="48" t="str">
        <x:f>IF(Searches!$A$177&lt;&gt;"Yes","",Searches!$R$177)</x:f>
      </x:c>
      <x:c r="G282" s="48" t="str">
        <x:f>IF(Searches!$A$177&lt;&gt;"Yes","",Searches!$E$177)</x:f>
      </x:c>
      <x:c r="H282" s="48" t="str">
        <x:f>IF(Searches!$A$177&lt;&gt;"Yes","",Searches!$N$177)</x:f>
      </x:c>
      <x:c r="I282" s="48" t="str">
        <x:f>IF(Searches!$A$177&lt;&gt;"Yes","",Searches!$B$177)</x:f>
      </x:c>
      <x:c r="J282" s="48" t="str">
        <x:f>IF(Searches!$A$177&lt;&gt;"Yes","",Searches!$K$177)</x:f>
      </x:c>
    </x:row>
    <x:row r="283">
      <x:c r="A283" s="48" t="str">
        <x:f>IF(Searches!$A$178&lt;&gt;"Yes","",Searches!$C$178)</x:f>
      </x:c>
      <x:c r="B283" s="48" t="str">
        <x:f>IF(Searches!$A$178&lt;&gt;"Yes","",Searches!$D$178)</x:f>
      </x:c>
      <x:c r="C283" s="48" t="str">
        <x:f>IF(Searches!$A$178&lt;&gt;"Yes","",Searches!$O$178)</x:f>
      </x:c>
      <x:c r="D283" s="48" t="str">
        <x:f>IF(Searches!$A$178&lt;&gt;"Yes","",Searches!$P$178)</x:f>
      </x:c>
      <x:c r="E283" s="48" t="str">
        <x:f>IF(Searches!$A$178&lt;&gt;"Yes","",Searches!$Q$178)</x:f>
      </x:c>
      <x:c r="F283" s="48" t="str">
        <x:f>IF(Searches!$A$178&lt;&gt;"Yes","",Searches!$R$178)</x:f>
      </x:c>
      <x:c r="G283" s="48" t="str">
        <x:f>IF(Searches!$A$178&lt;&gt;"Yes","",Searches!$E$178)</x:f>
      </x:c>
      <x:c r="H283" s="48" t="str">
        <x:f>IF(Searches!$A$178&lt;&gt;"Yes","",Searches!$N$178)</x:f>
      </x:c>
      <x:c r="I283" s="48" t="str">
        <x:f>IF(Searches!$A$178&lt;&gt;"Yes","",Searches!$B$178)</x:f>
      </x:c>
      <x:c r="J283" s="48" t="str">
        <x:f>IF(Searches!$A$178&lt;&gt;"Yes","",Searches!$K$178)</x:f>
      </x:c>
    </x:row>
    <x:row r="284">
      <x:c r="A284" s="48" t="str">
        <x:f>IF(Searches!$A$179&lt;&gt;"Yes","",Searches!$C$179)</x:f>
      </x:c>
      <x:c r="B284" s="48" t="str">
        <x:f>IF(Searches!$A$179&lt;&gt;"Yes","",Searches!$D$179)</x:f>
      </x:c>
      <x:c r="C284" s="48" t="str">
        <x:f>IF(Searches!$A$179&lt;&gt;"Yes","",Searches!$O$179)</x:f>
      </x:c>
      <x:c r="D284" s="48" t="str">
        <x:f>IF(Searches!$A$179&lt;&gt;"Yes","",Searches!$P$179)</x:f>
      </x:c>
      <x:c r="E284" s="48" t="str">
        <x:f>IF(Searches!$A$179&lt;&gt;"Yes","",Searches!$Q$179)</x:f>
      </x:c>
      <x:c r="F284" s="48" t="str">
        <x:f>IF(Searches!$A$179&lt;&gt;"Yes","",Searches!$R$179)</x:f>
      </x:c>
      <x:c r="G284" s="48" t="str">
        <x:f>IF(Searches!$A$179&lt;&gt;"Yes","",Searches!$E$179)</x:f>
      </x:c>
      <x:c r="H284" s="48" t="str">
        <x:f>IF(Searches!$A$179&lt;&gt;"Yes","",Searches!$N$179)</x:f>
      </x:c>
      <x:c r="I284" s="48" t="str">
        <x:f>IF(Searches!$A$179&lt;&gt;"Yes","",Searches!$B$179)</x:f>
      </x:c>
      <x:c r="J284" s="48" t="str">
        <x:f>IF(Searches!$A$179&lt;&gt;"Yes","",Searches!$K$179)</x:f>
      </x:c>
    </x:row>
    <x:row r="285">
      <x:c r="A285" s="48" t="str">
        <x:f>IF(Searches!$A$180&lt;&gt;"Yes","",Searches!$C$180)</x:f>
      </x:c>
      <x:c r="B285" s="48" t="str">
        <x:f>IF(Searches!$A$180&lt;&gt;"Yes","",Searches!$D$180)</x:f>
      </x:c>
      <x:c r="C285" s="48" t="str">
        <x:f>IF(Searches!$A$180&lt;&gt;"Yes","",Searches!$O$180)</x:f>
      </x:c>
      <x:c r="D285" s="48" t="str">
        <x:f>IF(Searches!$A$180&lt;&gt;"Yes","",Searches!$P$180)</x:f>
      </x:c>
      <x:c r="E285" s="48" t="str">
        <x:f>IF(Searches!$A$180&lt;&gt;"Yes","",Searches!$Q$180)</x:f>
      </x:c>
      <x:c r="F285" s="48" t="str">
        <x:f>IF(Searches!$A$180&lt;&gt;"Yes","",Searches!$R$180)</x:f>
      </x:c>
      <x:c r="G285" s="48" t="str">
        <x:f>IF(Searches!$A$180&lt;&gt;"Yes","",Searches!$E$180)</x:f>
      </x:c>
      <x:c r="H285" s="48" t="str">
        <x:f>IF(Searches!$A$180&lt;&gt;"Yes","",Searches!$N$180)</x:f>
      </x:c>
      <x:c r="I285" s="48" t="str">
        <x:f>IF(Searches!$A$180&lt;&gt;"Yes","",Searches!$B$180)</x:f>
      </x:c>
      <x:c r="J285" s="48" t="str">
        <x:f>IF(Searches!$A$180&lt;&gt;"Yes","",Searches!$K$180)</x:f>
      </x:c>
    </x:row>
    <x:row r="286">
      <x:c r="A286" s="48" t="str">
        <x:f>IF(Searches!$A$181&lt;&gt;"Yes","",Searches!$C$181)</x:f>
      </x:c>
      <x:c r="B286" s="48" t="str">
        <x:f>IF(Searches!$A$181&lt;&gt;"Yes","",Searches!$D$181)</x:f>
      </x:c>
      <x:c r="C286" s="48" t="str">
        <x:f>IF(Searches!$A$181&lt;&gt;"Yes","",Searches!$O$181)</x:f>
      </x:c>
      <x:c r="D286" s="48" t="str">
        <x:f>IF(Searches!$A$181&lt;&gt;"Yes","",Searches!$P$181)</x:f>
      </x:c>
      <x:c r="E286" s="48" t="str">
        <x:f>IF(Searches!$A$181&lt;&gt;"Yes","",Searches!$Q$181)</x:f>
      </x:c>
      <x:c r="F286" s="48" t="str">
        <x:f>IF(Searches!$A$181&lt;&gt;"Yes","",Searches!$R$181)</x:f>
      </x:c>
      <x:c r="G286" s="48" t="str">
        <x:f>IF(Searches!$A$181&lt;&gt;"Yes","",Searches!$E$181)</x:f>
      </x:c>
      <x:c r="H286" s="48" t="str">
        <x:f>IF(Searches!$A$181&lt;&gt;"Yes","",Searches!$N$181)</x:f>
      </x:c>
      <x:c r="I286" s="48" t="str">
        <x:f>IF(Searches!$A$181&lt;&gt;"Yes","",Searches!$B$181)</x:f>
      </x:c>
      <x:c r="J286" s="48" t="str">
        <x:f>IF(Searches!$A$181&lt;&gt;"Yes","",Searches!$K$181)</x:f>
      </x:c>
    </x:row>
    <x:row r="287">
      <x:c r="A287" s="48" t="str">
        <x:f>IF(Searches!$A$182&lt;&gt;"Yes","",Searches!$C$182)</x:f>
      </x:c>
      <x:c r="B287" s="48" t="str">
        <x:f>IF(Searches!$A$182&lt;&gt;"Yes","",Searches!$D$182)</x:f>
      </x:c>
      <x:c r="C287" s="48" t="str">
        <x:f>IF(Searches!$A$182&lt;&gt;"Yes","",Searches!$O$182)</x:f>
      </x:c>
      <x:c r="D287" s="48" t="str">
        <x:f>IF(Searches!$A$182&lt;&gt;"Yes","",Searches!$P$182)</x:f>
      </x:c>
      <x:c r="E287" s="48" t="str">
        <x:f>IF(Searches!$A$182&lt;&gt;"Yes","",Searches!$Q$182)</x:f>
      </x:c>
      <x:c r="F287" s="48" t="str">
        <x:f>IF(Searches!$A$182&lt;&gt;"Yes","",Searches!$R$182)</x:f>
      </x:c>
      <x:c r="G287" s="48" t="str">
        <x:f>IF(Searches!$A$182&lt;&gt;"Yes","",Searches!$E$182)</x:f>
      </x:c>
      <x:c r="H287" s="48" t="str">
        <x:f>IF(Searches!$A$182&lt;&gt;"Yes","",Searches!$N$182)</x:f>
      </x:c>
      <x:c r="I287" s="48" t="str">
        <x:f>IF(Searches!$A$182&lt;&gt;"Yes","",Searches!$B$182)</x:f>
      </x:c>
      <x:c r="J287" s="48" t="str">
        <x:f>IF(Searches!$A$182&lt;&gt;"Yes","",Searches!$K$182)</x:f>
      </x:c>
    </x:row>
    <x:row r="288">
      <x:c r="A288" s="48" t="str">
        <x:f>IF(Searches!$A$183&lt;&gt;"Yes","",Searches!$C$183)</x:f>
      </x:c>
      <x:c r="B288" s="48" t="str">
        <x:f>IF(Searches!$A$183&lt;&gt;"Yes","",Searches!$D$183)</x:f>
      </x:c>
      <x:c r="C288" s="48" t="str">
        <x:f>IF(Searches!$A$183&lt;&gt;"Yes","",Searches!$O$183)</x:f>
      </x:c>
      <x:c r="D288" s="48" t="str">
        <x:f>IF(Searches!$A$183&lt;&gt;"Yes","",Searches!$P$183)</x:f>
      </x:c>
      <x:c r="E288" s="48" t="str">
        <x:f>IF(Searches!$A$183&lt;&gt;"Yes","",Searches!$Q$183)</x:f>
      </x:c>
      <x:c r="F288" s="48" t="str">
        <x:f>IF(Searches!$A$183&lt;&gt;"Yes","",Searches!$R$183)</x:f>
      </x:c>
      <x:c r="G288" s="48" t="str">
        <x:f>IF(Searches!$A$183&lt;&gt;"Yes","",Searches!$E$183)</x:f>
      </x:c>
      <x:c r="H288" s="48" t="str">
        <x:f>IF(Searches!$A$183&lt;&gt;"Yes","",Searches!$N$183)</x:f>
      </x:c>
      <x:c r="I288" s="48" t="str">
        <x:f>IF(Searches!$A$183&lt;&gt;"Yes","",Searches!$B$183)</x:f>
      </x:c>
      <x:c r="J288" s="48" t="str">
        <x:f>IF(Searches!$A$183&lt;&gt;"Yes","",Searches!$K$183)</x:f>
      </x:c>
    </x:row>
    <x:row r="289">
      <x:c r="A289" s="48" t="str">
        <x:f>IF(Searches!$A$184&lt;&gt;"Yes","",Searches!$C$184)</x:f>
      </x:c>
      <x:c r="B289" s="48" t="str">
        <x:f>IF(Searches!$A$184&lt;&gt;"Yes","",Searches!$D$184)</x:f>
      </x:c>
      <x:c r="C289" s="48" t="str">
        <x:f>IF(Searches!$A$184&lt;&gt;"Yes","",Searches!$O$184)</x:f>
      </x:c>
      <x:c r="D289" s="48" t="str">
        <x:f>IF(Searches!$A$184&lt;&gt;"Yes","",Searches!$P$184)</x:f>
      </x:c>
      <x:c r="E289" s="48" t="str">
        <x:f>IF(Searches!$A$184&lt;&gt;"Yes","",Searches!$Q$184)</x:f>
      </x:c>
      <x:c r="F289" s="48" t="str">
        <x:f>IF(Searches!$A$184&lt;&gt;"Yes","",Searches!$R$184)</x:f>
      </x:c>
      <x:c r="G289" s="48" t="str">
        <x:f>IF(Searches!$A$184&lt;&gt;"Yes","",Searches!$E$184)</x:f>
      </x:c>
      <x:c r="H289" s="48" t="str">
        <x:f>IF(Searches!$A$184&lt;&gt;"Yes","",Searches!$N$184)</x:f>
      </x:c>
      <x:c r="I289" s="48" t="str">
        <x:f>IF(Searches!$A$184&lt;&gt;"Yes","",Searches!$B$184)</x:f>
      </x:c>
      <x:c r="J289" s="48" t="str">
        <x:f>IF(Searches!$A$184&lt;&gt;"Yes","",Searches!$K$184)</x:f>
      </x:c>
    </x:row>
    <x:row r="290">
      <x:c r="A290" s="48" t="str">
        <x:f>IF(Searches!$A$185&lt;&gt;"Yes","",Searches!$C$185)</x:f>
      </x:c>
      <x:c r="B290" s="48" t="str">
        <x:f>IF(Searches!$A$185&lt;&gt;"Yes","",Searches!$D$185)</x:f>
      </x:c>
      <x:c r="C290" s="48" t="str">
        <x:f>IF(Searches!$A$185&lt;&gt;"Yes","",Searches!$O$185)</x:f>
      </x:c>
      <x:c r="D290" s="48" t="str">
        <x:f>IF(Searches!$A$185&lt;&gt;"Yes","",Searches!$P$185)</x:f>
      </x:c>
      <x:c r="E290" s="48" t="str">
        <x:f>IF(Searches!$A$185&lt;&gt;"Yes","",Searches!$Q$185)</x:f>
      </x:c>
      <x:c r="F290" s="48" t="str">
        <x:f>IF(Searches!$A$185&lt;&gt;"Yes","",Searches!$R$185)</x:f>
      </x:c>
      <x:c r="G290" s="48" t="str">
        <x:f>IF(Searches!$A$185&lt;&gt;"Yes","",Searches!$E$185)</x:f>
      </x:c>
      <x:c r="H290" s="48" t="str">
        <x:f>IF(Searches!$A$185&lt;&gt;"Yes","",Searches!$N$185)</x:f>
      </x:c>
      <x:c r="I290" s="48" t="str">
        <x:f>IF(Searches!$A$185&lt;&gt;"Yes","",Searches!$B$185)</x:f>
      </x:c>
      <x:c r="J290" s="48" t="str">
        <x:f>IF(Searches!$A$185&lt;&gt;"Yes","",Searches!$K$185)</x:f>
      </x:c>
    </x:row>
    <x:row r="291">
      <x:c r="A291" s="48" t="str">
        <x:f>IF(Searches!$A$186&lt;&gt;"Yes","",Searches!$C$186)</x:f>
      </x:c>
      <x:c r="B291" s="48" t="str">
        <x:f>IF(Searches!$A$186&lt;&gt;"Yes","",Searches!$D$186)</x:f>
      </x:c>
      <x:c r="C291" s="48" t="str">
        <x:f>IF(Searches!$A$186&lt;&gt;"Yes","",Searches!$O$186)</x:f>
      </x:c>
      <x:c r="D291" s="48" t="str">
        <x:f>IF(Searches!$A$186&lt;&gt;"Yes","",Searches!$P$186)</x:f>
      </x:c>
      <x:c r="E291" s="48" t="str">
        <x:f>IF(Searches!$A$186&lt;&gt;"Yes","",Searches!$Q$186)</x:f>
      </x:c>
      <x:c r="F291" s="48" t="str">
        <x:f>IF(Searches!$A$186&lt;&gt;"Yes","",Searches!$R$186)</x:f>
      </x:c>
      <x:c r="G291" s="48" t="str">
        <x:f>IF(Searches!$A$186&lt;&gt;"Yes","",Searches!$E$186)</x:f>
      </x:c>
      <x:c r="H291" s="48" t="str">
        <x:f>IF(Searches!$A$186&lt;&gt;"Yes","",Searches!$N$186)</x:f>
      </x:c>
      <x:c r="I291" s="48" t="str">
        <x:f>IF(Searches!$A$186&lt;&gt;"Yes","",Searches!$B$186)</x:f>
      </x:c>
      <x:c r="J291" s="48" t="str">
        <x:f>IF(Searches!$A$186&lt;&gt;"Yes","",Searches!$K$186)</x:f>
      </x:c>
    </x:row>
    <x:row r="292">
      <x:c r="A292" s="48" t="str">
        <x:f>IF(Searches!$A$187&lt;&gt;"Yes","",Searches!$C$187)</x:f>
      </x:c>
      <x:c r="B292" s="48" t="str">
        <x:f>IF(Searches!$A$187&lt;&gt;"Yes","",Searches!$D$187)</x:f>
      </x:c>
      <x:c r="C292" s="48" t="str">
        <x:f>IF(Searches!$A$187&lt;&gt;"Yes","",Searches!$O$187)</x:f>
      </x:c>
      <x:c r="D292" s="48" t="str">
        <x:f>IF(Searches!$A$187&lt;&gt;"Yes","",Searches!$P$187)</x:f>
      </x:c>
      <x:c r="E292" s="48" t="str">
        <x:f>IF(Searches!$A$187&lt;&gt;"Yes","",Searches!$Q$187)</x:f>
      </x:c>
      <x:c r="F292" s="48" t="str">
        <x:f>IF(Searches!$A$187&lt;&gt;"Yes","",Searches!$R$187)</x:f>
      </x:c>
      <x:c r="G292" s="48" t="str">
        <x:f>IF(Searches!$A$187&lt;&gt;"Yes","",Searches!$E$187)</x:f>
      </x:c>
      <x:c r="H292" s="48" t="str">
        <x:f>IF(Searches!$A$187&lt;&gt;"Yes","",Searches!$N$187)</x:f>
      </x:c>
      <x:c r="I292" s="48" t="str">
        <x:f>IF(Searches!$A$187&lt;&gt;"Yes","",Searches!$B$187)</x:f>
      </x:c>
      <x:c r="J292" s="48" t="str">
        <x:f>IF(Searches!$A$187&lt;&gt;"Yes","",Searches!$K$187)</x:f>
      </x:c>
    </x:row>
    <x:row r="293">
      <x:c r="A293" s="48" t="str">
        <x:f>IF(Searches!$A$188&lt;&gt;"Yes","",Searches!$C$188)</x:f>
      </x:c>
      <x:c r="B293" s="48" t="str">
        <x:f>IF(Searches!$A$188&lt;&gt;"Yes","",Searches!$D$188)</x:f>
      </x:c>
      <x:c r="C293" s="48" t="str">
        <x:f>IF(Searches!$A$188&lt;&gt;"Yes","",Searches!$O$188)</x:f>
      </x:c>
      <x:c r="D293" s="48" t="str">
        <x:f>IF(Searches!$A$188&lt;&gt;"Yes","",Searches!$P$188)</x:f>
      </x:c>
      <x:c r="E293" s="48" t="str">
        <x:f>IF(Searches!$A$188&lt;&gt;"Yes","",Searches!$Q$188)</x:f>
      </x:c>
      <x:c r="F293" s="48" t="str">
        <x:f>IF(Searches!$A$188&lt;&gt;"Yes","",Searches!$R$188)</x:f>
      </x:c>
      <x:c r="G293" s="48" t="str">
        <x:f>IF(Searches!$A$188&lt;&gt;"Yes","",Searches!$E$188)</x:f>
      </x:c>
      <x:c r="H293" s="48" t="str">
        <x:f>IF(Searches!$A$188&lt;&gt;"Yes","",Searches!$N$188)</x:f>
      </x:c>
      <x:c r="I293" s="48" t="str">
        <x:f>IF(Searches!$A$188&lt;&gt;"Yes","",Searches!$B$188)</x:f>
      </x:c>
      <x:c r="J293" s="48" t="str">
        <x:f>IF(Searches!$A$188&lt;&gt;"Yes","",Searches!$K$188)</x:f>
      </x:c>
    </x:row>
    <x:row r="294">
      <x:c r="A294" s="48" t="str">
        <x:f>IF(Searches!$A$189&lt;&gt;"Yes","",Searches!$C$189)</x:f>
      </x:c>
      <x:c r="B294" s="48" t="str">
        <x:f>IF(Searches!$A$189&lt;&gt;"Yes","",Searches!$D$189)</x:f>
      </x:c>
      <x:c r="C294" s="48" t="str">
        <x:f>IF(Searches!$A$189&lt;&gt;"Yes","",Searches!$O$189)</x:f>
      </x:c>
      <x:c r="D294" s="48" t="str">
        <x:f>IF(Searches!$A$189&lt;&gt;"Yes","",Searches!$P$189)</x:f>
      </x:c>
      <x:c r="E294" s="48" t="str">
        <x:f>IF(Searches!$A$189&lt;&gt;"Yes","",Searches!$Q$189)</x:f>
      </x:c>
      <x:c r="F294" s="48" t="str">
        <x:f>IF(Searches!$A$189&lt;&gt;"Yes","",Searches!$R$189)</x:f>
      </x:c>
      <x:c r="G294" s="48" t="str">
        <x:f>IF(Searches!$A$189&lt;&gt;"Yes","",Searches!$E$189)</x:f>
      </x:c>
      <x:c r="H294" s="48" t="str">
        <x:f>IF(Searches!$A$189&lt;&gt;"Yes","",Searches!$N$189)</x:f>
      </x:c>
      <x:c r="I294" s="48" t="str">
        <x:f>IF(Searches!$A$189&lt;&gt;"Yes","",Searches!$B$189)</x:f>
      </x:c>
      <x:c r="J294" s="48" t="str">
        <x:f>IF(Searches!$A$189&lt;&gt;"Yes","",Searches!$K$189)</x:f>
      </x:c>
    </x:row>
    <x:row r="295">
      <x:c r="A295" s="48" t="str">
        <x:f>IF(Searches!$A$190&lt;&gt;"Yes","",Searches!$C$190)</x:f>
      </x:c>
      <x:c r="B295" s="48" t="str">
        <x:f>IF(Searches!$A$190&lt;&gt;"Yes","",Searches!$D$190)</x:f>
      </x:c>
      <x:c r="C295" s="48" t="str">
        <x:f>IF(Searches!$A$190&lt;&gt;"Yes","",Searches!$O$190)</x:f>
      </x:c>
      <x:c r="D295" s="48" t="str">
        <x:f>IF(Searches!$A$190&lt;&gt;"Yes","",Searches!$P$190)</x:f>
      </x:c>
      <x:c r="E295" s="48" t="str">
        <x:f>IF(Searches!$A$190&lt;&gt;"Yes","",Searches!$Q$190)</x:f>
      </x:c>
      <x:c r="F295" s="48" t="str">
        <x:f>IF(Searches!$A$190&lt;&gt;"Yes","",Searches!$R$190)</x:f>
      </x:c>
      <x:c r="G295" s="48" t="str">
        <x:f>IF(Searches!$A$190&lt;&gt;"Yes","",Searches!$E$190)</x:f>
      </x:c>
      <x:c r="H295" s="48" t="str">
        <x:f>IF(Searches!$A$190&lt;&gt;"Yes","",Searches!$N$190)</x:f>
      </x:c>
      <x:c r="I295" s="48" t="str">
        <x:f>IF(Searches!$A$190&lt;&gt;"Yes","",Searches!$B$190)</x:f>
      </x:c>
      <x:c r="J295" s="48" t="str">
        <x:f>IF(Searches!$A$190&lt;&gt;"Yes","",Searches!$K$190)</x:f>
      </x:c>
    </x:row>
    <x:row r="296">
      <x:c r="A296" s="48" t="str">
        <x:f>IF(Searches!$A$191&lt;&gt;"Yes","",Searches!$C$191)</x:f>
      </x:c>
      <x:c r="B296" s="48" t="str">
        <x:f>IF(Searches!$A$191&lt;&gt;"Yes","",Searches!$D$191)</x:f>
      </x:c>
      <x:c r="C296" s="48" t="str">
        <x:f>IF(Searches!$A$191&lt;&gt;"Yes","",Searches!$O$191)</x:f>
      </x:c>
      <x:c r="D296" s="48" t="str">
        <x:f>IF(Searches!$A$191&lt;&gt;"Yes","",Searches!$P$191)</x:f>
      </x:c>
      <x:c r="E296" s="48" t="str">
        <x:f>IF(Searches!$A$191&lt;&gt;"Yes","",Searches!$Q$191)</x:f>
      </x:c>
      <x:c r="F296" s="48" t="str">
        <x:f>IF(Searches!$A$191&lt;&gt;"Yes","",Searches!$R$191)</x:f>
      </x:c>
      <x:c r="G296" s="48" t="str">
        <x:f>IF(Searches!$A$191&lt;&gt;"Yes","",Searches!$E$191)</x:f>
      </x:c>
      <x:c r="H296" s="48" t="str">
        <x:f>IF(Searches!$A$191&lt;&gt;"Yes","",Searches!$N$191)</x:f>
      </x:c>
      <x:c r="I296" s="48" t="str">
        <x:f>IF(Searches!$A$191&lt;&gt;"Yes","",Searches!$B$191)</x:f>
      </x:c>
      <x:c r="J296" s="48" t="str">
        <x:f>IF(Searches!$A$191&lt;&gt;"Yes","",Searches!$K$191)</x:f>
      </x:c>
    </x:row>
    <x:row r="297">
      <x:c r="A297" s="48" t="str">
        <x:f>IF(Searches!$A$192&lt;&gt;"Yes","",Searches!$C$192)</x:f>
      </x:c>
      <x:c r="B297" s="48" t="str">
        <x:f>IF(Searches!$A$192&lt;&gt;"Yes","",Searches!$D$192)</x:f>
      </x:c>
      <x:c r="C297" s="48" t="str">
        <x:f>IF(Searches!$A$192&lt;&gt;"Yes","",Searches!$O$192)</x:f>
      </x:c>
      <x:c r="D297" s="48" t="str">
        <x:f>IF(Searches!$A$192&lt;&gt;"Yes","",Searches!$P$192)</x:f>
      </x:c>
      <x:c r="E297" s="48" t="str">
        <x:f>IF(Searches!$A$192&lt;&gt;"Yes","",Searches!$Q$192)</x:f>
      </x:c>
      <x:c r="F297" s="48" t="str">
        <x:f>IF(Searches!$A$192&lt;&gt;"Yes","",Searches!$R$192)</x:f>
      </x:c>
      <x:c r="G297" s="48" t="str">
        <x:f>IF(Searches!$A$192&lt;&gt;"Yes","",Searches!$E$192)</x:f>
      </x:c>
      <x:c r="H297" s="48" t="str">
        <x:f>IF(Searches!$A$192&lt;&gt;"Yes","",Searches!$N$192)</x:f>
      </x:c>
      <x:c r="I297" s="48" t="str">
        <x:f>IF(Searches!$A$192&lt;&gt;"Yes","",Searches!$B$192)</x:f>
      </x:c>
      <x:c r="J297" s="48" t="str">
        <x:f>IF(Searches!$A$192&lt;&gt;"Yes","",Searches!$K$192)</x:f>
      </x:c>
    </x:row>
    <x:row r="298">
      <x:c r="A298" s="48" t="str">
        <x:f>IF(Searches!$A$193&lt;&gt;"Yes","",Searches!$C$193)</x:f>
      </x:c>
      <x:c r="B298" s="48" t="str">
        <x:f>IF(Searches!$A$193&lt;&gt;"Yes","",Searches!$D$193)</x:f>
      </x:c>
      <x:c r="C298" s="48" t="str">
        <x:f>IF(Searches!$A$193&lt;&gt;"Yes","",Searches!$O$193)</x:f>
      </x:c>
      <x:c r="D298" s="48" t="str">
        <x:f>IF(Searches!$A$193&lt;&gt;"Yes","",Searches!$P$193)</x:f>
      </x:c>
      <x:c r="E298" s="48" t="str">
        <x:f>IF(Searches!$A$193&lt;&gt;"Yes","",Searches!$Q$193)</x:f>
      </x:c>
      <x:c r="F298" s="48" t="str">
        <x:f>IF(Searches!$A$193&lt;&gt;"Yes","",Searches!$R$193)</x:f>
      </x:c>
      <x:c r="G298" s="48" t="str">
        <x:f>IF(Searches!$A$193&lt;&gt;"Yes","",Searches!$E$193)</x:f>
      </x:c>
      <x:c r="H298" s="48" t="str">
        <x:f>IF(Searches!$A$193&lt;&gt;"Yes","",Searches!$N$193)</x:f>
      </x:c>
      <x:c r="I298" s="48" t="str">
        <x:f>IF(Searches!$A$193&lt;&gt;"Yes","",Searches!$B$193)</x:f>
      </x:c>
      <x:c r="J298" s="48" t="str">
        <x:f>IF(Searches!$A$193&lt;&gt;"Yes","",Searches!$K$193)</x:f>
      </x:c>
    </x:row>
    <x:row r="299">
      <x:c r="A299" s="48" t="str">
        <x:f>IF(Searches!$A$194&lt;&gt;"Yes","",Searches!$C$194)</x:f>
      </x:c>
      <x:c r="B299" s="48" t="str">
        <x:f>IF(Searches!$A$194&lt;&gt;"Yes","",Searches!$D$194)</x:f>
      </x:c>
      <x:c r="C299" s="48" t="str">
        <x:f>IF(Searches!$A$194&lt;&gt;"Yes","",Searches!$O$194)</x:f>
      </x:c>
      <x:c r="D299" s="48" t="str">
        <x:f>IF(Searches!$A$194&lt;&gt;"Yes","",Searches!$P$194)</x:f>
      </x:c>
      <x:c r="E299" s="48" t="str">
        <x:f>IF(Searches!$A$194&lt;&gt;"Yes","",Searches!$Q$194)</x:f>
      </x:c>
      <x:c r="F299" s="48" t="str">
        <x:f>IF(Searches!$A$194&lt;&gt;"Yes","",Searches!$R$194)</x:f>
      </x:c>
      <x:c r="G299" s="48" t="str">
        <x:f>IF(Searches!$A$194&lt;&gt;"Yes","",Searches!$E$194)</x:f>
      </x:c>
      <x:c r="H299" s="48" t="str">
        <x:f>IF(Searches!$A$194&lt;&gt;"Yes","",Searches!$N$194)</x:f>
      </x:c>
      <x:c r="I299" s="48" t="str">
        <x:f>IF(Searches!$A$194&lt;&gt;"Yes","",Searches!$B$194)</x:f>
      </x:c>
      <x:c r="J299" s="48" t="str">
        <x:f>IF(Searches!$A$194&lt;&gt;"Yes","",Searches!$K$194)</x:f>
      </x:c>
    </x:row>
    <x:row r="300">
      <x:c r="A300" s="48" t="str">
        <x:f>IF(Searches!$A$195&lt;&gt;"Yes","",Searches!$C$195)</x:f>
      </x:c>
      <x:c r="B300" s="48" t="str">
        <x:f>IF(Searches!$A$195&lt;&gt;"Yes","",Searches!$D$195)</x:f>
      </x:c>
      <x:c r="C300" s="48" t="str">
        <x:f>IF(Searches!$A$195&lt;&gt;"Yes","",Searches!$O$195)</x:f>
      </x:c>
      <x:c r="D300" s="48" t="str">
        <x:f>IF(Searches!$A$195&lt;&gt;"Yes","",Searches!$P$195)</x:f>
      </x:c>
      <x:c r="E300" s="48" t="str">
        <x:f>IF(Searches!$A$195&lt;&gt;"Yes","",Searches!$Q$195)</x:f>
      </x:c>
      <x:c r="F300" s="48" t="str">
        <x:f>IF(Searches!$A$195&lt;&gt;"Yes","",Searches!$R$195)</x:f>
      </x:c>
      <x:c r="G300" s="48" t="str">
        <x:f>IF(Searches!$A$195&lt;&gt;"Yes","",Searches!$E$195)</x:f>
      </x:c>
      <x:c r="H300" s="48" t="str">
        <x:f>IF(Searches!$A$195&lt;&gt;"Yes","",Searches!$N$195)</x:f>
      </x:c>
      <x:c r="I300" s="48" t="str">
        <x:f>IF(Searches!$A$195&lt;&gt;"Yes","",Searches!$B$195)</x:f>
      </x:c>
      <x:c r="J300" s="48" t="str">
        <x:f>IF(Searches!$A$195&lt;&gt;"Yes","",Searches!$K$195)</x:f>
      </x:c>
    </x:row>
    <x:row r="301">
      <x:c r="A301" s="48" t="str">
        <x:f>IF(Searches!$A$196&lt;&gt;"Yes","",Searches!$C$196)</x:f>
      </x:c>
      <x:c r="B301" s="48" t="str">
        <x:f>IF(Searches!$A$196&lt;&gt;"Yes","",Searches!$D$196)</x:f>
      </x:c>
      <x:c r="C301" s="48" t="str">
        <x:f>IF(Searches!$A$196&lt;&gt;"Yes","",Searches!$O$196)</x:f>
      </x:c>
      <x:c r="D301" s="48" t="str">
        <x:f>IF(Searches!$A$196&lt;&gt;"Yes","",Searches!$P$196)</x:f>
      </x:c>
      <x:c r="E301" s="48" t="str">
        <x:f>IF(Searches!$A$196&lt;&gt;"Yes","",Searches!$Q$196)</x:f>
      </x:c>
      <x:c r="F301" s="48" t="str">
        <x:f>IF(Searches!$A$196&lt;&gt;"Yes","",Searches!$R$196)</x:f>
      </x:c>
      <x:c r="G301" s="48" t="str">
        <x:f>IF(Searches!$A$196&lt;&gt;"Yes","",Searches!$E$196)</x:f>
      </x:c>
      <x:c r="H301" s="48" t="str">
        <x:f>IF(Searches!$A$196&lt;&gt;"Yes","",Searches!$N$196)</x:f>
      </x:c>
      <x:c r="I301" s="48" t="str">
        <x:f>IF(Searches!$A$196&lt;&gt;"Yes","",Searches!$B$196)</x:f>
      </x:c>
      <x:c r="J301" s="48" t="str">
        <x:f>IF(Searches!$A$196&lt;&gt;"Yes","",Searches!$K$196)</x:f>
      </x:c>
    </x:row>
    <x:row r="302">
      <x:c r="A302" s="48" t="str">
        <x:f>IF(Searches!$A$197&lt;&gt;"Yes","",Searches!$C$197)</x:f>
      </x:c>
      <x:c r="B302" s="48" t="str">
        <x:f>IF(Searches!$A$197&lt;&gt;"Yes","",Searches!$D$197)</x:f>
      </x:c>
      <x:c r="C302" s="48" t="str">
        <x:f>IF(Searches!$A$197&lt;&gt;"Yes","",Searches!$O$197)</x:f>
      </x:c>
      <x:c r="D302" s="48" t="str">
        <x:f>IF(Searches!$A$197&lt;&gt;"Yes","",Searches!$P$197)</x:f>
      </x:c>
      <x:c r="E302" s="48" t="str">
        <x:f>IF(Searches!$A$197&lt;&gt;"Yes","",Searches!$Q$197)</x:f>
      </x:c>
      <x:c r="F302" s="48" t="str">
        <x:f>IF(Searches!$A$197&lt;&gt;"Yes","",Searches!$R$197)</x:f>
      </x:c>
      <x:c r="G302" s="48" t="str">
        <x:f>IF(Searches!$A$197&lt;&gt;"Yes","",Searches!$E$197)</x:f>
      </x:c>
      <x:c r="H302" s="48" t="str">
        <x:f>IF(Searches!$A$197&lt;&gt;"Yes","",Searches!$N$197)</x:f>
      </x:c>
      <x:c r="I302" s="48" t="str">
        <x:f>IF(Searches!$A$197&lt;&gt;"Yes","",Searches!$B$197)</x:f>
      </x:c>
      <x:c r="J302" s="48" t="str">
        <x:f>IF(Searches!$A$197&lt;&gt;"Yes","",Searches!$K$197)</x:f>
      </x:c>
    </x:row>
    <x:row r="303">
      <x:c r="A303" s="48" t="str">
        <x:f>IF(Searches!$A$198&lt;&gt;"Yes","",Searches!$C$198)</x:f>
      </x:c>
      <x:c r="B303" s="48" t="str">
        <x:f>IF(Searches!$A$198&lt;&gt;"Yes","",Searches!$D$198)</x:f>
      </x:c>
      <x:c r="C303" s="48" t="str">
        <x:f>IF(Searches!$A$198&lt;&gt;"Yes","",Searches!$O$198)</x:f>
      </x:c>
      <x:c r="D303" s="48" t="str">
        <x:f>IF(Searches!$A$198&lt;&gt;"Yes","",Searches!$P$198)</x:f>
      </x:c>
      <x:c r="E303" s="48" t="str">
        <x:f>IF(Searches!$A$198&lt;&gt;"Yes","",Searches!$Q$198)</x:f>
      </x:c>
      <x:c r="F303" s="48" t="str">
        <x:f>IF(Searches!$A$198&lt;&gt;"Yes","",Searches!$R$198)</x:f>
      </x:c>
      <x:c r="G303" s="48" t="str">
        <x:f>IF(Searches!$A$198&lt;&gt;"Yes","",Searches!$E$198)</x:f>
      </x:c>
      <x:c r="H303" s="48" t="str">
        <x:f>IF(Searches!$A$198&lt;&gt;"Yes","",Searches!$N$198)</x:f>
      </x:c>
      <x:c r="I303" s="48" t="str">
        <x:f>IF(Searches!$A$198&lt;&gt;"Yes","",Searches!$B$198)</x:f>
      </x:c>
      <x:c r="J303" s="48" t="str">
        <x:f>IF(Searches!$A$198&lt;&gt;"Yes","",Searches!$K$198)</x:f>
      </x:c>
    </x:row>
    <x:row r="304">
      <x:c r="A304" s="48" t="str">
        <x:f>IF(Searches!$A$199&lt;&gt;"Yes","",Searches!$C$199)</x:f>
      </x:c>
      <x:c r="B304" s="48" t="str">
        <x:f>IF(Searches!$A$199&lt;&gt;"Yes","",Searches!$D$199)</x:f>
      </x:c>
      <x:c r="C304" s="48" t="str">
        <x:f>IF(Searches!$A$199&lt;&gt;"Yes","",Searches!$O$199)</x:f>
      </x:c>
      <x:c r="D304" s="48" t="str">
        <x:f>IF(Searches!$A$199&lt;&gt;"Yes","",Searches!$P$199)</x:f>
      </x:c>
      <x:c r="E304" s="48" t="str">
        <x:f>IF(Searches!$A$199&lt;&gt;"Yes","",Searches!$Q$199)</x:f>
      </x:c>
      <x:c r="F304" s="48" t="str">
        <x:f>IF(Searches!$A$199&lt;&gt;"Yes","",Searches!$R$199)</x:f>
      </x:c>
      <x:c r="G304" s="48" t="str">
        <x:f>IF(Searches!$A$199&lt;&gt;"Yes","",Searches!$E$199)</x:f>
      </x:c>
      <x:c r="H304" s="48" t="str">
        <x:f>IF(Searches!$A$199&lt;&gt;"Yes","",Searches!$N$199)</x:f>
      </x:c>
      <x:c r="I304" s="48" t="str">
        <x:f>IF(Searches!$A$199&lt;&gt;"Yes","",Searches!$B$199)</x:f>
      </x:c>
      <x:c r="J304" s="48" t="str">
        <x:f>IF(Searches!$A$199&lt;&gt;"Yes","",Searches!$K$199)</x:f>
      </x:c>
    </x:row>
    <x:row r="305">
      <x:c r="A305" s="48" t="str">
        <x:f>IF(Searches!$A$200&lt;&gt;"Yes","",Searches!$C$200)</x:f>
      </x:c>
      <x:c r="B305" s="48" t="str">
        <x:f>IF(Searches!$A$200&lt;&gt;"Yes","",Searches!$D$200)</x:f>
      </x:c>
      <x:c r="C305" s="48" t="str">
        <x:f>IF(Searches!$A$200&lt;&gt;"Yes","",Searches!$O$200)</x:f>
      </x:c>
      <x:c r="D305" s="48" t="str">
        <x:f>IF(Searches!$A$200&lt;&gt;"Yes","",Searches!$P$200)</x:f>
      </x:c>
      <x:c r="E305" s="48" t="str">
        <x:f>IF(Searches!$A$200&lt;&gt;"Yes","",Searches!$Q$200)</x:f>
      </x:c>
      <x:c r="F305" s="48" t="str">
        <x:f>IF(Searches!$A$200&lt;&gt;"Yes","",Searches!$R$200)</x:f>
      </x:c>
      <x:c r="G305" s="48" t="str">
        <x:f>IF(Searches!$A$200&lt;&gt;"Yes","",Searches!$E$200)</x:f>
      </x:c>
      <x:c r="H305" s="48" t="str">
        <x:f>IF(Searches!$A$200&lt;&gt;"Yes","",Searches!$N$200)</x:f>
      </x:c>
      <x:c r="I305" s="48" t="str">
        <x:f>IF(Searches!$A$200&lt;&gt;"Yes","",Searches!$B$200)</x:f>
      </x:c>
      <x:c r="J305" s="48" t="str">
        <x:f>IF(Searches!$A$200&lt;&gt;"Yes","",Searches!$K$200)</x:f>
      </x:c>
    </x:row>
    <x:row r="306">
      <x:c r="A306" s="48" t="str">
        <x:f>IF(Searches!$A$201&lt;&gt;"Yes","",Searches!$C$201)</x:f>
      </x:c>
      <x:c r="B306" s="48" t="str">
        <x:f>IF(Searches!$A$201&lt;&gt;"Yes","",Searches!$D$201)</x:f>
      </x:c>
      <x:c r="C306" s="48" t="str">
        <x:f>IF(Searches!$A$201&lt;&gt;"Yes","",Searches!$O$201)</x:f>
      </x:c>
      <x:c r="D306" s="48" t="str">
        <x:f>IF(Searches!$A$201&lt;&gt;"Yes","",Searches!$P$201)</x:f>
      </x:c>
      <x:c r="E306" s="48" t="str">
        <x:f>IF(Searches!$A$201&lt;&gt;"Yes","",Searches!$Q$201)</x:f>
      </x:c>
      <x:c r="F306" s="48" t="str">
        <x:f>IF(Searches!$A$201&lt;&gt;"Yes","",Searches!$R$201)</x:f>
      </x:c>
      <x:c r="G306" s="48" t="str">
        <x:f>IF(Searches!$A$201&lt;&gt;"Yes","",Searches!$E$201)</x:f>
      </x:c>
      <x:c r="H306" s="48" t="str">
        <x:f>IF(Searches!$A$201&lt;&gt;"Yes","",Searches!$N$201)</x:f>
      </x:c>
      <x:c r="I306" s="48" t="str">
        <x:f>IF(Searches!$A$201&lt;&gt;"Yes","",Searches!$B$201)</x:f>
      </x:c>
      <x:c r="J306" s="48" t="str">
        <x:f>IF(Searches!$A$201&lt;&gt;"Yes","",Searches!$K$201)</x:f>
      </x:c>
    </x:row>
    <x:row r="307">
      <x:c r="A307" s="48" t="str">
        <x:f>IF(Searches!$A$202&lt;&gt;"Yes","",Searches!$C$202)</x:f>
      </x:c>
      <x:c r="B307" s="48" t="str">
        <x:f>IF(Searches!$A$202&lt;&gt;"Yes","",Searches!$D$202)</x:f>
      </x:c>
      <x:c r="C307" s="48" t="str">
        <x:f>IF(Searches!$A$202&lt;&gt;"Yes","",Searches!$O$202)</x:f>
      </x:c>
      <x:c r="D307" s="48" t="str">
        <x:f>IF(Searches!$A$202&lt;&gt;"Yes","",Searches!$P$202)</x:f>
      </x:c>
      <x:c r="E307" s="48" t="str">
        <x:f>IF(Searches!$A$202&lt;&gt;"Yes","",Searches!$Q$202)</x:f>
      </x:c>
      <x:c r="F307" s="48" t="str">
        <x:f>IF(Searches!$A$202&lt;&gt;"Yes","",Searches!$R$202)</x:f>
      </x:c>
      <x:c r="G307" s="48" t="str">
        <x:f>IF(Searches!$A$202&lt;&gt;"Yes","",Searches!$E$202)</x:f>
      </x:c>
      <x:c r="H307" s="48" t="str">
        <x:f>IF(Searches!$A$202&lt;&gt;"Yes","",Searches!$N$202)</x:f>
      </x:c>
      <x:c r="I307" s="48" t="str">
        <x:f>IF(Searches!$A$202&lt;&gt;"Yes","",Searches!$B$202)</x:f>
      </x:c>
      <x:c r="J307" s="48" t="str">
        <x:f>IF(Searches!$A$202&lt;&gt;"Yes","",Searches!$K$202)</x:f>
      </x:c>
    </x:row>
    <x:row r="308">
      <x:c r="A308" s="48" t="str">
        <x:f>IF(Searches!$A$203&lt;&gt;"Yes","",Searches!$C$203)</x:f>
      </x:c>
      <x:c r="B308" s="48" t="str">
        <x:f>IF(Searches!$A$203&lt;&gt;"Yes","",Searches!$D$203)</x:f>
      </x:c>
      <x:c r="C308" s="48" t="str">
        <x:f>IF(Searches!$A$203&lt;&gt;"Yes","",Searches!$O$203)</x:f>
      </x:c>
      <x:c r="D308" s="48" t="str">
        <x:f>IF(Searches!$A$203&lt;&gt;"Yes","",Searches!$P$203)</x:f>
      </x:c>
      <x:c r="E308" s="48" t="str">
        <x:f>IF(Searches!$A$203&lt;&gt;"Yes","",Searches!$Q$203)</x:f>
      </x:c>
      <x:c r="F308" s="48" t="str">
        <x:f>IF(Searches!$A$203&lt;&gt;"Yes","",Searches!$R$203)</x:f>
      </x:c>
      <x:c r="G308" s="48" t="str">
        <x:f>IF(Searches!$A$203&lt;&gt;"Yes","",Searches!$E$203)</x:f>
      </x:c>
      <x:c r="H308" s="48" t="str">
        <x:f>IF(Searches!$A$203&lt;&gt;"Yes","",Searches!$N$203)</x:f>
      </x:c>
      <x:c r="I308" s="48" t="str">
        <x:f>IF(Searches!$A$203&lt;&gt;"Yes","",Searches!$B$203)</x:f>
      </x:c>
      <x:c r="J308" s="48" t="str">
        <x:f>IF(Searches!$A$203&lt;&gt;"Yes","",Searches!$K$203)</x:f>
      </x:c>
    </x:row>
    <x:row r="309">
      <x:c r="A309" s="48" t="str">
        <x:f>IF(Searches!$A$204&lt;&gt;"Yes","",Searches!$C$204)</x:f>
      </x:c>
      <x:c r="B309" s="48" t="str">
        <x:f>IF(Searches!$A$204&lt;&gt;"Yes","",Searches!$D$204)</x:f>
      </x:c>
      <x:c r="C309" s="48" t="str">
        <x:f>IF(Searches!$A$204&lt;&gt;"Yes","",Searches!$O$204)</x:f>
      </x:c>
      <x:c r="D309" s="48" t="str">
        <x:f>IF(Searches!$A$204&lt;&gt;"Yes","",Searches!$P$204)</x:f>
      </x:c>
      <x:c r="E309" s="48" t="str">
        <x:f>IF(Searches!$A$204&lt;&gt;"Yes","",Searches!$Q$204)</x:f>
      </x:c>
      <x:c r="F309" s="48" t="str">
        <x:f>IF(Searches!$A$204&lt;&gt;"Yes","",Searches!$R$204)</x:f>
      </x:c>
      <x:c r="G309" s="48" t="str">
        <x:f>IF(Searches!$A$204&lt;&gt;"Yes","",Searches!$E$204)</x:f>
      </x:c>
      <x:c r="H309" s="48" t="str">
        <x:f>IF(Searches!$A$204&lt;&gt;"Yes","",Searches!$N$204)</x:f>
      </x:c>
      <x:c r="I309" s="48" t="str">
        <x:f>IF(Searches!$A$204&lt;&gt;"Yes","",Searches!$B$204)</x:f>
      </x:c>
      <x:c r="J309" s="48" t="str">
        <x:f>IF(Searches!$A$204&lt;&gt;"Yes","",Searches!$K$204)</x:f>
      </x:c>
    </x:row>
    <x:row r="310">
      <x:c r="A310" s="48" t="str">
        <x:f>IF(Searches!$A$205&lt;&gt;"Yes","",Searches!$C$205)</x:f>
      </x:c>
      <x:c r="B310" s="48" t="str">
        <x:f>IF(Searches!$A$205&lt;&gt;"Yes","",Searches!$D$205)</x:f>
      </x:c>
      <x:c r="C310" s="48" t="str">
        <x:f>IF(Searches!$A$205&lt;&gt;"Yes","",Searches!$O$205)</x:f>
      </x:c>
      <x:c r="D310" s="48" t="str">
        <x:f>IF(Searches!$A$205&lt;&gt;"Yes","",Searches!$P$205)</x:f>
      </x:c>
      <x:c r="E310" s="48" t="str">
        <x:f>IF(Searches!$A$205&lt;&gt;"Yes","",Searches!$Q$205)</x:f>
      </x:c>
      <x:c r="F310" s="48" t="str">
        <x:f>IF(Searches!$A$205&lt;&gt;"Yes","",Searches!$R$205)</x:f>
      </x:c>
      <x:c r="G310" s="48" t="str">
        <x:f>IF(Searches!$A$205&lt;&gt;"Yes","",Searches!$E$205)</x:f>
      </x:c>
      <x:c r="H310" s="48" t="str">
        <x:f>IF(Searches!$A$205&lt;&gt;"Yes","",Searches!$N$205)</x:f>
      </x:c>
      <x:c r="I310" s="48" t="str">
        <x:f>IF(Searches!$A$205&lt;&gt;"Yes","",Searches!$B$205)</x:f>
      </x:c>
      <x:c r="J310" s="48" t="str">
        <x:f>IF(Searches!$A$205&lt;&gt;"Yes","",Searches!$K$205)</x:f>
      </x:c>
    </x:row>
  </x:sheetData>
  <x:mergeCells>
    <x:mergeCell ref="A1:J1"/>
    <x:mergeCell ref="A2:J3"/>
    <x:mergeCell ref="A5:D5"/>
    <x:mergeCell ref="F5:J5"/>
    <x:mergeCell ref="A109:J109"/>
    <x:mergeCell ref="A2:J2"/>
    <x:mergeCell ref="L1:Q1"/>
    <x:mergeCell ref="L2:Q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4" hidden="0" customWidth="1"/>
    <x:col min="3" max="3" width="4" hidden="0" customWidth="1"/>
    <x:col min="4" max="4" width="24" hidden="0" customWidth="1"/>
    <x:col min="5" max="5" width="52" hidden="0" customWidth="1"/>
    <x:col min="6" max="6" width="40" hidden="0" customWidth="1"/>
    <x:col min="26" max="26" width="0.10000000149011612" hidden="0" customWidth="1"/>
    <x:col min="27" max="27" width="0.10000000149011612" hidden="0" customWidth="1"/>
    <x:col min="28" max="28" width="0.10000000149011612" hidden="0" customWidth="1"/>
    <x:col min="29" max="29" width="0.10000000149011612" hidden="0" customWidth="1"/>
    <x:col min="30" max="30" width="0.10000000149011612" hidden="0" customWidth="1"/>
  </x:cols>
  <x:sheetData>
    <x:row r="1">
      <x:c r="A1" s="88" t="str">
        <x:v>Generator / Debugger</x:v>
      </x:c>
      <x:c r="B1" s="88"/>
      <x:c r="C1" s="88"/>
      <x:c r="D1" s="88"/>
      <x:c r="E1" s="88"/>
      <x:c r="F1" s="88"/>
    </x:row>
    <x:row r="2">
      <x:c r="A2" s="71" t="str">
        <x:v>Pick a NOC / main location, then pick one of the Locations managed by that NOC, then choose a Search. The selected child Location supplies the host/IP scope used by standalone tests and dashboard $scope$ output.</x:v>
      </x:c>
      <x:c r="B2" s="71"/>
      <x:c r="C2" s="71"/>
      <x:c r="D2" s="71"/>
      <x:c r="E2" s="71"/>
      <x:c r="F2" s="71"/>
    </x:row>
    <x:row r="3">
      <x:c r="A3" s="10"/>
      <x:c r="B3" s="10"/>
      <x:c r="C3" s="10"/>
      <x:c r="D3" s="10"/>
      <x:c r="E3" s="10"/>
      <x:c r="F3" s="10"/>
    </x:row>
    <x:row r="4">
      <x:c r="A4" s="24"/>
      <x:c r="B4" s="24"/>
      <x:c r="C4" s="24"/>
      <x:c r="D4" s="24"/>
      <x:c r="E4" s="24"/>
      <x:c r="F4" s="24"/>
    </x:row>
    <x:row r="5">
      <x:c r="A5" s="139" t="str">
        <x:v>Selection</x:v>
      </x:c>
      <x:c r="B5" s="140" t="str">
        <x:v>Value</x:v>
      </x:c>
      <x:c r="C5" s="24"/>
      <x:c r="D5" s="139" t="str">
        <x:v>Resolved relationship</x:v>
      </x:c>
      <x:c r="E5" s="145" t="str">
        <x:v>Value</x:v>
      </x:c>
      <x:c r="F5" s="140" t="str">
        <x:v>Why it matters</x:v>
      </x:c>
      <x:c r="Z5" t="str">
        <x:v>Enabled NOCs (helper)</x:v>
      </x:c>
      <x:c r="AA5" t="str">
        <x:v>Managed Locations (helper)</x:v>
      </x:c>
      <x:c r="AB5" t="str">
        <x:v>Location ID (helper)</x:v>
      </x:c>
      <x:c r="AC5" t="str">
        <x:v>Scope (helper)</x:v>
      </x:c>
      <x:c r="AD5" t="str">
        <x:v>Status (helper)</x:v>
      </x:c>
    </x:row>
    <x:row r="6">
      <x:c r="A6" s="141" t="str">
        <x:v>NOC / Main Location</x:v>
      </x:c>
      <x:c r="B6" s="142" t="str">
        <x:v>Current / Sample NOC</x:v>
      </x:c>
      <x:c r="C6" s="24"/>
      <x:c r="D6" s="141" t="str">
        <x:v>NOC ID</x:v>
      </x:c>
      <x:c r="E6" s="146" t="str">
        <x:f>IF($B$6="","",IFERROR(INDEX(NOCs!$B$5:$B$44,MATCH($B$6,NOCs!$C$5:$C$44,0)),""))</x:f>
        <x:v>NOC_CURRENT</x:v>
      </x:c>
      <x:c r="F6" s="147" t="str">
        <x:v>Stable parent ID.</x:v>
      </x:c>
      <x:c r="Z6" t="str">
        <x:f>NOCs!O5</x:f>
        <x:v>Current / Sample NOC</x:v>
      </x:c>
      <x:c r="AA6" t="str">
        <x:f>IF($E$6="","",IFERROR(VLOOKUP($E$6&amp;"|"&amp;TEXT(ROW()-5,"000"),Locations!$L$5:$T$64,4,FALSE),""))</x:f>
        <x:v>Current Draft Scope</x:v>
      </x:c>
      <x:c r="AB6" t="str">
        <x:f>IF($E$6="","",IFERROR(VLOOKUP($E$6&amp;"|"&amp;TEXT(ROW()-5,"000"),Locations!$L$5:$T$64,7,FALSE),""))</x:f>
        <x:v>LOC_CURRENT</x:v>
      </x:c>
      <x:c r="AC6" t="str">
        <x:f>IF($E$6="","",IFERROR(VLOOKUP($E$6&amp;"|"&amp;TEXT(ROW()-5,"000"),Locations!$L$5:$T$64,2,FALSE),""))</x:f>
        <x:v>(host="syr*" OR host="salep*" OR host="144.219.*" OR host="144.221.*")</x:v>
      </x:c>
      <x:c r="AD6" t="str">
        <x:f>IF($E$6="","",IFERROR(VLOOKUP($E$6&amp;"|"&amp;TEXT(ROW()-5,"000"),Locations!$L$5:$T$64,9,FALSE),""))</x:f>
        <x:v>OK</x:v>
      </x:c>
    </x:row>
    <x:row r="7">
      <x:c r="A7" s="141" t="str">
        <x:v>Managed Site / Location</x:v>
      </x:c>
      <x:c r="B7" s="142" t="str">
        <x:v>Current Draft Scope</x:v>
      </x:c>
      <x:c r="C7" s="24"/>
      <x:c r="D7" s="141" t="str">
        <x:v>Location ID</x:v>
      </x:c>
      <x:c r="E7" s="146" t="str">
        <x:f>IF(OR($E$6="",$B$7=""),"",IFERROR(VLOOKUP($B$7,$AA$6:$AD$65,2,FALSE),""))</x:f>
        <x:v>LOC_CURRENT</x:v>
      </x:c>
      <x:c r="F7" s="147" t="str">
        <x:v>The second dropdown only lists enabled Locations assigned to the selected NOC.</x:v>
      </x:c>
      <x:c r="Z7" t="str">
        <x:f>NOCs!O6</x:f>
      </x:c>
      <x:c r="AA7" t="str">
        <x:f>IF($E$6="","",IFERROR(VLOOKUP($E$6&amp;"|"&amp;TEXT(ROW()-5,"000"),Locations!$L$5:$T$64,4,FALSE),""))</x:f>
      </x:c>
      <x:c r="AB7" t="str">
        <x:f>IF($E$6="","",IFERROR(VLOOKUP($E$6&amp;"|"&amp;TEXT(ROW()-5,"000"),Locations!$L$5:$T$64,7,FALSE),""))</x:f>
      </x:c>
      <x:c r="AC7" t="str">
        <x:f>IF($E$6="","",IFERROR(VLOOKUP($E$6&amp;"|"&amp;TEXT(ROW()-5,"000"),Locations!$L$5:$T$64,2,FALSE),""))</x:f>
      </x:c>
      <x:c r="AD7" t="str">
        <x:f>IF($E$6="","",IFERROR(VLOOKUP($E$6&amp;"|"&amp;TEXT(ROW()-5,"000"),Locations!$L$5:$T$64,9,FALSE),""))</x:f>
      </x:c>
    </x:row>
    <x:row r="8">
      <x:c r="A8" s="141" t="str">
        <x:v>Search</x:v>
      </x:c>
      <x:c r="B8" s="142" t="str">
        <x:v>Interface Up / Down</x:v>
      </x:c>
      <x:c r="C8" s="24"/>
      <x:c r="D8" s="141" t="str">
        <x:v>Resolved scope</x:v>
      </x:c>
      <x:c r="E8" s="146" t="str">
        <x:f>IF(OR($E$6="",$B$7=""),"",IFERROR(VLOOKUP($B$7,$AA$6:$AD$65,3,FALSE),""))</x:f>
        <x:v>(host="syr*" OR host="salep*" OR host="144.219.*" OR host="144.221.*")</x:v>
      </x:c>
      <x:c r="F8" s="147" t="str">
        <x:v>Actual SPL scope used in standalone tests.</x:v>
      </x:c>
      <x:c r="Z8" t="str">
        <x:f>NOCs!O7</x:f>
      </x:c>
      <x:c r="AA8" t="str">
        <x:f>IF($E$6="","",IFERROR(VLOOKUP($E$6&amp;"|"&amp;TEXT(ROW()-5,"000"),Locations!$L$5:$T$64,4,FALSE),""))</x:f>
      </x:c>
      <x:c r="AB8" t="str">
        <x:f>IF($E$6="","",IFERROR(VLOOKUP($E$6&amp;"|"&amp;TEXT(ROW()-5,"000"),Locations!$L$5:$T$64,7,FALSE),""))</x:f>
      </x:c>
      <x:c r="AC8" t="str">
        <x:f>IF($E$6="","",IFERROR(VLOOKUP($E$6&amp;"|"&amp;TEXT(ROW()-5,"000"),Locations!$L$5:$T$64,2,FALSE),""))</x:f>
      </x:c>
      <x:c r="AD8" t="str">
        <x:f>IF($E$6="","",IFERROR(VLOOKUP($E$6&amp;"|"&amp;TEXT(ROW()-5,"000"),Locations!$L$5:$T$64,9,FALSE),""))</x:f>
      </x:c>
    </x:row>
    <x:row r="9">
      <x:c r="A9" s="141" t="str">
        <x:v>Debug time mode</x:v>
      </x:c>
      <x:c r="B9" s="142" t="str">
        <x:v>Search UI / Dashboard</x:v>
      </x:c>
      <x:c r="C9" s="24"/>
      <x:c r="D9" s="141" t="str">
        <x:v>Scope validation</x:v>
      </x:c>
      <x:c r="E9" s="146" t="str">
        <x:f>IF($E$6="","Select a NOC / Main Location",IF($B$7="","Select a managed Site / Location",IFERROR(IF(VLOOKUP($B$7,$AA$6:$AD$65,4,FALSE)="OK","OK","WARNING — "&amp;VLOOKUP($B$7,$AA$6:$AD$65,4,FALSE)),"RESELECT SITE — it is not managed by this NOC")))</x:f>
        <x:v>OK</x:v>
      </x:c>
      <x:c r="F9" s="147" t="str">
        <x:v>Confirms the Location belongs to the selected NOC.</x:v>
      </x:c>
      <x:c r="Z9" t="str">
        <x:f>NOCs!O8</x:f>
      </x:c>
      <x:c r="AA9" t="str">
        <x:f>IF($E$6="","",IFERROR(VLOOKUP($E$6&amp;"|"&amp;TEXT(ROW()-5,"000"),Locations!$L$5:$T$64,4,FALSE),""))</x:f>
      </x:c>
      <x:c r="AB9" t="str">
        <x:f>IF($E$6="","",IFERROR(VLOOKUP($E$6&amp;"|"&amp;TEXT(ROW()-5,"000"),Locations!$L$5:$T$64,7,FALSE),""))</x:f>
      </x:c>
      <x:c r="AC9" t="str">
        <x:f>IF($E$6="","",IFERROR(VLOOKUP($E$6&amp;"|"&amp;TEXT(ROW()-5,"000"),Locations!$L$5:$T$64,2,FALSE),""))</x:f>
      </x:c>
      <x:c r="AD9" t="str">
        <x:f>IF($E$6="","",IFERROR(VLOOKUP($E$6&amp;"|"&amp;TEXT(ROW()-5,"000"),Locations!$L$5:$T$64,9,FALSE),""))</x:f>
      </x:c>
    </x:row>
    <x:row r="10">
      <x:c r="A10" s="143" t="str">
        <x:v>Fixed window</x:v>
      </x:c>
      <x:c r="B10" s="144" t="str">
        <x:v>4h</x:v>
      </x:c>
      <x:c r="C10" s="24"/>
      <x:c r="D10" s="141" t="str">
        <x:v>Parent base</x:v>
      </x:c>
      <x:c r="E10" s="146" t="str">
        <x:f>IF($B$8="","",IFERROR(INDEX(Searches!$F$6:$F$205,MATCH($B$8,Searches!$C$6:$C$205,0)),""))</x:f>
        <x:v>B_INTERFACE</x:v>
      </x:c>
      <x:c r="F10" s="147" t="str">
        <x:v>Event family that collects the raw events.</x:v>
      </x:c>
      <x:c r="Z10" t="str">
        <x:f>NOCs!O9</x:f>
      </x:c>
      <x:c r="AA10" t="str">
        <x:f>IF($E$6="","",IFERROR(VLOOKUP($E$6&amp;"|"&amp;TEXT(ROW()-5,"000"),Locations!$L$5:$T$64,4,FALSE),""))</x:f>
      </x:c>
      <x:c r="AB10" t="str">
        <x:f>IF($E$6="","",IFERROR(VLOOKUP($E$6&amp;"|"&amp;TEXT(ROW()-5,"000"),Locations!$L$5:$T$64,7,FALSE),""))</x:f>
      </x:c>
      <x:c r="AC10" t="str">
        <x:f>IF($E$6="","",IFERROR(VLOOKUP($E$6&amp;"|"&amp;TEXT(ROW()-5,"000"),Locations!$L$5:$T$64,2,FALSE),""))</x:f>
      </x:c>
      <x:c r="AD10" t="str">
        <x:f>IF($E$6="","",IFERROR(VLOOKUP($E$6&amp;"|"&amp;TEXT(ROW()-5,"000"),Locations!$L$5:$T$64,9,FALSE),""))</x:f>
      </x:c>
    </x:row>
    <x:row r="11">
      <x:c r="A11" s="24"/>
      <x:c r="B11" s="24"/>
      <x:c r="C11" s="24"/>
      <x:c r="D11" s="141" t="str">
        <x:v>Parent search</x:v>
      </x:c>
      <x:c r="E11" s="148" t="str">
        <x:f>IF($B$8="","",IFERROR(INDEX(Searches!$G$6:$G$205,MATCH($B$8,Searches!$C$6:$C$205,0)),""))</x:f>
        <x:v>S_IFACE_PARSE</x:v>
      </x:c>
      <x:c r="F11" s="149" t="str">
        <x:v>Blank = direct child of base; populated = helper chain.</x:v>
      </x:c>
      <x:c r="Z11" t="str">
        <x:f>NOCs!O10</x:f>
      </x:c>
      <x:c r="AA11" t="str">
        <x:f>IF($E$6="","",IFERROR(VLOOKUP($E$6&amp;"|"&amp;TEXT(ROW()-5,"000"),Locations!$L$5:$T$64,4,FALSE),""))</x:f>
      </x:c>
      <x:c r="AB11" t="str">
        <x:f>IF($E$6="","",IFERROR(VLOOKUP($E$6&amp;"|"&amp;TEXT(ROW()-5,"000"),Locations!$L$5:$T$64,7,FALSE),""))</x:f>
      </x:c>
      <x:c r="AC11" t="str">
        <x:f>IF($E$6="","",IFERROR(VLOOKUP($E$6&amp;"|"&amp;TEXT(ROW()-5,"000"),Locations!$L$5:$T$64,2,FALSE),""))</x:f>
      </x:c>
      <x:c r="AD11" t="str">
        <x:f>IF($E$6="","",IFERROR(VLOOKUP($E$6&amp;"|"&amp;TEXT(ROW()-5,"000"),Locations!$L$5:$T$64,9,FALSE),""))</x:f>
      </x:c>
    </x:row>
    <x:row r="12">
      <x:c r="A12" s="89"/>
      <x:c r="B12" s="89"/>
      <x:c r="C12" s="89"/>
      <x:c r="D12" s="150" t="str">
        <x:v>Parent data source</x:v>
      </x:c>
      <x:c r="E12" s="151" t="str">
        <x:f>IF($B$8="","",IFERROR(INDEX(Searches!$P$6:$P$205,MATCH($B$8,Searches!$C$6:$C$205,0)),""))</x:f>
        <x:v>ds_iface_parse</x:v>
      </x:c>
      <x:c r="F12" s="152" t="str">
        <x:v>Attach selected chain to this source in Dashboard Studio.</x:v>
      </x:c>
      <x:c r="Z12" t="str">
        <x:f>NOCs!O11</x:f>
      </x:c>
      <x:c r="AA12" t="str">
        <x:f>IF($E$6="","",IFERROR(VLOOKUP($E$6&amp;"|"&amp;TEXT(ROW()-5,"000"),Locations!$L$5:$T$64,4,FALSE),""))</x:f>
      </x:c>
      <x:c r="AB12" t="str">
        <x:f>IF($E$6="","",IFERROR(VLOOKUP($E$6&amp;"|"&amp;TEXT(ROW()-5,"000"),Locations!$L$5:$T$64,7,FALSE),""))</x:f>
      </x:c>
      <x:c r="AC12" t="str">
        <x:f>IF($E$6="","",IFERROR(VLOOKUP($E$6&amp;"|"&amp;TEXT(ROW()-5,"000"),Locations!$L$5:$T$64,2,FALSE),""))</x:f>
      </x:c>
      <x:c r="AD12" t="str">
        <x:f>IF($E$6="","",IFERROR(VLOOKUP($E$6&amp;"|"&amp;TEXT(ROW()-5,"000"),Locations!$L$5:$T$64,9,FALSE),""))</x:f>
      </x:c>
    </x:row>
    <x:row r="13">
      <x:c r="A13" s="48"/>
      <x:c r="B13" s="48"/>
      <x:c r="C13" s="48"/>
      <x:c r="D13" s="153" t="str">
        <x:v>Search data source</x:v>
      </x:c>
      <x:c r="E13" s="154" t="str">
        <x:f>IF($B$8="","",IFERROR(INDEX(Searches!$O$6:$O$205,MATCH($B$8,Searches!$C$6:$C$205,0)),""))</x:f>
        <x:v>ds_iface_detail</x:v>
      </x:c>
      <x:c r="F13" s="155" t="str">
        <x:v>Stable data source ID for the selected search.</x:v>
      </x:c>
      <x:c r="Z13" t="str">
        <x:f>NOCs!O12</x:f>
      </x:c>
      <x:c r="AA13" t="str">
        <x:f>IF($E$6="","",IFERROR(VLOOKUP($E$6&amp;"|"&amp;TEXT(ROW()-5,"000"),Locations!$L$5:$T$64,4,FALSE),""))</x:f>
      </x:c>
      <x:c r="AB13" t="str">
        <x:f>IF($E$6="","",IFERROR(VLOOKUP($E$6&amp;"|"&amp;TEXT(ROW()-5,"000"),Locations!$L$5:$T$64,7,FALSE),""))</x:f>
      </x:c>
      <x:c r="AC13" t="str">
        <x:f>IF($E$6="","",IFERROR(VLOOKUP($E$6&amp;"|"&amp;TEXT(ROW()-5,"000"),Locations!$L$5:$T$64,2,FALSE),""))</x:f>
      </x:c>
      <x:c r="AD13" t="str">
        <x:f>IF($E$6="","",IFERROR(VLOOKUP($E$6&amp;"|"&amp;TEXT(ROW()-5,"000"),Locations!$L$5:$T$64,9,FALSE),""))</x:f>
      </x:c>
    </x:row>
    <x:row r="14">
      <x:c r="A14" s="48"/>
      <x:c r="B14" s="48"/>
      <x:c r="C14" s="48"/>
      <x:c r="D14" s="48"/>
      <x:c r="E14" s="48"/>
      <x:c r="F14" s="48"/>
      <x:c r="Z14" t="str">
        <x:f>NOCs!O13</x:f>
      </x:c>
      <x:c r="AA14" t="str">
        <x:f>IF($E$6="","",IFERROR(VLOOKUP($E$6&amp;"|"&amp;TEXT(ROW()-5,"000"),Locations!$L$5:$T$64,4,FALSE),""))</x:f>
      </x:c>
      <x:c r="AB14" t="str">
        <x:f>IF($E$6="","",IFERROR(VLOOKUP($E$6&amp;"|"&amp;TEXT(ROW()-5,"000"),Locations!$L$5:$T$64,7,FALSE),""))</x:f>
      </x:c>
      <x:c r="AC14" t="str">
        <x:f>IF($E$6="","",IFERROR(VLOOKUP($E$6&amp;"|"&amp;TEXT(ROW()-5,"000"),Locations!$L$5:$T$64,2,FALSE),""))</x:f>
      </x:c>
      <x:c r="AD14" t="str">
        <x:f>IF($E$6="","",IFERROR(VLOOKUP($E$6&amp;"|"&amp;TEXT(ROW()-5,"000"),Locations!$L$5:$T$64,9,FALSE),""))</x:f>
      </x:c>
    </x:row>
    <x:row r="15" ht="22" customHeight="1">
      <x:c r="A15" s="97" t="str">
        <x:v>Selected scope token item</x:v>
      </x:c>
      <x:c r="B15" s="97"/>
      <x:c r="C15" s="97"/>
      <x:c r="D15" s="97"/>
      <x:c r="E15" s="97"/>
      <x:c r="F15" s="97"/>
      <x:c r="Z15" t="str">
        <x:f>NOCs!O14</x:f>
      </x:c>
      <x:c r="AA15" t="str">
        <x:f>IF($E$6="","",IFERROR(VLOOKUP($E$6&amp;"|"&amp;TEXT(ROW()-5,"000"),Locations!$L$5:$T$64,4,FALSE),""))</x:f>
      </x:c>
      <x:c r="AB15" t="str">
        <x:f>IF($E$6="","",IFERROR(VLOOKUP($E$6&amp;"|"&amp;TEXT(ROW()-5,"000"),Locations!$L$5:$T$64,7,FALSE),""))</x:f>
      </x:c>
      <x:c r="AC15" t="str">
        <x:f>IF($E$6="","",IFERROR(VLOOKUP($E$6&amp;"|"&amp;TEXT(ROW()-5,"000"),Locations!$L$5:$T$64,2,FALSE),""))</x:f>
      </x:c>
      <x:c r="AD15" t="str">
        <x:f>IF($E$6="","",IFERROR(VLOOKUP($E$6&amp;"|"&amp;TEXT(ROW()-5,"000"),Locations!$L$5:$T$64,9,FALSE),""))</x:f>
      </x:c>
    </x:row>
    <x:row r="16">
      <x:c r="A16" s="133" t="str">
        <x:f>IF($E$8="","",CHAR(123)&amp;CHAR(34)&amp;"label"&amp;CHAR(34)&amp;":"&amp;CHAR(34)&amp;$B$7&amp;CHAR(34)&amp;","&amp;CHAR(34)&amp;"value"&amp;CHAR(34)&amp;":"&amp;CHAR(34)&amp;SUBSTITUTE($E$8,CHAR(34),CHAR(92)&amp;CHAR(34))&amp;CHAR(34)&amp;CHAR(125))</x:f>
        <x:v>{"label":"Current Draft Scope","value":"(host=\"syr*\" OR host=\"salep*\" OR host=\"144.219.*\" OR host=\"144.221.*\")"}</x:v>
      </x:c>
      <x:c r="B16" s="133"/>
      <x:c r="C16" s="133"/>
      <x:c r="D16" s="133"/>
      <x:c r="E16" s="133"/>
      <x:c r="F16" s="133"/>
      <x:c r="Z16" t="str">
        <x:f>NOCs!O15</x:f>
      </x:c>
      <x:c r="AA16" t="str">
        <x:f>IF($E$6="","",IFERROR(VLOOKUP($E$6&amp;"|"&amp;TEXT(ROW()-5,"000"),Locations!$L$5:$T$64,4,FALSE),""))</x:f>
      </x:c>
      <x:c r="AB16" t="str">
        <x:f>IF($E$6="","",IFERROR(VLOOKUP($E$6&amp;"|"&amp;TEXT(ROW()-5,"000"),Locations!$L$5:$T$64,7,FALSE),""))</x:f>
      </x:c>
      <x:c r="AC16" t="str">
        <x:f>IF($E$6="","",IFERROR(VLOOKUP($E$6&amp;"|"&amp;TEXT(ROW()-5,"000"),Locations!$L$5:$T$64,2,FALSE),""))</x:f>
      </x:c>
      <x:c r="AD16" t="str">
        <x:f>IF($E$6="","",IFERROR(VLOOKUP($E$6&amp;"|"&amp;TEXT(ROW()-5,"000"),Locations!$L$5:$T$64,9,FALSE),""))</x:f>
      </x:c>
    </x:row>
    <x:row r="17">
      <x:c r="A17" s="134"/>
      <x:c r="B17" s="134"/>
      <x:c r="C17" s="134"/>
      <x:c r="D17" s="134"/>
      <x:c r="E17" s="134"/>
      <x:c r="F17" s="134"/>
      <x:c r="Z17" t="str">
        <x:f>NOCs!O16</x:f>
      </x:c>
      <x:c r="AA17" t="str">
        <x:f>IF($E$6="","",IFERROR(VLOOKUP($E$6&amp;"|"&amp;TEXT(ROW()-5,"000"),Locations!$L$5:$T$64,4,FALSE),""))</x:f>
      </x:c>
      <x:c r="AB17" t="str">
        <x:f>IF($E$6="","",IFERROR(VLOOKUP($E$6&amp;"|"&amp;TEXT(ROW()-5,"000"),Locations!$L$5:$T$64,7,FALSE),""))</x:f>
      </x:c>
      <x:c r="AC17" t="str">
        <x:f>IF($E$6="","",IFERROR(VLOOKUP($E$6&amp;"|"&amp;TEXT(ROW()-5,"000"),Locations!$L$5:$T$64,2,FALSE),""))</x:f>
      </x:c>
      <x:c r="AD17" t="str">
        <x:f>IF($E$6="","",IFERROR(VLOOKUP($E$6&amp;"|"&amp;TEXT(ROW()-5,"000"),Locations!$L$5:$T$64,9,FALSE),""))</x:f>
      </x:c>
    </x:row>
    <x:row r="18">
      <x:c r="A18" s="134"/>
      <x:c r="B18" s="134"/>
      <x:c r="C18" s="134"/>
      <x:c r="D18" s="134"/>
      <x:c r="E18" s="134"/>
      <x:c r="F18" s="134"/>
      <x:c r="Z18" t="str">
        <x:f>NOCs!O17</x:f>
      </x:c>
      <x:c r="AA18" t="str">
        <x:f>IF($E$6="","",IFERROR(VLOOKUP($E$6&amp;"|"&amp;TEXT(ROW()-5,"000"),Locations!$L$5:$T$64,4,FALSE),""))</x:f>
      </x:c>
      <x:c r="AB18" t="str">
        <x:f>IF($E$6="","",IFERROR(VLOOKUP($E$6&amp;"|"&amp;TEXT(ROW()-5,"000"),Locations!$L$5:$T$64,7,FALSE),""))</x:f>
      </x:c>
      <x:c r="AC18" t="str">
        <x:f>IF($E$6="","",IFERROR(VLOOKUP($E$6&amp;"|"&amp;TEXT(ROW()-5,"000"),Locations!$L$5:$T$64,2,FALSE),""))</x:f>
      </x:c>
      <x:c r="AD18" t="str">
        <x:f>IF($E$6="","",IFERROR(VLOOKUP($E$6&amp;"|"&amp;TEXT(ROW()-5,"000"),Locations!$L$5:$T$64,9,FALSE),""))</x:f>
      </x:c>
    </x:row>
    <x:row r="19">
      <x:c r="A19" s="48"/>
      <x:c r="B19" s="48"/>
      <x:c r="C19" s="48"/>
      <x:c r="D19" s="48"/>
      <x:c r="E19" s="48"/>
      <x:c r="F19" s="48"/>
      <x:c r="Z19" t="str">
        <x:f>NOCs!O18</x:f>
      </x:c>
      <x:c r="AA19" t="str">
        <x:f>IF($E$6="","",IFERROR(VLOOKUP($E$6&amp;"|"&amp;TEXT(ROW()-5,"000"),Locations!$L$5:$T$64,4,FALSE),""))</x:f>
      </x:c>
      <x:c r="AB19" t="str">
        <x:f>IF($E$6="","",IFERROR(VLOOKUP($E$6&amp;"|"&amp;TEXT(ROW()-5,"000"),Locations!$L$5:$T$64,7,FALSE),""))</x:f>
      </x:c>
      <x:c r="AC19" t="str">
        <x:f>IF($E$6="","",IFERROR(VLOOKUP($E$6&amp;"|"&amp;TEXT(ROW()-5,"000"),Locations!$L$5:$T$64,2,FALSE),""))</x:f>
      </x:c>
      <x:c r="AD19" t="str">
        <x:f>IF($E$6="","",IFERROR(VLOOKUP($E$6&amp;"|"&amp;TEXT(ROW()-5,"000"),Locations!$L$5:$T$64,9,FALSE),""))</x:f>
      </x:c>
    </x:row>
    <x:row r="20" ht="22" customHeight="1">
      <x:c r="A20" s="97" t="str">
        <x:v>Dashboard Base Query — tokenized</x:v>
      </x:c>
      <x:c r="B20" s="97"/>
      <x:c r="C20" s="97"/>
      <x:c r="D20" s="97"/>
      <x:c r="E20" s="97"/>
      <x:c r="F20" s="97"/>
      <x:c r="Z20" t="str">
        <x:f>NOCs!O19</x:f>
      </x:c>
      <x:c r="AA20" t="str">
        <x:f>IF($E$6="","",IFERROR(VLOOKUP($E$6&amp;"|"&amp;TEXT(ROW()-5,"000"),Locations!$L$5:$T$64,4,FALSE),""))</x:f>
      </x:c>
      <x:c r="AB20" t="str">
        <x:f>IF($E$6="","",IFERROR(VLOOKUP($E$6&amp;"|"&amp;TEXT(ROW()-5,"000"),Locations!$L$5:$T$64,7,FALSE),""))</x:f>
      </x:c>
      <x:c r="AC20" t="str">
        <x:f>IF($E$6="","",IFERROR(VLOOKUP($E$6&amp;"|"&amp;TEXT(ROW()-5,"000"),Locations!$L$5:$T$64,2,FALSE),""))</x:f>
      </x:c>
      <x:c r="AD20" t="str">
        <x:f>IF($E$6="","",IFERROR(VLOOKUP($E$6&amp;"|"&amp;TEXT(ROW()-5,"000"),Locations!$L$5:$T$64,9,FALSE),""))</x:f>
      </x:c>
    </x:row>
    <x:row r="21">
      <x:c r="A21" s="134" t="str">
        <x:f>IF($B$8="","",IFERROR(INDEX('Base Searches'!$I$6:$I$35,MATCH($E$10,'Base Searches'!$B$6:$B$35,0)),""))</x:f>
        <x:v>index="network_eo" sourcetype="cisco:ios"
$scope$
("%LINK-3-UPDOWN" OR "%LINEPROTO-5-UPDOWN" OR "%PM-4-ERR_DISABLE")
| fields _time host source sourcetype _raw</x:v>
      </x:c>
      <x:c r="B21" s="134"/>
      <x:c r="C21" s="134"/>
      <x:c r="D21" s="134"/>
      <x:c r="E21" s="134"/>
      <x:c r="F21" s="134"/>
      <x:c r="Z21" t="str">
        <x:f>NOCs!O20</x:f>
      </x:c>
      <x:c r="AA21" t="str">
        <x:f>IF($E$6="","",IFERROR(VLOOKUP($E$6&amp;"|"&amp;TEXT(ROW()-5,"000"),Locations!$L$5:$T$64,4,FALSE),""))</x:f>
      </x:c>
      <x:c r="AB21" t="str">
        <x:f>IF($E$6="","",IFERROR(VLOOKUP($E$6&amp;"|"&amp;TEXT(ROW()-5,"000"),Locations!$L$5:$T$64,7,FALSE),""))</x:f>
      </x:c>
      <x:c r="AC21" t="str">
        <x:f>IF($E$6="","",IFERROR(VLOOKUP($E$6&amp;"|"&amp;TEXT(ROW()-5,"000"),Locations!$L$5:$T$64,2,FALSE),""))</x:f>
      </x:c>
      <x:c r="AD21" t="str">
        <x:f>IF($E$6="","",IFERROR(VLOOKUP($E$6&amp;"|"&amp;TEXT(ROW()-5,"000"),Locations!$L$5:$T$64,9,FALSE),""))</x:f>
      </x:c>
    </x:row>
    <x:row r="22">
      <x:c r="A22" s="133"/>
      <x:c r="B22" s="133"/>
      <x:c r="C22" s="133"/>
      <x:c r="D22" s="133"/>
      <x:c r="E22" s="133"/>
      <x:c r="F22" s="133"/>
      <x:c r="Z22" t="str">
        <x:f>NOCs!O21</x:f>
      </x:c>
      <x:c r="AA22" t="str">
        <x:f>IF($E$6="","",IFERROR(VLOOKUP($E$6&amp;"|"&amp;TEXT(ROW()-5,"000"),Locations!$L$5:$T$64,4,FALSE),""))</x:f>
      </x:c>
      <x:c r="AB22" t="str">
        <x:f>IF($E$6="","",IFERROR(VLOOKUP($E$6&amp;"|"&amp;TEXT(ROW()-5,"000"),Locations!$L$5:$T$64,7,FALSE),""))</x:f>
      </x:c>
      <x:c r="AC22" t="str">
        <x:f>IF($E$6="","",IFERROR(VLOOKUP($E$6&amp;"|"&amp;TEXT(ROW()-5,"000"),Locations!$L$5:$T$64,2,FALSE),""))</x:f>
      </x:c>
      <x:c r="AD22" t="str">
        <x:f>IF($E$6="","",IFERROR(VLOOKUP($E$6&amp;"|"&amp;TEXT(ROW()-5,"000"),Locations!$L$5:$T$64,9,FALSE),""))</x:f>
      </x:c>
    </x:row>
    <x:row r="23">
      <x:c r="A23" s="134"/>
      <x:c r="B23" s="134"/>
      <x:c r="C23" s="134"/>
      <x:c r="D23" s="134"/>
      <x:c r="E23" s="134"/>
      <x:c r="F23" s="134"/>
      <x:c r="Z23" t="str">
        <x:f>NOCs!O22</x:f>
      </x:c>
      <x:c r="AA23" t="str">
        <x:f>IF($E$6="","",IFERROR(VLOOKUP($E$6&amp;"|"&amp;TEXT(ROW()-5,"000"),Locations!$L$5:$T$64,4,FALSE),""))</x:f>
      </x:c>
      <x:c r="AB23" t="str">
        <x:f>IF($E$6="","",IFERROR(VLOOKUP($E$6&amp;"|"&amp;TEXT(ROW()-5,"000"),Locations!$L$5:$T$64,7,FALSE),""))</x:f>
      </x:c>
      <x:c r="AC23" t="str">
        <x:f>IF($E$6="","",IFERROR(VLOOKUP($E$6&amp;"|"&amp;TEXT(ROW()-5,"000"),Locations!$L$5:$T$64,2,FALSE),""))</x:f>
      </x:c>
      <x:c r="AD23" t="str">
        <x:f>IF($E$6="","",IFERROR(VLOOKUP($E$6&amp;"|"&amp;TEXT(ROW()-5,"000"),Locations!$L$5:$T$64,9,FALSE),""))</x:f>
      </x:c>
    </x:row>
    <x:row r="24">
      <x:c r="A24" s="134"/>
      <x:c r="B24" s="134"/>
      <x:c r="C24" s="134"/>
      <x:c r="D24" s="134"/>
      <x:c r="E24" s="134"/>
      <x:c r="F24" s="134"/>
      <x:c r="Z24" t="str">
        <x:f>NOCs!O23</x:f>
      </x:c>
      <x:c r="AA24" t="str">
        <x:f>IF($E$6="","",IFERROR(VLOOKUP($E$6&amp;"|"&amp;TEXT(ROW()-5,"000"),Locations!$L$5:$T$64,4,FALSE),""))</x:f>
      </x:c>
      <x:c r="AB24" t="str">
        <x:f>IF($E$6="","",IFERROR(VLOOKUP($E$6&amp;"|"&amp;TEXT(ROW()-5,"000"),Locations!$L$5:$T$64,7,FALSE),""))</x:f>
      </x:c>
      <x:c r="AC24" t="str">
        <x:f>IF($E$6="","",IFERROR(VLOOKUP($E$6&amp;"|"&amp;TEXT(ROW()-5,"000"),Locations!$L$5:$T$64,2,FALSE),""))</x:f>
      </x:c>
      <x:c r="AD24" t="str">
        <x:f>IF($E$6="","",IFERROR(VLOOKUP($E$6&amp;"|"&amp;TEXT(ROW()-5,"000"),Locations!$L$5:$T$64,9,FALSE),""))</x:f>
      </x:c>
    </x:row>
    <x:row r="25">
      <x:c r="A25" s="134"/>
      <x:c r="B25" s="134"/>
      <x:c r="C25" s="134"/>
      <x:c r="D25" s="134"/>
      <x:c r="E25" s="134"/>
      <x:c r="F25" s="134"/>
      <x:c r="Z25" t="str">
        <x:f>NOCs!O24</x:f>
      </x:c>
      <x:c r="AA25" t="str">
        <x:f>IF($E$6="","",IFERROR(VLOOKUP($E$6&amp;"|"&amp;TEXT(ROW()-5,"000"),Locations!$L$5:$T$64,4,FALSE),""))</x:f>
      </x:c>
      <x:c r="AB25" t="str">
        <x:f>IF($E$6="","",IFERROR(VLOOKUP($E$6&amp;"|"&amp;TEXT(ROW()-5,"000"),Locations!$L$5:$T$64,7,FALSE),""))</x:f>
      </x:c>
      <x:c r="AC25" t="str">
        <x:f>IF($E$6="","",IFERROR(VLOOKUP($E$6&amp;"|"&amp;TEXT(ROW()-5,"000"),Locations!$L$5:$T$64,2,FALSE),""))</x:f>
      </x:c>
      <x:c r="AD25" t="str">
        <x:f>IF($E$6="","",IFERROR(VLOOKUP($E$6&amp;"|"&amp;TEXT(ROW()-5,"000"),Locations!$L$5:$T$64,9,FALSE),""))</x:f>
      </x:c>
    </x:row>
    <x:row r="26">
      <x:c r="A26" s="48"/>
      <x:c r="B26" s="48"/>
      <x:c r="C26" s="48"/>
      <x:c r="D26" s="48"/>
      <x:c r="E26" s="48"/>
      <x:c r="F26" s="48"/>
      <x:c r="Z26" t="str">
        <x:f>NOCs!O25</x:f>
      </x:c>
      <x:c r="AA26" t="str">
        <x:f>IF($E$6="","",IFERROR(VLOOKUP($E$6&amp;"|"&amp;TEXT(ROW()-5,"000"),Locations!$L$5:$T$64,4,FALSE),""))</x:f>
      </x:c>
      <x:c r="AB26" t="str">
        <x:f>IF($E$6="","",IFERROR(VLOOKUP($E$6&amp;"|"&amp;TEXT(ROW()-5,"000"),Locations!$L$5:$T$64,7,FALSE),""))</x:f>
      </x:c>
      <x:c r="AC26" t="str">
        <x:f>IF($E$6="","",IFERROR(VLOOKUP($E$6&amp;"|"&amp;TEXT(ROW()-5,"000"),Locations!$L$5:$T$64,2,FALSE),""))</x:f>
      </x:c>
      <x:c r="AD26" t="str">
        <x:f>IF($E$6="","",IFERROR(VLOOKUP($E$6&amp;"|"&amp;TEXT(ROW()-5,"000"),Locations!$L$5:$T$64,9,FALSE),""))</x:f>
      </x:c>
    </x:row>
    <x:row r="27" ht="22" customHeight="1">
      <x:c r="A27" s="97" t="str">
        <x:v>Dashboard Chain SPL</x:v>
      </x:c>
      <x:c r="B27" s="97"/>
      <x:c r="C27" s="97"/>
      <x:c r="D27" s="97"/>
      <x:c r="E27" s="97"/>
      <x:c r="F27" s="97"/>
      <x:c r="Z27" t="str">
        <x:f>NOCs!O26</x:f>
      </x:c>
      <x:c r="AA27" t="str">
        <x:f>IF($E$6="","",IFERROR(VLOOKUP($E$6&amp;"|"&amp;TEXT(ROW()-5,"000"),Locations!$L$5:$T$64,4,FALSE),""))</x:f>
      </x:c>
      <x:c r="AB27" t="str">
        <x:f>IF($E$6="","",IFERROR(VLOOKUP($E$6&amp;"|"&amp;TEXT(ROW()-5,"000"),Locations!$L$5:$T$64,7,FALSE),""))</x:f>
      </x:c>
      <x:c r="AC27" t="str">
        <x:f>IF($E$6="","",IFERROR(VLOOKUP($E$6&amp;"|"&amp;TEXT(ROW()-5,"000"),Locations!$L$5:$T$64,2,FALSE),""))</x:f>
      </x:c>
      <x:c r="AD27" t="str">
        <x:f>IF($E$6="","",IFERROR(VLOOKUP($E$6&amp;"|"&amp;TEXT(ROW()-5,"000"),Locations!$L$5:$T$64,9,FALSE),""))</x:f>
      </x:c>
    </x:row>
    <x:row r="28">
      <x:c r="A28" s="133" t="str">
        <x:f>IF($B$8="","",IFERROR(INDEX(Searches!$Q$6:$Q$205,MATCH($B$8,Searches!$C$6:$C$205,0)),""))</x:f>
        <x:v>| search interface=*
| table _time host interface state _raw | sort - _time</x:v>
      </x:c>
      <x:c r="B28" s="133"/>
      <x:c r="C28" s="133"/>
      <x:c r="D28" s="133"/>
      <x:c r="E28" s="133"/>
      <x:c r="F28" s="133"/>
      <x:c r="Z28" t="str">
        <x:f>NOCs!O27</x:f>
      </x:c>
      <x:c r="AA28" t="str">
        <x:f>IF($E$6="","",IFERROR(VLOOKUP($E$6&amp;"|"&amp;TEXT(ROW()-5,"000"),Locations!$L$5:$T$64,4,FALSE),""))</x:f>
      </x:c>
      <x:c r="AB28" t="str">
        <x:f>IF($E$6="","",IFERROR(VLOOKUP($E$6&amp;"|"&amp;TEXT(ROW()-5,"000"),Locations!$L$5:$T$64,7,FALSE),""))</x:f>
      </x:c>
      <x:c r="AC28" t="str">
        <x:f>IF($E$6="","",IFERROR(VLOOKUP($E$6&amp;"|"&amp;TEXT(ROW()-5,"000"),Locations!$L$5:$T$64,2,FALSE),""))</x:f>
      </x:c>
      <x:c r="AD28" t="str">
        <x:f>IF($E$6="","",IFERROR(VLOOKUP($E$6&amp;"|"&amp;TEXT(ROW()-5,"000"),Locations!$L$5:$T$64,9,FALSE),""))</x:f>
      </x:c>
    </x:row>
    <x:row r="29">
      <x:c r="A29" s="134"/>
      <x:c r="B29" s="134"/>
      <x:c r="C29" s="134"/>
      <x:c r="D29" s="134"/>
      <x:c r="E29" s="134"/>
      <x:c r="F29" s="134"/>
      <x:c r="Z29" t="str">
        <x:f>NOCs!O28</x:f>
      </x:c>
      <x:c r="AA29" t="str">
        <x:f>IF($E$6="","",IFERROR(VLOOKUP($E$6&amp;"|"&amp;TEXT(ROW()-5,"000"),Locations!$L$5:$T$64,4,FALSE),""))</x:f>
      </x:c>
      <x:c r="AB29" t="str">
        <x:f>IF($E$6="","",IFERROR(VLOOKUP($E$6&amp;"|"&amp;TEXT(ROW()-5,"000"),Locations!$L$5:$T$64,7,FALSE),""))</x:f>
      </x:c>
      <x:c r="AC29" t="str">
        <x:f>IF($E$6="","",IFERROR(VLOOKUP($E$6&amp;"|"&amp;TEXT(ROW()-5,"000"),Locations!$L$5:$T$64,2,FALSE),""))</x:f>
      </x:c>
      <x:c r="AD29" t="str">
        <x:f>IF($E$6="","",IFERROR(VLOOKUP($E$6&amp;"|"&amp;TEXT(ROW()-5,"000"),Locations!$L$5:$T$64,9,FALSE),""))</x:f>
      </x:c>
    </x:row>
    <x:row r="30">
      <x:c r="A30" s="134"/>
      <x:c r="B30" s="134"/>
      <x:c r="C30" s="134"/>
      <x:c r="D30" s="134"/>
      <x:c r="E30" s="134"/>
      <x:c r="F30" s="134"/>
      <x:c r="Z30" t="str">
        <x:f>NOCs!O29</x:f>
      </x:c>
      <x:c r="AA30" t="str">
        <x:f>IF($E$6="","",IFERROR(VLOOKUP($E$6&amp;"|"&amp;TEXT(ROW()-5,"000"),Locations!$L$5:$T$64,4,FALSE),""))</x:f>
      </x:c>
      <x:c r="AB30" t="str">
        <x:f>IF($E$6="","",IFERROR(VLOOKUP($E$6&amp;"|"&amp;TEXT(ROW()-5,"000"),Locations!$L$5:$T$64,7,FALSE),""))</x:f>
      </x:c>
      <x:c r="AC30" t="str">
        <x:f>IF($E$6="","",IFERROR(VLOOKUP($E$6&amp;"|"&amp;TEXT(ROW()-5,"000"),Locations!$L$5:$T$64,2,FALSE),""))</x:f>
      </x:c>
      <x:c r="AD30" t="str">
        <x:f>IF($E$6="","",IFERROR(VLOOKUP($E$6&amp;"|"&amp;TEXT(ROW()-5,"000"),Locations!$L$5:$T$64,9,FALSE),""))</x:f>
      </x:c>
    </x:row>
    <x:row r="31">
      <x:c r="A31" s="134"/>
      <x:c r="B31" s="134"/>
      <x:c r="C31" s="134"/>
      <x:c r="D31" s="134"/>
      <x:c r="E31" s="134"/>
      <x:c r="F31" s="134"/>
      <x:c r="Z31" t="str">
        <x:f>NOCs!O30</x:f>
      </x:c>
      <x:c r="AA31" t="str">
        <x:f>IF($E$6="","",IFERROR(VLOOKUP($E$6&amp;"|"&amp;TEXT(ROW()-5,"000"),Locations!$L$5:$T$64,4,FALSE),""))</x:f>
      </x:c>
      <x:c r="AB31" t="str">
        <x:f>IF($E$6="","",IFERROR(VLOOKUP($E$6&amp;"|"&amp;TEXT(ROW()-5,"000"),Locations!$L$5:$T$64,7,FALSE),""))</x:f>
      </x:c>
      <x:c r="AC31" t="str">
        <x:f>IF($E$6="","",IFERROR(VLOOKUP($E$6&amp;"|"&amp;TEXT(ROW()-5,"000"),Locations!$L$5:$T$64,2,FALSE),""))</x:f>
      </x:c>
      <x:c r="AD31" t="str">
        <x:f>IF($E$6="","",IFERROR(VLOOKUP($E$6&amp;"|"&amp;TEXT(ROW()-5,"000"),Locations!$L$5:$T$64,9,FALSE),""))</x:f>
      </x:c>
    </x:row>
    <x:row r="32">
      <x:c r="A32" s="48"/>
      <x:c r="B32" s="48"/>
      <x:c r="C32" s="48"/>
      <x:c r="D32" s="48"/>
      <x:c r="E32" s="48"/>
      <x:c r="F32" s="48"/>
      <x:c r="Z32" t="str">
        <x:f>NOCs!O31</x:f>
      </x:c>
      <x:c r="AA32" t="str">
        <x:f>IF($E$6="","",IFERROR(VLOOKUP($E$6&amp;"|"&amp;TEXT(ROW()-5,"000"),Locations!$L$5:$T$64,4,FALSE),""))</x:f>
      </x:c>
      <x:c r="AB32" t="str">
        <x:f>IF($E$6="","",IFERROR(VLOOKUP($E$6&amp;"|"&amp;TEXT(ROW()-5,"000"),Locations!$L$5:$T$64,7,FALSE),""))</x:f>
      </x:c>
      <x:c r="AC32" t="str">
        <x:f>IF($E$6="","",IFERROR(VLOOKUP($E$6&amp;"|"&amp;TEXT(ROW()-5,"000"),Locations!$L$5:$T$64,2,FALSE),""))</x:f>
      </x:c>
      <x:c r="AD32" t="str">
        <x:f>IF($E$6="","",IFERROR(VLOOKUP($E$6&amp;"|"&amp;TEXT(ROW()-5,"000"),Locations!$L$5:$T$64,9,FALSE),""))</x:f>
      </x:c>
    </x:row>
    <x:row r="33" ht="22" customHeight="1">
      <x:c r="A33" s="97" t="str">
        <x:v>Dashboard Count Chain SPL</x:v>
      </x:c>
      <x:c r="B33" s="97"/>
      <x:c r="C33" s="97"/>
      <x:c r="D33" s="97"/>
      <x:c r="E33" s="97"/>
      <x:c r="F33" s="97"/>
      <x:c r="Z33" t="str">
        <x:f>NOCs!O32</x:f>
      </x:c>
      <x:c r="AA33" t="str">
        <x:f>IF($E$6="","",IFERROR(VLOOKUP($E$6&amp;"|"&amp;TEXT(ROW()-5,"000"),Locations!$L$5:$T$64,4,FALSE),""))</x:f>
      </x:c>
      <x:c r="AB33" t="str">
        <x:f>IF($E$6="","",IFERROR(VLOOKUP($E$6&amp;"|"&amp;TEXT(ROW()-5,"000"),Locations!$L$5:$T$64,7,FALSE),""))</x:f>
      </x:c>
      <x:c r="AC33" t="str">
        <x:f>IF($E$6="","",IFERROR(VLOOKUP($E$6&amp;"|"&amp;TEXT(ROW()-5,"000"),Locations!$L$5:$T$64,2,FALSE),""))</x:f>
      </x:c>
      <x:c r="AD33" t="str">
        <x:f>IF($E$6="","",IFERROR(VLOOKUP($E$6&amp;"|"&amp;TEXT(ROW()-5,"000"),Locations!$L$5:$T$64,9,FALSE),""))</x:f>
      </x:c>
    </x:row>
    <x:row r="34">
      <x:c r="A34" s="133" t="str">
        <x:f>IF($B$8="","",IFERROR(INDEX(Searches!$R$6:$R$205,MATCH($B$8,Searches!$C$6:$C$205,0)),""))</x:f>
        <x:v>| search interface=*
| stats count as count by host interface state
| where count &gt;= 1
| sort - count</x:v>
      </x:c>
      <x:c r="B34" s="133"/>
      <x:c r="C34" s="133"/>
      <x:c r="D34" s="133"/>
      <x:c r="E34" s="133"/>
      <x:c r="F34" s="133"/>
      <x:c r="Z34" t="str">
        <x:f>NOCs!O33</x:f>
      </x:c>
      <x:c r="AA34" t="str">
        <x:f>IF($E$6="","",IFERROR(VLOOKUP($E$6&amp;"|"&amp;TEXT(ROW()-5,"000"),Locations!$L$5:$T$64,4,FALSE),""))</x:f>
      </x:c>
      <x:c r="AB34" t="str">
        <x:f>IF($E$6="","",IFERROR(VLOOKUP($E$6&amp;"|"&amp;TEXT(ROW()-5,"000"),Locations!$L$5:$T$64,7,FALSE),""))</x:f>
      </x:c>
      <x:c r="AC34" t="str">
        <x:f>IF($E$6="","",IFERROR(VLOOKUP($E$6&amp;"|"&amp;TEXT(ROW()-5,"000"),Locations!$L$5:$T$64,2,FALSE),""))</x:f>
      </x:c>
      <x:c r="AD34" t="str">
        <x:f>IF($E$6="","",IFERROR(VLOOKUP($E$6&amp;"|"&amp;TEXT(ROW()-5,"000"),Locations!$L$5:$T$64,9,FALSE),""))</x:f>
      </x:c>
    </x:row>
    <x:row r="35">
      <x:c r="A35" s="134"/>
      <x:c r="B35" s="134"/>
      <x:c r="C35" s="134"/>
      <x:c r="D35" s="134"/>
      <x:c r="E35" s="134"/>
      <x:c r="F35" s="134"/>
      <x:c r="Z35" t="str">
        <x:f>NOCs!O34</x:f>
      </x:c>
      <x:c r="AA35" t="str">
        <x:f>IF($E$6="","",IFERROR(VLOOKUP($E$6&amp;"|"&amp;TEXT(ROW()-5,"000"),Locations!$L$5:$T$64,4,FALSE),""))</x:f>
      </x:c>
      <x:c r="AB35" t="str">
        <x:f>IF($E$6="","",IFERROR(VLOOKUP($E$6&amp;"|"&amp;TEXT(ROW()-5,"000"),Locations!$L$5:$T$64,7,FALSE),""))</x:f>
      </x:c>
      <x:c r="AC35" t="str">
        <x:f>IF($E$6="","",IFERROR(VLOOKUP($E$6&amp;"|"&amp;TEXT(ROW()-5,"000"),Locations!$L$5:$T$64,2,FALSE),""))</x:f>
      </x:c>
      <x:c r="AD35" t="str">
        <x:f>IF($E$6="","",IFERROR(VLOOKUP($E$6&amp;"|"&amp;TEXT(ROW()-5,"000"),Locations!$L$5:$T$64,9,FALSE),""))</x:f>
      </x:c>
    </x:row>
    <x:row r="36">
      <x:c r="A36" s="134"/>
      <x:c r="B36" s="134"/>
      <x:c r="C36" s="134"/>
      <x:c r="D36" s="134"/>
      <x:c r="E36" s="134"/>
      <x:c r="F36" s="134"/>
      <x:c r="Z36" t="str">
        <x:f>NOCs!O35</x:f>
      </x:c>
      <x:c r="AA36" t="str">
        <x:f>IF($E$6="","",IFERROR(VLOOKUP($E$6&amp;"|"&amp;TEXT(ROW()-5,"000"),Locations!$L$5:$T$64,4,FALSE),""))</x:f>
      </x:c>
      <x:c r="AB36" t="str">
        <x:f>IF($E$6="","",IFERROR(VLOOKUP($E$6&amp;"|"&amp;TEXT(ROW()-5,"000"),Locations!$L$5:$T$64,7,FALSE),""))</x:f>
      </x:c>
      <x:c r="AC36" t="str">
        <x:f>IF($E$6="","",IFERROR(VLOOKUP($E$6&amp;"|"&amp;TEXT(ROW()-5,"000"),Locations!$L$5:$T$64,2,FALSE),""))</x:f>
      </x:c>
      <x:c r="AD36" t="str">
        <x:f>IF($E$6="","",IFERROR(VLOOKUP($E$6&amp;"|"&amp;TEXT(ROW()-5,"000"),Locations!$L$5:$T$64,9,FALSE),""))</x:f>
      </x:c>
    </x:row>
    <x:row r="37">
      <x:c r="A37" s="134"/>
      <x:c r="B37" s="134"/>
      <x:c r="C37" s="134"/>
      <x:c r="D37" s="134"/>
      <x:c r="E37" s="134"/>
      <x:c r="F37" s="134"/>
      <x:c r="Z37" t="str">
        <x:f>NOCs!O36</x:f>
      </x:c>
      <x:c r="AA37" t="str">
        <x:f>IF($E$6="","",IFERROR(VLOOKUP($E$6&amp;"|"&amp;TEXT(ROW()-5,"000"),Locations!$L$5:$T$64,4,FALSE),""))</x:f>
      </x:c>
      <x:c r="AB37" t="str">
        <x:f>IF($E$6="","",IFERROR(VLOOKUP($E$6&amp;"|"&amp;TEXT(ROW()-5,"000"),Locations!$L$5:$T$64,7,FALSE),""))</x:f>
      </x:c>
      <x:c r="AC37" t="str">
        <x:f>IF($E$6="","",IFERROR(VLOOKUP($E$6&amp;"|"&amp;TEXT(ROW()-5,"000"),Locations!$L$5:$T$64,2,FALSE),""))</x:f>
      </x:c>
      <x:c r="AD37" t="str">
        <x:f>IF($E$6="","",IFERROR(VLOOKUP($E$6&amp;"|"&amp;TEXT(ROW()-5,"000"),Locations!$L$5:$T$64,9,FALSE),""))</x:f>
      </x:c>
    </x:row>
    <x:row r="38">
      <x:c r="A38" s="48"/>
      <x:c r="B38" s="48"/>
      <x:c r="C38" s="48"/>
      <x:c r="D38" s="48"/>
      <x:c r="E38" s="48"/>
      <x:c r="F38" s="48"/>
      <x:c r="Z38" t="str">
        <x:f>NOCs!O37</x:f>
      </x:c>
      <x:c r="AA38" t="str">
        <x:f>IF($E$6="","",IFERROR(VLOOKUP($E$6&amp;"|"&amp;TEXT(ROW()-5,"000"),Locations!$L$5:$T$64,4,FALSE),""))</x:f>
      </x:c>
      <x:c r="AB38" t="str">
        <x:f>IF($E$6="","",IFERROR(VLOOKUP($E$6&amp;"|"&amp;TEXT(ROW()-5,"000"),Locations!$L$5:$T$64,7,FALSE),""))</x:f>
      </x:c>
      <x:c r="AC38" t="str">
        <x:f>IF($E$6="","",IFERROR(VLOOKUP($E$6&amp;"|"&amp;TEXT(ROW()-5,"000"),Locations!$L$5:$T$64,2,FALSE),""))</x:f>
      </x:c>
      <x:c r="AD38" t="str">
        <x:f>IF($E$6="","",IFERROR(VLOOKUP($E$6&amp;"|"&amp;TEXT(ROW()-5,"000"),Locations!$L$5:$T$64,9,FALSE),""))</x:f>
      </x:c>
    </x:row>
    <x:row r="39" ht="22" customHeight="1">
      <x:c r="A39" s="97" t="str">
        <x:v>Standalone Detail SPL — actual selected scope</x:v>
      </x:c>
      <x:c r="B39" s="97"/>
      <x:c r="C39" s="97"/>
      <x:c r="D39" s="97"/>
      <x:c r="E39" s="97"/>
      <x:c r="F39" s="97"/>
      <x:c r="Z39" t="str">
        <x:f>NOCs!O38</x:f>
      </x:c>
      <x:c r="AA39" t="str">
        <x:f>IF($E$6="","",IFERROR(VLOOKUP($E$6&amp;"|"&amp;TEXT(ROW()-5,"000"),Locations!$L$5:$T$64,4,FALSE),""))</x:f>
      </x:c>
      <x:c r="AB39" t="str">
        <x:f>IF($E$6="","",IFERROR(VLOOKUP($E$6&amp;"|"&amp;TEXT(ROW()-5,"000"),Locations!$L$5:$T$64,7,FALSE),""))</x:f>
      </x:c>
      <x:c r="AC39" t="str">
        <x:f>IF($E$6="","",IFERROR(VLOOKUP($E$6&amp;"|"&amp;TEXT(ROW()-5,"000"),Locations!$L$5:$T$64,2,FALSE),""))</x:f>
      </x:c>
      <x:c r="AD39" t="str">
        <x:f>IF($E$6="","",IFERROR(VLOOKUP($E$6&amp;"|"&amp;TEXT(ROW()-5,"000"),Locations!$L$5:$T$64,9,FALSE),""))</x:f>
      </x:c>
    </x:row>
    <x:row r="40">
      <x:c r="A40" s="134" t="str">
        <x:f>IF(OR($B$6="",$B$8="",$E$8=""),"",'Dashboard Config'!$B$5&amp;IF($B$9="Fixed Override"," earliest=-"&amp;$B$10&amp;" latest=now","")&amp;CHAR(10)&amp;$E$8&amp;IF(IFERROR(INDEX('Base Searches'!$F$6:$F$35,MATCH($E$10,'Base Searches'!$B$6:$B$35,0)),"")&lt;&gt;"",CHAR(10)&amp;IFERROR(INDEX('Base Searches'!$F$6:$F$35,MATCH($E$10,'Base Searches'!$B$6:$B$35,0)),""),"")&amp;IF(IFERROR(INDEX('Base Searches'!$G$6:$G$35,MATCH($E$10,'Base Searches'!$B$6:$B$35,0)),"")&lt;&gt;"",CHAR(10)&amp;IFERROR(INDEX('Base Searches'!$G$6:$G$35,MATCH($E$10,'Base Searches'!$B$6:$B$35,0)),""),"")&amp;IF($E$11&lt;&gt;"",IFERROR(CHAR(10)&amp;INDEX(Searches!$Q$6:$Q$205,MATCH($E$11,Searches!$B$6:$B$205,0)),""),"")&amp;IFERROR(CHAR(10)&amp;INDEX(Searches!$Q$6:$Q$205,MATCH($B$8,Searches!$C$6:$C$205,0)),""))</x:f>
        <x:v>index="network_eo" sourcetype="cisco:ios"
(host="syr*" OR host="salep*" OR host="144.219.*" OR host="144.221.*")
("%LINK-3-UPDOWN" OR "%LINEPROTO-5-UPDOWN" OR "%PM-4-ERR_DISABLE")
| fields _time host source sourcetype _raw
| rex field=_raw "(?i)(?:Interface|Line protocol on Interface)\s+(?&lt;interface&gt;[^,]+),\s+changed state to\s+(?&lt;state&gt;up|down)"
| search interface=*
| table _time host interface state _raw | sort - _time</x:v>
      </x:c>
      <x:c r="B40" s="134"/>
      <x:c r="C40" s="134"/>
      <x:c r="D40" s="134"/>
      <x:c r="E40" s="134"/>
      <x:c r="F40" s="134"/>
      <x:c r="Z40" t="str">
        <x:f>NOCs!O39</x:f>
      </x:c>
      <x:c r="AA40" t="str">
        <x:f>IF($E$6="","",IFERROR(VLOOKUP($E$6&amp;"|"&amp;TEXT(ROW()-5,"000"),Locations!$L$5:$T$64,4,FALSE),""))</x:f>
      </x:c>
      <x:c r="AB40" t="str">
        <x:f>IF($E$6="","",IFERROR(VLOOKUP($E$6&amp;"|"&amp;TEXT(ROW()-5,"000"),Locations!$L$5:$T$64,7,FALSE),""))</x:f>
      </x:c>
      <x:c r="AC40" t="str">
        <x:f>IF($E$6="","",IFERROR(VLOOKUP($E$6&amp;"|"&amp;TEXT(ROW()-5,"000"),Locations!$L$5:$T$64,2,FALSE),""))</x:f>
      </x:c>
      <x:c r="AD40" t="str">
        <x:f>IF($E$6="","",IFERROR(VLOOKUP($E$6&amp;"|"&amp;TEXT(ROW()-5,"000"),Locations!$L$5:$T$64,9,FALSE),""))</x:f>
      </x:c>
    </x:row>
    <x:row r="41">
      <x:c r="A41" s="134"/>
      <x:c r="B41" s="134"/>
      <x:c r="C41" s="134"/>
      <x:c r="D41" s="134"/>
      <x:c r="E41" s="134"/>
      <x:c r="F41" s="134"/>
      <x:c r="Z41" t="str">
        <x:f>NOCs!O40</x:f>
      </x:c>
      <x:c r="AA41" t="str">
        <x:f>IF($E$6="","",IFERROR(VLOOKUP($E$6&amp;"|"&amp;TEXT(ROW()-5,"000"),Locations!$L$5:$T$64,4,FALSE),""))</x:f>
      </x:c>
      <x:c r="AB41" t="str">
        <x:f>IF($E$6="","",IFERROR(VLOOKUP($E$6&amp;"|"&amp;TEXT(ROW()-5,"000"),Locations!$L$5:$T$64,7,FALSE),""))</x:f>
      </x:c>
      <x:c r="AC41" t="str">
        <x:f>IF($E$6="","",IFERROR(VLOOKUP($E$6&amp;"|"&amp;TEXT(ROW()-5,"000"),Locations!$L$5:$T$64,2,FALSE),""))</x:f>
      </x:c>
      <x:c r="AD41" t="str">
        <x:f>IF($E$6="","",IFERROR(VLOOKUP($E$6&amp;"|"&amp;TEXT(ROW()-5,"000"),Locations!$L$5:$T$64,9,FALSE),""))</x:f>
      </x:c>
    </x:row>
    <x:row r="42">
      <x:c r="A42" s="133"/>
      <x:c r="B42" s="133"/>
      <x:c r="C42" s="133"/>
      <x:c r="D42" s="133"/>
      <x:c r="E42" s="133"/>
      <x:c r="F42" s="133"/>
      <x:c r="Z42" t="str">
        <x:f>NOCs!O41</x:f>
      </x:c>
      <x:c r="AA42" t="str">
        <x:f>IF($E$6="","",IFERROR(VLOOKUP($E$6&amp;"|"&amp;TEXT(ROW()-5,"000"),Locations!$L$5:$T$64,4,FALSE),""))</x:f>
      </x:c>
      <x:c r="AB42" t="str">
        <x:f>IF($E$6="","",IFERROR(VLOOKUP($E$6&amp;"|"&amp;TEXT(ROW()-5,"000"),Locations!$L$5:$T$64,7,FALSE),""))</x:f>
      </x:c>
      <x:c r="AC42" t="str">
        <x:f>IF($E$6="","",IFERROR(VLOOKUP($E$6&amp;"|"&amp;TEXT(ROW()-5,"000"),Locations!$L$5:$T$64,2,FALSE),""))</x:f>
      </x:c>
      <x:c r="AD42" t="str">
        <x:f>IF($E$6="","",IFERROR(VLOOKUP($E$6&amp;"|"&amp;TEXT(ROW()-5,"000"),Locations!$L$5:$T$64,9,FALSE),""))</x:f>
      </x:c>
    </x:row>
    <x:row r="43">
      <x:c r="A43" s="134"/>
      <x:c r="B43" s="134"/>
      <x:c r="C43" s="134"/>
      <x:c r="D43" s="134"/>
      <x:c r="E43" s="134"/>
      <x:c r="F43" s="134"/>
      <x:c r="Z43" t="str">
        <x:f>NOCs!O42</x:f>
      </x:c>
      <x:c r="AA43" t="str">
        <x:f>IF($E$6="","",IFERROR(VLOOKUP($E$6&amp;"|"&amp;TEXT(ROW()-5,"000"),Locations!$L$5:$T$64,4,FALSE),""))</x:f>
      </x:c>
      <x:c r="AB43" t="str">
        <x:f>IF($E$6="","",IFERROR(VLOOKUP($E$6&amp;"|"&amp;TEXT(ROW()-5,"000"),Locations!$L$5:$T$64,7,FALSE),""))</x:f>
      </x:c>
      <x:c r="AC43" t="str">
        <x:f>IF($E$6="","",IFERROR(VLOOKUP($E$6&amp;"|"&amp;TEXT(ROW()-5,"000"),Locations!$L$5:$T$64,2,FALSE),""))</x:f>
      </x:c>
      <x:c r="AD43" t="str">
        <x:f>IF($E$6="","",IFERROR(VLOOKUP($E$6&amp;"|"&amp;TEXT(ROW()-5,"000"),Locations!$L$5:$T$64,9,FALSE),""))</x:f>
      </x:c>
    </x:row>
    <x:row r="44">
      <x:c r="A44" s="134"/>
      <x:c r="B44" s="134"/>
      <x:c r="C44" s="134"/>
      <x:c r="D44" s="134"/>
      <x:c r="E44" s="134"/>
      <x:c r="F44" s="134"/>
      <x:c r="Z44" t="str">
        <x:f>NOCs!O43</x:f>
      </x:c>
      <x:c r="AA44" t="str">
        <x:f>IF($E$6="","",IFERROR(VLOOKUP($E$6&amp;"|"&amp;TEXT(ROW()-5,"000"),Locations!$L$5:$T$64,4,FALSE),""))</x:f>
      </x:c>
      <x:c r="AB44" t="str">
        <x:f>IF($E$6="","",IFERROR(VLOOKUP($E$6&amp;"|"&amp;TEXT(ROW()-5,"000"),Locations!$L$5:$T$64,7,FALSE),""))</x:f>
      </x:c>
      <x:c r="AC44" t="str">
        <x:f>IF($E$6="","",IFERROR(VLOOKUP($E$6&amp;"|"&amp;TEXT(ROW()-5,"000"),Locations!$L$5:$T$64,2,FALSE),""))</x:f>
      </x:c>
      <x:c r="AD44" t="str">
        <x:f>IF($E$6="","",IFERROR(VLOOKUP($E$6&amp;"|"&amp;TEXT(ROW()-5,"000"),Locations!$L$5:$T$64,9,FALSE),""))</x:f>
      </x:c>
    </x:row>
    <x:row r="45">
      <x:c r="A45" s="134"/>
      <x:c r="B45" s="134"/>
      <x:c r="C45" s="134"/>
      <x:c r="D45" s="134"/>
      <x:c r="E45" s="134"/>
      <x:c r="F45" s="134"/>
      <x:c r="Z45" t="n">
        <x:f>NOCs!O44</x:f>
        <x:v>0</x:v>
      </x:c>
      <x:c r="AA45" t="str">
        <x:f>IF($E$6="","",IFERROR(VLOOKUP($E$6&amp;"|"&amp;TEXT(ROW()-5,"000"),Locations!$L$5:$T$64,4,FALSE),""))</x:f>
      </x:c>
      <x:c r="AB45" t="str">
        <x:f>IF($E$6="","",IFERROR(VLOOKUP($E$6&amp;"|"&amp;TEXT(ROW()-5,"000"),Locations!$L$5:$T$64,7,FALSE),""))</x:f>
      </x:c>
      <x:c r="AC45" t="str">
        <x:f>IF($E$6="","",IFERROR(VLOOKUP($E$6&amp;"|"&amp;TEXT(ROW()-5,"000"),Locations!$L$5:$T$64,2,FALSE),""))</x:f>
      </x:c>
      <x:c r="AD45" t="str">
        <x:f>IF($E$6="","",IFERROR(VLOOKUP($E$6&amp;"|"&amp;TEXT(ROW()-5,"000"),Locations!$L$5:$T$64,9,FALSE),""))</x:f>
      </x:c>
    </x:row>
    <x:row r="46">
      <x:c r="A46" s="134"/>
      <x:c r="B46" s="134"/>
      <x:c r="C46" s="134"/>
      <x:c r="D46" s="134"/>
      <x:c r="E46" s="134"/>
      <x:c r="F46" s="134"/>
      <x:c r="AA46" t="str">
        <x:f>IF($E$6="","",IFERROR(VLOOKUP($E$6&amp;"|"&amp;TEXT(ROW()-5,"000"),Locations!$L$5:$T$64,4,FALSE),""))</x:f>
      </x:c>
      <x:c r="AB46" t="str">
        <x:f>IF($E$6="","",IFERROR(VLOOKUP($E$6&amp;"|"&amp;TEXT(ROW()-5,"000"),Locations!$L$5:$T$64,7,FALSE),""))</x:f>
      </x:c>
      <x:c r="AC46" t="str">
        <x:f>IF($E$6="","",IFERROR(VLOOKUP($E$6&amp;"|"&amp;TEXT(ROW()-5,"000"),Locations!$L$5:$T$64,2,FALSE),""))</x:f>
      </x:c>
      <x:c r="AD46" t="str">
        <x:f>IF($E$6="","",IFERROR(VLOOKUP($E$6&amp;"|"&amp;TEXT(ROW()-5,"000"),Locations!$L$5:$T$64,9,FALSE),""))</x:f>
      </x:c>
    </x:row>
    <x:row r="47">
      <x:c r="A47" s="48"/>
      <x:c r="B47" s="48"/>
      <x:c r="C47" s="48"/>
      <x:c r="D47" s="48"/>
      <x:c r="E47" s="48"/>
      <x:c r="F47" s="48"/>
      <x:c r="AA47" t="str">
        <x:f>IF($E$6="","",IFERROR(VLOOKUP($E$6&amp;"|"&amp;TEXT(ROW()-5,"000"),Locations!$L$5:$T$64,4,FALSE),""))</x:f>
      </x:c>
      <x:c r="AB47" t="str">
        <x:f>IF($E$6="","",IFERROR(VLOOKUP($E$6&amp;"|"&amp;TEXT(ROW()-5,"000"),Locations!$L$5:$T$64,7,FALSE),""))</x:f>
      </x:c>
      <x:c r="AC47" t="str">
        <x:f>IF($E$6="","",IFERROR(VLOOKUP($E$6&amp;"|"&amp;TEXT(ROW()-5,"000"),Locations!$L$5:$T$64,2,FALSE),""))</x:f>
      </x:c>
      <x:c r="AD47" t="str">
        <x:f>IF($E$6="","",IFERROR(VLOOKUP($E$6&amp;"|"&amp;TEXT(ROW()-5,"000"),Locations!$L$5:$T$64,9,FALSE),""))</x:f>
      </x:c>
    </x:row>
    <x:row r="48" ht="22" customHeight="1">
      <x:c r="A48" s="97" t="str">
        <x:v>Standalone Count SPL — actual selected scope</x:v>
      </x:c>
      <x:c r="B48" s="97"/>
      <x:c r="C48" s="97"/>
      <x:c r="D48" s="97"/>
      <x:c r="E48" s="97"/>
      <x:c r="F48" s="97"/>
      <x:c r="AA48" t="str">
        <x:f>IF($E$6="","",IFERROR(VLOOKUP($E$6&amp;"|"&amp;TEXT(ROW()-5,"000"),Locations!$L$5:$T$64,4,FALSE),""))</x:f>
      </x:c>
      <x:c r="AB48" t="str">
        <x:f>IF($E$6="","",IFERROR(VLOOKUP($E$6&amp;"|"&amp;TEXT(ROW()-5,"000"),Locations!$L$5:$T$64,7,FALSE),""))</x:f>
      </x:c>
      <x:c r="AC48" t="str">
        <x:f>IF($E$6="","",IFERROR(VLOOKUP($E$6&amp;"|"&amp;TEXT(ROW()-5,"000"),Locations!$L$5:$T$64,2,FALSE),""))</x:f>
      </x:c>
      <x:c r="AD48" t="str">
        <x:f>IF($E$6="","",IFERROR(VLOOKUP($E$6&amp;"|"&amp;TEXT(ROW()-5,"000"),Locations!$L$5:$T$64,9,FALSE),""))</x:f>
      </x:c>
    </x:row>
    <x:row r="49">
      <x:c r="A49" s="134" t="str">
        <x:f>IF(OR($B$6="",$B$8="",$E$8=""),"",IF(IFERROR(INDEX(Searches!$K$6:$K$205,MATCH($B$8,Searches!$C$6:$C$205,0)),"No")&lt;&gt;"Yes","Count disabled for this search",'Dashboard Config'!$B$5&amp;IF($B$9="Fixed Override"," earliest=-"&amp;$B$10&amp;" latest=now","")&amp;CHAR(10)&amp;$E$8&amp;IF(IFERROR(INDEX('Base Searches'!$F$6:$F$35,MATCH($E$10,'Base Searches'!$B$6:$B$35,0)),"")&lt;&gt;"",CHAR(10)&amp;IFERROR(INDEX('Base Searches'!$F$6:$F$35,MATCH($E$10,'Base Searches'!$B$6:$B$35,0)),""),"")&amp;IF(IFERROR(INDEX('Base Searches'!$G$6:$G$35,MATCH($E$10,'Base Searches'!$B$6:$B$35,0)),"")&lt;&gt;"",CHAR(10)&amp;IFERROR(INDEX('Base Searches'!$G$6:$G$35,MATCH($E$10,'Base Searches'!$B$6:$B$35,0)),""),"")&amp;IF($E$11&lt;&gt;"",IFERROR(CHAR(10)&amp;INDEX(Searches!$Q$6:$Q$205,MATCH($E$11,Searches!$B$6:$B$205,0)),""),"")&amp;IFERROR(CHAR(10)&amp;INDEX(Searches!$R$6:$R$205,MATCH($B$8,Searches!$C$6:$C$205,0)),"")))</x:f>
        <x:v>index="network_eo" sourcetype="cisco:ios"
(host="syr*" OR host="salep*" OR host="144.219.*" OR host="144.221.*")
("%LINK-3-UPDOWN" OR "%LINEPROTO-5-UPDOWN" OR "%PM-4-ERR_DISABLE")
| fields _time host source sourcetype _raw
| rex field=_raw "(?i)(?:Interface|Line protocol on Interface)\s+(?&lt;interface&gt;[^,]+),\s+changed state to\s+(?&lt;state&gt;up|down)"
| search interface=*
| stats count as count by host interface state
| where count &gt;= 1
| sort - count</x:v>
      </x:c>
      <x:c r="B49" s="134"/>
      <x:c r="C49" s="134"/>
      <x:c r="D49" s="134"/>
      <x:c r="E49" s="134"/>
      <x:c r="F49" s="134"/>
      <x:c r="AA49" t="str">
        <x:f>IF($E$6="","",IFERROR(VLOOKUP($E$6&amp;"|"&amp;TEXT(ROW()-5,"000"),Locations!$L$5:$T$64,4,FALSE),""))</x:f>
      </x:c>
      <x:c r="AB49" t="str">
        <x:f>IF($E$6="","",IFERROR(VLOOKUP($E$6&amp;"|"&amp;TEXT(ROW()-5,"000"),Locations!$L$5:$T$64,7,FALSE),""))</x:f>
      </x:c>
      <x:c r="AC49" t="str">
        <x:f>IF($E$6="","",IFERROR(VLOOKUP($E$6&amp;"|"&amp;TEXT(ROW()-5,"000"),Locations!$L$5:$T$64,2,FALSE),""))</x:f>
      </x:c>
      <x:c r="AD49" t="str">
        <x:f>IF($E$6="","",IFERROR(VLOOKUP($E$6&amp;"|"&amp;TEXT(ROW()-5,"000"),Locations!$L$5:$T$64,9,FALSE),""))</x:f>
      </x:c>
    </x:row>
    <x:row r="50">
      <x:c r="A50" s="137"/>
      <x:c r="B50" s="137"/>
      <x:c r="C50" s="137"/>
      <x:c r="D50" s="137"/>
      <x:c r="E50" s="137"/>
      <x:c r="F50" s="137"/>
      <x:c r="AA50" t="str">
        <x:f>IF($E$6="","",IFERROR(VLOOKUP($E$6&amp;"|"&amp;TEXT(ROW()-5,"000"),Locations!$L$5:$T$64,4,FALSE),""))</x:f>
      </x:c>
      <x:c r="AB50" t="str">
        <x:f>IF($E$6="","",IFERROR(VLOOKUP($E$6&amp;"|"&amp;TEXT(ROW()-5,"000"),Locations!$L$5:$T$64,7,FALSE),""))</x:f>
      </x:c>
      <x:c r="AC50" t="str">
        <x:f>IF($E$6="","",IFERROR(VLOOKUP($E$6&amp;"|"&amp;TEXT(ROW()-5,"000"),Locations!$L$5:$T$64,2,FALSE),""))</x:f>
      </x:c>
      <x:c r="AD50" t="str">
        <x:f>IF($E$6="","",IFERROR(VLOOKUP($E$6&amp;"|"&amp;TEXT(ROW()-5,"000"),Locations!$L$5:$T$64,9,FALSE),""))</x:f>
      </x:c>
    </x:row>
    <x:row r="51">
      <x:c r="A51" s="138"/>
      <x:c r="B51" s="138"/>
      <x:c r="C51" s="138"/>
      <x:c r="D51" s="138"/>
      <x:c r="E51" s="138"/>
      <x:c r="F51" s="138"/>
      <x:c r="AA51" t="str">
        <x:f>IF($E$6="","",IFERROR(VLOOKUP($E$6&amp;"|"&amp;TEXT(ROW()-5,"000"),Locations!$L$5:$T$64,4,FALSE),""))</x:f>
      </x:c>
      <x:c r="AB51" t="str">
        <x:f>IF($E$6="","",IFERROR(VLOOKUP($E$6&amp;"|"&amp;TEXT(ROW()-5,"000"),Locations!$L$5:$T$64,7,FALSE),""))</x:f>
      </x:c>
      <x:c r="AC51" t="str">
        <x:f>IF($E$6="","",IFERROR(VLOOKUP($E$6&amp;"|"&amp;TEXT(ROW()-5,"000"),Locations!$L$5:$T$64,2,FALSE),""))</x:f>
      </x:c>
      <x:c r="AD51" t="str">
        <x:f>IF($E$6="","",IFERROR(VLOOKUP($E$6&amp;"|"&amp;TEXT(ROW()-5,"000"),Locations!$L$5:$T$64,9,FALSE),""))</x:f>
      </x:c>
    </x:row>
    <x:row r="52">
      <x:c r="A52" s="138"/>
      <x:c r="B52" s="138"/>
      <x:c r="C52" s="138"/>
      <x:c r="D52" s="138"/>
      <x:c r="E52" s="138"/>
      <x:c r="F52" s="138"/>
      <x:c r="AA52" t="str">
        <x:f>IF($E$6="","",IFERROR(VLOOKUP($E$6&amp;"|"&amp;TEXT(ROW()-5,"000"),Locations!$L$5:$T$64,4,FALSE),""))</x:f>
      </x:c>
      <x:c r="AB52" t="str">
        <x:f>IF($E$6="","",IFERROR(VLOOKUP($E$6&amp;"|"&amp;TEXT(ROW()-5,"000"),Locations!$L$5:$T$64,7,FALSE),""))</x:f>
      </x:c>
      <x:c r="AC52" t="str">
        <x:f>IF($E$6="","",IFERROR(VLOOKUP($E$6&amp;"|"&amp;TEXT(ROW()-5,"000"),Locations!$L$5:$T$64,2,FALSE),""))</x:f>
      </x:c>
      <x:c r="AD52" t="str">
        <x:f>IF($E$6="","",IFERROR(VLOOKUP($E$6&amp;"|"&amp;TEXT(ROW()-5,"000"),Locations!$L$5:$T$64,9,FALSE),""))</x:f>
      </x:c>
    </x:row>
    <x:row r="53">
      <x:c r="A53" s="134"/>
      <x:c r="B53" s="134"/>
      <x:c r="C53" s="134"/>
      <x:c r="D53" s="134"/>
      <x:c r="E53" s="134"/>
      <x:c r="F53" s="134"/>
      <x:c r="AA53" t="str">
        <x:f>IF($E$6="","",IFERROR(VLOOKUP($E$6&amp;"|"&amp;TEXT(ROW()-5,"000"),Locations!$L$5:$T$64,4,FALSE),""))</x:f>
      </x:c>
      <x:c r="AB53" t="str">
        <x:f>IF($E$6="","",IFERROR(VLOOKUP($E$6&amp;"|"&amp;TEXT(ROW()-5,"000"),Locations!$L$5:$T$64,7,FALSE),""))</x:f>
      </x:c>
      <x:c r="AC53" t="str">
        <x:f>IF($E$6="","",IFERROR(VLOOKUP($E$6&amp;"|"&amp;TEXT(ROW()-5,"000"),Locations!$L$5:$T$64,2,FALSE),""))</x:f>
      </x:c>
      <x:c r="AD53" t="str">
        <x:f>IF($E$6="","",IFERROR(VLOOKUP($E$6&amp;"|"&amp;TEXT(ROW()-5,"000"),Locations!$L$5:$T$64,9,FALSE),""))</x:f>
      </x:c>
    </x:row>
    <x:row r="54">
      <x:c r="A54" s="134"/>
      <x:c r="B54" s="134"/>
      <x:c r="C54" s="134"/>
      <x:c r="D54" s="134"/>
      <x:c r="E54" s="134"/>
      <x:c r="F54" s="134"/>
      <x:c r="AA54" t="str">
        <x:f>IF($E$6="","",IFERROR(VLOOKUP($E$6&amp;"|"&amp;TEXT(ROW()-5,"000"),Locations!$L$5:$T$64,4,FALSE),""))</x:f>
      </x:c>
      <x:c r="AB54" t="str">
        <x:f>IF($E$6="","",IFERROR(VLOOKUP($E$6&amp;"|"&amp;TEXT(ROW()-5,"000"),Locations!$L$5:$T$64,7,FALSE),""))</x:f>
      </x:c>
      <x:c r="AC54" t="str">
        <x:f>IF($E$6="","",IFERROR(VLOOKUP($E$6&amp;"|"&amp;TEXT(ROW()-5,"000"),Locations!$L$5:$T$64,2,FALSE),""))</x:f>
      </x:c>
      <x:c r="AD54" t="str">
        <x:f>IF($E$6="","",IFERROR(VLOOKUP($E$6&amp;"|"&amp;TEXT(ROW()-5,"000"),Locations!$L$5:$T$64,9,FALSE),""))</x:f>
      </x:c>
    </x:row>
    <x:row r="55">
      <x:c r="A55" s="134"/>
      <x:c r="B55" s="134"/>
      <x:c r="C55" s="134"/>
      <x:c r="D55" s="134"/>
      <x:c r="E55" s="134"/>
      <x:c r="F55" s="134"/>
      <x:c r="AA55" t="str">
        <x:f>IF($E$6="","",IFERROR(VLOOKUP($E$6&amp;"|"&amp;TEXT(ROW()-5,"000"),Locations!$L$5:$T$64,4,FALSE),""))</x:f>
      </x:c>
      <x:c r="AB55" t="str">
        <x:f>IF($E$6="","",IFERROR(VLOOKUP($E$6&amp;"|"&amp;TEXT(ROW()-5,"000"),Locations!$L$5:$T$64,7,FALSE),""))</x:f>
      </x:c>
      <x:c r="AC55" t="str">
        <x:f>IF($E$6="","",IFERROR(VLOOKUP($E$6&amp;"|"&amp;TEXT(ROW()-5,"000"),Locations!$L$5:$T$64,2,FALSE),""))</x:f>
      </x:c>
      <x:c r="AD55" t="str">
        <x:f>IF($E$6="","",IFERROR(VLOOKUP($E$6&amp;"|"&amp;TEXT(ROW()-5,"000"),Locations!$L$5:$T$64,9,FALSE),""))</x:f>
      </x:c>
    </x:row>
    <x:row r="56">
      <x:c r="A56" s="24"/>
      <x:c r="B56" s="24"/>
      <x:c r="C56" s="24"/>
      <x:c r="D56" s="24"/>
      <x:c r="E56" s="24"/>
      <x:c r="F56" s="24"/>
      <x:c r="AA56" t="str">
        <x:f>IF($E$6="","",IFERROR(VLOOKUP($E$6&amp;"|"&amp;TEXT(ROW()-5,"000"),Locations!$L$5:$T$64,4,FALSE),""))</x:f>
      </x:c>
      <x:c r="AB56" t="str">
        <x:f>IF($E$6="","",IFERROR(VLOOKUP($E$6&amp;"|"&amp;TEXT(ROW()-5,"000"),Locations!$L$5:$T$64,7,FALSE),""))</x:f>
      </x:c>
      <x:c r="AC56" t="str">
        <x:f>IF($E$6="","",IFERROR(VLOOKUP($E$6&amp;"|"&amp;TEXT(ROW()-5,"000"),Locations!$L$5:$T$64,2,FALSE),""))</x:f>
      </x:c>
      <x:c r="AD56" t="str">
        <x:f>IF($E$6="","",IFERROR(VLOOKUP($E$6&amp;"|"&amp;TEXT(ROW()-5,"000"),Locations!$L$5:$T$64,9,FALSE),""))</x:f>
      </x:c>
    </x:row>
    <x:row r="57" ht="22" customHeight="1">
      <x:c r="A57" s="130" t="str">
        <x:v>Base Volume Check — run in Search &amp; Reporting</x:v>
      </x:c>
      <x:c r="B57" s="130"/>
      <x:c r="C57" s="130"/>
      <x:c r="D57" s="130"/>
      <x:c r="E57" s="130"/>
      <x:c r="F57" s="130"/>
      <x:c r="AA57" t="str">
        <x:f>IF($E$6="","",IFERROR(VLOOKUP($E$6&amp;"|"&amp;TEXT(ROW()-5,"000"),Locations!$L$5:$T$64,4,FALSE),""))</x:f>
      </x:c>
      <x:c r="AB57" t="str">
        <x:f>IF($E$6="","",IFERROR(VLOOKUP($E$6&amp;"|"&amp;TEXT(ROW()-5,"000"),Locations!$L$5:$T$64,7,FALSE),""))</x:f>
      </x:c>
      <x:c r="AC57" t="str">
        <x:f>IF($E$6="","",IFERROR(VLOOKUP($E$6&amp;"|"&amp;TEXT(ROW()-5,"000"),Locations!$L$5:$T$64,2,FALSE),""))</x:f>
      </x:c>
      <x:c r="AD57" t="str">
        <x:f>IF($E$6="","",IFERROR(VLOOKUP($E$6&amp;"|"&amp;TEXT(ROW()-5,"000"),Locations!$L$5:$T$64,9,FALSE),""))</x:f>
      </x:c>
    </x:row>
    <x:row r="58">
      <x:c r="A58" s="138" t="str">
        <x:f>IF(OR($E$8="",$E$10=""),"",'Dashboard Config'!$B$5&amp;IF($B$9="Fixed Override"," earliest=-"&amp;$B$10&amp;" latest=now","")&amp;CHAR(10)&amp;$E$8&amp;IF(IFERROR(INDEX('Base Searches'!$F$6:$F$35,MATCH($E$10,'Base Searches'!$B$6:$B$35,0)),"")&lt;&gt;"",CHAR(10)&amp;IFERROR(INDEX('Base Searches'!$F$6:$F$35,MATCH($E$10,'Base Searches'!$B$6:$B$35,0)),""),"")&amp;CHAR(10)&amp;"| stats count as base_events"&amp;CHAR(10)&amp;"| eval retention_limit=500000, pct_of_limit=round((base_events/retention_limit)*100,1)"&amp;CHAR(10)&amp;"| eval review=case(base_events&gt;=retention_limit,""SPLIT / REDUCE BASE"",base_events&gt;=400000,""HIGH — REVIEW"",base_events&gt;=250000,""WATCH"",1=1,""OK"")"&amp;CHAR(10)&amp;"| table base_events retention_limit pct_of_limit review")</x:f>
        <x:v>index="network_eo" sourcetype="cisco:ios"
(host="syr*" OR host="salep*" OR host="144.219.*" OR host="144.221.*")
("%LINK-3-UPDOWN" OR "%LINEPROTO-5-UPDOWN" OR "%PM-4-ERR_DISABLE")
| stats count as base_events
| eval retention_limit=500000, pct_of_limit=round((base_events/retention_limit)*100,1)
| eval review=case(base_events&gt;=retention_limit,"SPLIT / REDUCE BASE",base_events&gt;=400000,"HIGH — REVIEW",base_events&gt;=250000,"WATCH",1=1,"OK")
| table base_events retention_limit pct_of_limit review</x:v>
      </x:c>
      <x:c r="B58" s="138"/>
      <x:c r="C58" s="138"/>
      <x:c r="D58" s="138"/>
      <x:c r="E58" s="138"/>
      <x:c r="F58" s="138"/>
      <x:c r="AA58" t="str">
        <x:f>IF($E$6="","",IFERROR(VLOOKUP($E$6&amp;"|"&amp;TEXT(ROW()-5,"000"),Locations!$L$5:$T$64,4,FALSE),""))</x:f>
      </x:c>
      <x:c r="AB58" t="str">
        <x:f>IF($E$6="","",IFERROR(VLOOKUP($E$6&amp;"|"&amp;TEXT(ROW()-5,"000"),Locations!$L$5:$T$64,7,FALSE),""))</x:f>
      </x:c>
      <x:c r="AC58" t="str">
        <x:f>IF($E$6="","",IFERROR(VLOOKUP($E$6&amp;"|"&amp;TEXT(ROW()-5,"000"),Locations!$L$5:$T$64,2,FALSE),""))</x:f>
      </x:c>
      <x:c r="AD58" t="str">
        <x:f>IF($E$6="","",IFERROR(VLOOKUP($E$6&amp;"|"&amp;TEXT(ROW()-5,"000"),Locations!$L$5:$T$64,9,FALSE),""))</x:f>
      </x:c>
    </x:row>
    <x:row r="59">
      <x:c r="A59" s="138"/>
      <x:c r="B59" s="138"/>
      <x:c r="C59" s="138"/>
      <x:c r="D59" s="138"/>
      <x:c r="E59" s="138"/>
      <x:c r="F59" s="138"/>
      <x:c r="AA59" t="str">
        <x:f>IF($E$6="","",IFERROR(VLOOKUP($E$6&amp;"|"&amp;TEXT(ROW()-5,"000"),Locations!$L$5:$T$64,4,FALSE),""))</x:f>
      </x:c>
      <x:c r="AB59" t="str">
        <x:f>IF($E$6="","",IFERROR(VLOOKUP($E$6&amp;"|"&amp;TEXT(ROW()-5,"000"),Locations!$L$5:$T$64,7,FALSE),""))</x:f>
      </x:c>
      <x:c r="AC59" t="str">
        <x:f>IF($E$6="","",IFERROR(VLOOKUP($E$6&amp;"|"&amp;TEXT(ROW()-5,"000"),Locations!$L$5:$T$64,2,FALSE),""))</x:f>
      </x:c>
      <x:c r="AD59" t="str">
        <x:f>IF($E$6="","",IFERROR(VLOOKUP($E$6&amp;"|"&amp;TEXT(ROW()-5,"000"),Locations!$L$5:$T$64,9,FALSE),""))</x:f>
      </x:c>
    </x:row>
    <x:row r="60">
      <x:c r="A60" s="134"/>
      <x:c r="B60" s="134"/>
      <x:c r="C60" s="134"/>
      <x:c r="D60" s="134"/>
      <x:c r="E60" s="134"/>
      <x:c r="F60" s="134"/>
      <x:c r="AA60" t="str">
        <x:f>IF($E$6="","",IFERROR(VLOOKUP($E$6&amp;"|"&amp;TEXT(ROW()-5,"000"),Locations!$L$5:$T$64,4,FALSE),""))</x:f>
      </x:c>
      <x:c r="AB60" t="str">
        <x:f>IF($E$6="","",IFERROR(VLOOKUP($E$6&amp;"|"&amp;TEXT(ROW()-5,"000"),Locations!$L$5:$T$64,7,FALSE),""))</x:f>
      </x:c>
      <x:c r="AC60" t="str">
        <x:f>IF($E$6="","",IFERROR(VLOOKUP($E$6&amp;"|"&amp;TEXT(ROW()-5,"000"),Locations!$L$5:$T$64,2,FALSE),""))</x:f>
      </x:c>
      <x:c r="AD60" t="str">
        <x:f>IF($E$6="","",IFERROR(VLOOKUP($E$6&amp;"|"&amp;TEXT(ROW()-5,"000"),Locations!$L$5:$T$64,9,FALSE),""))</x:f>
      </x:c>
    </x:row>
    <x:row r="61">
      <x:c r="A61" s="134"/>
      <x:c r="B61" s="134"/>
      <x:c r="C61" s="134"/>
      <x:c r="D61" s="134"/>
      <x:c r="E61" s="134"/>
      <x:c r="F61" s="134"/>
      <x:c r="AA61" t="str">
        <x:f>IF($E$6="","",IFERROR(VLOOKUP($E$6&amp;"|"&amp;TEXT(ROW()-5,"000"),Locations!$L$5:$T$64,4,FALSE),""))</x:f>
      </x:c>
      <x:c r="AB61" t="str">
        <x:f>IF($E$6="","",IFERROR(VLOOKUP($E$6&amp;"|"&amp;TEXT(ROW()-5,"000"),Locations!$L$5:$T$64,7,FALSE),""))</x:f>
      </x:c>
      <x:c r="AC61" t="str">
        <x:f>IF($E$6="","",IFERROR(VLOOKUP($E$6&amp;"|"&amp;TEXT(ROW()-5,"000"),Locations!$L$5:$T$64,2,FALSE),""))</x:f>
      </x:c>
      <x:c r="AD61" t="str">
        <x:f>IF($E$6="","",IFERROR(VLOOKUP($E$6&amp;"|"&amp;TEXT(ROW()-5,"000"),Locations!$L$5:$T$64,9,FALSE),""))</x:f>
      </x:c>
    </x:row>
    <x:row r="62">
      <x:c r="A62" s="134"/>
      <x:c r="B62" s="134"/>
      <x:c r="C62" s="134"/>
      <x:c r="D62" s="134"/>
      <x:c r="E62" s="134"/>
      <x:c r="F62" s="134"/>
      <x:c r="AA62" t="str">
        <x:f>IF($E$6="","",IFERROR(VLOOKUP($E$6&amp;"|"&amp;TEXT(ROW()-5,"000"),Locations!$L$5:$T$64,4,FALSE),""))</x:f>
      </x:c>
      <x:c r="AB62" t="str">
        <x:f>IF($E$6="","",IFERROR(VLOOKUP($E$6&amp;"|"&amp;TEXT(ROW()-5,"000"),Locations!$L$5:$T$64,7,FALSE),""))</x:f>
      </x:c>
      <x:c r="AC62" t="str">
        <x:f>IF($E$6="","",IFERROR(VLOOKUP($E$6&amp;"|"&amp;TEXT(ROW()-5,"000"),Locations!$L$5:$T$64,2,FALSE),""))</x:f>
      </x:c>
      <x:c r="AD62" t="str">
        <x:f>IF($E$6="","",IFERROR(VLOOKUP($E$6&amp;"|"&amp;TEXT(ROW()-5,"000"),Locations!$L$5:$T$64,9,FALSE),""))</x:f>
      </x:c>
    </x:row>
    <x:row r="63">
      <x:c r="A63" s="134"/>
      <x:c r="B63" s="134"/>
      <x:c r="C63" s="134"/>
      <x:c r="D63" s="134"/>
      <x:c r="E63" s="134"/>
      <x:c r="F63" s="134"/>
      <x:c r="AA63" t="str">
        <x:f>IF($E$6="","",IFERROR(VLOOKUP($E$6&amp;"|"&amp;TEXT(ROW()-5,"000"),Locations!$L$5:$T$64,4,FALSE),""))</x:f>
      </x:c>
      <x:c r="AB63" t="str">
        <x:f>IF($E$6="","",IFERROR(VLOOKUP($E$6&amp;"|"&amp;TEXT(ROW()-5,"000"),Locations!$L$5:$T$64,7,FALSE),""))</x:f>
      </x:c>
      <x:c r="AC63" t="str">
        <x:f>IF($E$6="","",IFERROR(VLOOKUP($E$6&amp;"|"&amp;TEXT(ROW()-5,"000"),Locations!$L$5:$T$64,2,FALSE),""))</x:f>
      </x:c>
      <x:c r="AD63" t="str">
        <x:f>IF($E$6="","",IFERROR(VLOOKUP($E$6&amp;"|"&amp;TEXT(ROW()-5,"000"),Locations!$L$5:$T$64,9,FALSE),""))</x:f>
      </x:c>
    </x:row>
    <x:row r="64">
      <x:c r="A64" s="24"/>
      <x:c r="B64" s="24"/>
      <x:c r="C64" s="24"/>
      <x:c r="D64" s="24"/>
      <x:c r="E64" s="24"/>
      <x:c r="F64" s="24"/>
      <x:c r="AA64" t="str">
        <x:f>IF($E$6="","",IFERROR(VLOOKUP($E$6&amp;"|"&amp;TEXT(ROW()-5,"000"),Locations!$L$5:$T$64,4,FALSE),""))</x:f>
      </x:c>
      <x:c r="AB64" t="str">
        <x:f>IF($E$6="","",IFERROR(VLOOKUP($E$6&amp;"|"&amp;TEXT(ROW()-5,"000"),Locations!$L$5:$T$64,7,FALSE),""))</x:f>
      </x:c>
      <x:c r="AC64" t="str">
        <x:f>IF($E$6="","",IFERROR(VLOOKUP($E$6&amp;"|"&amp;TEXT(ROW()-5,"000"),Locations!$L$5:$T$64,2,FALSE),""))</x:f>
      </x:c>
      <x:c r="AD64" t="str">
        <x:f>IF($E$6="","",IFERROR(VLOOKUP($E$6&amp;"|"&amp;TEXT(ROW()-5,"000"),Locations!$L$5:$T$64,9,FALSE),""))</x:f>
      </x:c>
    </x:row>
    <x:row r="65">
      <x:c r="A65" s="71" t="str">
        <x:v>Rule of thumb: add a Search when only the final filtering/aggregation changes; add a Parent Search when multiple children reuse parsing; add a Base only when the event family or volume profile is materially different. NOC/location growth should never require duplicating any of those searches.</x:v>
      </x:c>
      <x:c r="B65" s="71"/>
      <x:c r="C65" s="71"/>
      <x:c r="D65" s="71"/>
      <x:c r="E65" s="71"/>
      <x:c r="F65" s="71"/>
      <x:c r="AA65" t="str">
        <x:f>IF($E$6="","",IFERROR(VLOOKUP($E$6&amp;"|"&amp;TEXT(ROW()-5,"000"),Locations!$L$5:$T$64,4,FALSE),""))</x:f>
      </x:c>
      <x:c r="AB65" t="str">
        <x:f>IF($E$6="","",IFERROR(VLOOKUP($E$6&amp;"|"&amp;TEXT(ROW()-5,"000"),Locations!$L$5:$T$64,7,FALSE),""))</x:f>
      </x:c>
      <x:c r="AC65" t="str">
        <x:f>IF($E$6="","",IFERROR(VLOOKUP($E$6&amp;"|"&amp;TEXT(ROW()-5,"000"),Locations!$L$5:$T$64,2,FALSE),""))</x:f>
      </x:c>
      <x:c r="AD65" t="str">
        <x:f>IF($E$6="","",IFERROR(VLOOKUP($E$6&amp;"|"&amp;TEXT(ROW()-5,"000"),Locations!$L$5:$T$64,9,FALSE),""))</x:f>
      </x:c>
    </x:row>
  </x:sheetData>
  <x:mergeCells>
    <x:mergeCell ref="A1:F1"/>
    <x:mergeCell ref="A2:F3"/>
    <x:mergeCell ref="A12:F12"/>
    <x:mergeCell ref="A16:F16"/>
    <x:mergeCell ref="A22:F22"/>
    <x:mergeCell ref="A28:F28"/>
    <x:mergeCell ref="A34:F34"/>
    <x:mergeCell ref="A42:F42"/>
    <x:mergeCell ref="A13:F14"/>
    <x:mergeCell ref="A17:F20"/>
    <x:mergeCell ref="A23:F26"/>
    <x:mergeCell ref="A29:F32"/>
    <x:mergeCell ref="A35:F40"/>
    <x:mergeCell ref="A43:F48"/>
    <x:mergeCell ref="A50:F52"/>
    <x:mergeCell ref="A50:F50"/>
    <x:mergeCell ref="A51:F55"/>
    <x:mergeCell ref="A57:F59"/>
    <x:mergeCell ref="A2:F2"/>
    <x:mergeCell ref="A16:F18"/>
    <x:mergeCell ref="A21:F25"/>
    <x:mergeCell ref="A28:F31"/>
    <x:mergeCell ref="A34:F37"/>
    <x:mergeCell ref="A40:F46"/>
    <x:mergeCell ref="A49:F55"/>
    <x:mergeCell ref="A58:F63"/>
    <x:mergeCell ref="A65:F65"/>
  </x:mergeCells>
  <x:conditionalFormatting sqref="E9:E9">
    <x:cfRule type="expression" dxfId="15" priority="1">
      <x:formula>LEFT($E$9,2)&lt;&gt;"OK"</x:formula>
    </x:cfRule>
    <x:cfRule type="expression" dxfId="16" priority="2">
      <x:formula>$E$9="OK"</x:formula>
    </x:cfRule>
  </x:conditionalFormatting>
  <x:dataValidations count="5">
    <x:dataValidation type="list" allowBlank="1" showDropDown="0" sqref="B6">
      <x:formula1>$Z$6:$Z$45</x:formula1>
    </x:dataValidation>
    <x:dataValidation type="list" allowBlank="1" showDropDown="0" sqref="B7">
      <x:formula1>$AA$6:$AA$65</x:formula1>
    </x:dataValidation>
    <x:dataValidation type="list" sqref="B8">
      <x:formula1>Searches!$C$6:$C$205</x:formula1>
    </x:dataValidation>
    <x:dataValidation type="list" sqref="B9">
      <x:formula1>"Search UI / Dashboard,Fixed Override"</x:formula1>
    </x:dataValidation>
    <x:dataValidation type="list" sqref="B10">
      <x:formula1>"15m,1h,4h,24h,7d"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24" hidden="0" customWidth="1"/>
    <x:col min="4" max="4" width="25" hidden="0" customWidth="1"/>
    <x:col min="5" max="5" width="48" hidden="0" customWidth="1"/>
    <x:col min="6" max="6" width="40" hidden="0" customWidth="1"/>
    <x:col min="7" max="7" width="44" hidden="0" customWidth="1"/>
    <x:col min="8" max="8" width="14" hidden="0" customWidth="1"/>
    <x:col min="9" max="9" width="20" hidden="0" customWidth="1"/>
    <x:col min="10" max="10" width="38" hidden="0" customWidth="1"/>
    <x:col min="11" max="11" width="0.10000000149011612" hidden="0" customWidth="1"/>
    <x:col min="12" max="12" width="0.10000000149011612" hidden="0" customWidth="1"/>
    <x:col min="13" max="13" width="0.10000000149011612" hidden="0" customWidth="1"/>
    <x:col min="14" max="14" width="0.10000000149011612" hidden="0" customWidth="1"/>
    <x:col min="15" max="15" width="0.10000000149011612" hidden="0" customWidth="1"/>
    <x:col min="16" max="16" width="0.10000000149011612" hidden="0" customWidth="1"/>
    <x:col min="17" max="17" width="0.10000000149011612" hidden="0" customWidth="1"/>
    <x:col min="18" max="18" width="0.10000000149011612" hidden="0" customWidth="1"/>
    <x:col min="19" max="19" width="0.10000000149011612" hidden="0" customWidth="1"/>
    <x:col min="20" max="20" width="0.10000000149011612" hidden="0" customWidth="1"/>
  </x:cols>
  <x:sheetData>
    <x:row r="1" ht="24" customHeight="1">
      <x:c r="A1" s="176" t="str">
        <x:v>NOCs — one row per NOC / dashboard parent scope</x:v>
      </x:c>
      <x:c r="B1" s="176"/>
      <x:c r="C1" s="176"/>
      <x:c r="D1" s="176"/>
      <x:c r="E1" s="176"/>
      <x:c r="F1" s="176"/>
      <x:c r="G1" s="176"/>
      <x:c r="H1" s="176"/>
      <x:c r="I1" s="176"/>
      <x:c r="J1" s="176"/>
    </x:row>
    <x:row r="2" ht="30" customHeight="1">
      <x:c r="A2" s="158" t="str">
        <x:v>One row = one NOC / main location. It owns any number of managed Locations. The live dashboard selects a child Location; Auto Scope here is an aggregate reference/debug view.</x:v>
      </x:c>
      <x:c r="B2" s="158"/>
      <x:c r="C2" s="158"/>
      <x:c r="D2" s="158"/>
      <x:c r="E2" s="158"/>
      <x:c r="F2" s="158"/>
      <x:c r="G2" s="158"/>
      <x:c r="H2" s="158"/>
      <x:c r="I2" s="158"/>
      <x:c r="J2" s="158"/>
    </x:row>
    <x:row r="4" ht="32" customHeight="1">
      <x:c r="A4" s="177" t="str">
        <x:v>Use?</x:v>
      </x:c>
      <x:c r="B4" s="177" t="str">
        <x:v>NOC ID</x:v>
      </x:c>
      <x:c r="C4" s="177" t="str">
        <x:v>Display Name</x:v>
      </x:c>
      <x:c r="D4" s="177" t="str">
        <x:v>Default Location ID (optional)</x:v>
      </x:c>
      <x:c r="E4" s="177" t="str">
        <x:v>Auto Scope</x:v>
      </x:c>
      <x:c r="F4" s="177" t="str">
        <x:v>NOC Input Item</x:v>
      </x:c>
      <x:c r="G4" s="177" t="str">
        <x:v>Aggregate Scope JSON (optional)</x:v>
      </x:c>
      <x:c r="H4" s="177" t="str">
        <x:v>Location Count</x:v>
      </x:c>
      <x:c r="I4" s="177" t="str">
        <x:v>Status</x:v>
      </x:c>
      <x:c r="J4" s="177" t="str">
        <x:v>Notes</x:v>
      </x:c>
      <x:c r="K4" s="172" t="str">
        <x:v>Enabled NOC Rank (helper)</x:v>
      </x:c>
      <x:c r="L4" s="172" t="str">
        <x:v>Enabled NOC Rank Key (helper)</x:v>
      </x:c>
      <x:c r="M4" s="172" t="str">
        <x:v>Enabled NOC Display Echo (helper)</x:v>
      </x:c>
      <x:c r="N4" t="str">
        <x:v>Dropdown Rank Key (helper)</x:v>
      </x:c>
      <x:c r="O4" t="str">
        <x:v>Enabled NOC List (helper)</x:v>
      </x:c>
      <x:c r="P4" t="str">
        <x:v>Display Lookup Key (helper)</x:v>
      </x:c>
      <x:c r="Q4" t="str">
        <x:v>NOC ID Lookup Value (helper)</x:v>
      </x:c>
      <x:c r="R4" t="str">
        <x:v>Input Ready Rank (helper)</x:v>
      </x:c>
      <x:c r="S4" t="str">
        <x:v>Input Ready Key (helper)</x:v>
      </x:c>
      <x:c r="T4" t="str">
        <x:v>Assignable NOC ID (helper)</x:v>
      </x:c>
    </x:row>
    <x:row r="5">
      <x:c r="A5" s="178" t="str">
        <x:v>Yes</x:v>
      </x:c>
      <x:c r="B5" s="178" t="str">
        <x:v>NOC_CURRENT</x:v>
      </x:c>
      <x:c r="C5" s="178" t="str">
        <x:v>Current / Sample NOC</x:v>
      </x:c>
      <x:c r="D5" s="178" t="str">
        <x:v>LOC_CURRENT</x:v>
      </x:c>
      <x:c r="E5" s="179" t="str">
        <x:f>IF(A5&lt;&gt;"Yes","",IF(H5=0,"","("&amp;IFERROR(VLOOKUP(B5&amp;"|"&amp;TEXT(H5,"000"),Locations!$L$5:$M$64,2,FALSE),"")&amp;")"))</x:f>
        <x:v>((host="syr*" OR host="salep*" OR host="144.219.*" OR host="144.221.*"))</x:v>
      </x:c>
      <x:c r="F5" s="179" t="str">
        <x:f>IF(OR($A5&lt;&gt;"Yes",$B5="",$C5=""),"",CHAR(123)&amp;CHAR(34)&amp;"label"&amp;CHAR(34)&amp;":"&amp;CHAR(34)&amp;$C5&amp;CHAR(34)&amp;","&amp;CHAR(34)&amp;"value"&amp;CHAR(34)&amp;":"&amp;CHAR(34)&amp;$B5&amp;CHAR(34)&amp;CHAR(125))</x:f>
        <x:v>{"label":"Current / Sample NOC","value":"NOC_CURRENT"}</x:v>
      </x:c>
      <x:c r="G5" s="179" t="str">
        <x:f>IF(OR(A5&lt;&gt;"Yes",E5=""),"","{""label"":""Aggregate Scope"",""value"":"""&amp;SUBSTITUTE(E5,CHAR(34),"\"&amp;CHAR(34))&amp;"""}")</x:f>
        <x:v>{"label":"Aggregate Scope","value":"((host=\"syr*\" OR host=\"salep*\" OR host=\"144.219.*\" OR host=\"144.221.*\"))"}</x:v>
      </x:c>
      <x:c r="H5" s="179" t="n">
        <x:f>IF($B5="","",COUNTIFS(Locations!$I$5:$I$64,"OK",Locations!$B$5:$B$64,$B5))</x:f>
        <x:v>1</x:v>
      </x:c>
      <x:c r="I5" s="179" t="str">
        <x:f>IF($A5&lt;&gt;"Yes","Disabled",IF($B5="","Missing NOC ID",IF($C5="","Missing display name",IF(COUNTIF($B$5:$B$44,$B5)&gt;1,"Duplicate NOC ID",IF(COUNTIF($C$5:$C$44,$C5)&gt;1,"Duplicate display name",IF($H5=0,"No enabled locations","OK"))))))</x:f>
        <x:v>OK</x:v>
      </x:c>
      <x:c r="J5" s="178" t="str">
        <x:v>Example seed row — replace with your real NOC/main-location naming.</x:v>
      </x:c>
      <x:c r="K5" t="n">
        <x:f>IF($I5="OK",COUNTIF($I$5:$I5,"OK"),"")</x:f>
        <x:v>1</x:v>
      </x:c>
      <x:c r="L5" t="str">
        <x:f>IF($K5="","","NOC|"&amp;TEXT($K5,"000"))</x:f>
        <x:v>NOC|001</x:v>
      </x:c>
      <x:c r="M5" t="str">
        <x:f>IF($I5="OK",$C5,"")</x:f>
        <x:v>Current / Sample NOC</x:v>
      </x:c>
      <x:c r="N5" t="str">
        <x:f>"NOC|001"</x:f>
        <x:v>NOC|001</x:v>
      </x:c>
      <x:c r="O5" t="str">
        <x:f>IFERROR(VLOOKUP($N5,$L$5:$M$44,2,FALSE),"")</x:f>
        <x:v>Current / Sample NOC</x:v>
      </x:c>
      <x:c r="P5" t="str">
        <x:f>IF($I5="OK",$C5,"")</x:f>
        <x:v>Current / Sample NOC</x:v>
      </x:c>
      <x:c r="Q5" t="str">
        <x:f>IF($I5="OK",$B5,"")</x:f>
        <x:v>NOC_CURRENT</x:v>
      </x:c>
      <x:c r="R5" t="n">
        <x:f>IF(AND($A5="Yes",$B5&lt;&gt;"",$C5&lt;&gt;"",COUNTIF($B$5:$B$44,$B5)=1,COUNTIF($C$5:$C$44,$C5)=1),COUNT($R$4:R4)+1,"")</x:f>
        <x:v>1</x:v>
      </x:c>
      <x:c r="S5" t="str">
        <x:f>IF($R5="","","NOCINPUT|"&amp;TEXT($R5,"000"))</x:f>
        <x:v>NOCINPUT|001</x:v>
      </x:c>
      <x:c r="T5" t="str">
        <x:f>IF($R5="","",$B5)</x:f>
        <x:v>NOC_CURRENT</x:v>
      </x:c>
    </x:row>
    <x:row r="6">
      <x:c r="A6" s="178" t="str">
        <x:v>No</x:v>
      </x:c>
      <x:c r="B6" s="178" t="str">
        <x:v>NOC_002</x:v>
      </x:c>
      <x:c r="C6" s="178" t="str">
        <x:v>NOC 002</x:v>
      </x:c>
      <x:c r="D6" s="178"/>
      <x:c r="E6" s="179" t="str">
        <x:f>IF(A6&lt;&gt;"Yes","",IF(H6=0,"","("&amp;IFERROR(VLOOKUP(B6&amp;"|"&amp;TEXT(H6,"000"),Locations!$L$5:$M$64,2,FALSE),"")&amp;")"))</x:f>
      </x:c>
      <x:c r="F6" s="179" t="str">
        <x:f>IF(OR($A6&lt;&gt;"Yes",$B6="",$C6=""),"",CHAR(123)&amp;CHAR(34)&amp;"label"&amp;CHAR(34)&amp;":"&amp;CHAR(34)&amp;$C6&amp;CHAR(34)&amp;","&amp;CHAR(34)&amp;"value"&amp;CHAR(34)&amp;":"&amp;CHAR(34)&amp;$B6&amp;CHAR(34)&amp;CHAR(125))</x:f>
      </x:c>
      <x:c r="G6" s="179" t="str">
        <x:f>IF(OR(A6&lt;&gt;"Yes",E6=""),"","{""label"":""Aggregate Scope"",""value"":"""&amp;SUBSTITUTE(E6,CHAR(34),"\"&amp;CHAR(34))&amp;"""}")</x:f>
      </x:c>
      <x:c r="H6" s="179" t="n">
        <x:f>IF($B6="","",COUNTIFS(Locations!$I$5:$I$64,"OK",Locations!$B$5:$B$64,$B6))</x:f>
        <x:v>0</x:v>
      </x:c>
      <x:c r="I6" s="179" t="str">
        <x:f>IF($A6&lt;&gt;"Yes","Disabled",IF($B6="","Missing NOC ID",IF($C6="","Missing display name",IF(COUNTIF($B$5:$B$44,$B6)&gt;1,"Duplicate NOC ID",IF(COUNTIF($C$5:$C$44,$C6)&gt;1,"Duplicate display name",IF($H6=0,"No enabled locations","OK"))))))</x:f>
        <x:v>Disabled</x:v>
      </x:c>
      <x:c r="J6" s="178" t="str"/>
      <x:c r="K6" t="str">
        <x:f>IF($I6="OK",COUNTIF($I$5:$I6,"OK"),"")</x:f>
      </x:c>
      <x:c r="L6" t="str">
        <x:f>IF($K6="","","NOC|"&amp;TEXT($K6,"000"))</x:f>
      </x:c>
      <x:c r="M6" t="str">
        <x:f>IF($I6="OK",$C6,"")</x:f>
      </x:c>
      <x:c r="N6" t="str">
        <x:f>"NOC|002"</x:f>
        <x:v>NOC|002</x:v>
      </x:c>
      <x:c r="O6" t="str">
        <x:f>IFERROR(VLOOKUP($N6,$L$5:$M$44,2,FALSE),"")</x:f>
      </x:c>
      <x:c r="P6" t="str">
        <x:f>IF($I6="OK",$C6,"")</x:f>
      </x:c>
      <x:c r="Q6" t="str">
        <x:f>IF($I6="OK",$B6,"")</x:f>
      </x:c>
      <x:c r="R6" t="str">
        <x:f>IF(AND($A6="Yes",$B6&lt;&gt;"",$C6&lt;&gt;"",COUNTIF($B$5:$B$44,$B6)=1,COUNTIF($C$5:$C$44,$C6)=1),COUNT($R$4:R5)+1,"")</x:f>
      </x:c>
      <x:c r="S6" t="str">
        <x:f>IF($R6="","","NOCINPUT|"&amp;TEXT($R6,"000"))</x:f>
      </x:c>
      <x:c r="T6" t="str">
        <x:f>IF($R6="","",$B6)</x:f>
      </x:c>
    </x:row>
    <x:row r="7">
      <x:c r="A7" s="178" t="str">
        <x:v>No</x:v>
      </x:c>
      <x:c r="B7" s="178" t="str">
        <x:v>NOC_003</x:v>
      </x:c>
      <x:c r="C7" s="178" t="str">
        <x:v>NOC 003</x:v>
      </x:c>
      <x:c r="D7" s="178"/>
      <x:c r="E7" s="179" t="str">
        <x:f>IF(A7&lt;&gt;"Yes","",IF(H7=0,"","("&amp;IFERROR(VLOOKUP(B7&amp;"|"&amp;TEXT(H7,"000"),Locations!$L$5:$M$64,2,FALSE),"")&amp;")"))</x:f>
      </x:c>
      <x:c r="F7" s="179" t="str">
        <x:f>IF(OR($A7&lt;&gt;"Yes",$B7="",$C7=""),"",CHAR(123)&amp;CHAR(34)&amp;"label"&amp;CHAR(34)&amp;":"&amp;CHAR(34)&amp;$C7&amp;CHAR(34)&amp;","&amp;CHAR(34)&amp;"value"&amp;CHAR(34)&amp;":"&amp;CHAR(34)&amp;$B7&amp;CHAR(34)&amp;CHAR(125))</x:f>
      </x:c>
      <x:c r="G7" s="179" t="str">
        <x:f>IF(OR(A7&lt;&gt;"Yes",E7=""),"","{""label"":""Aggregate Scope"",""value"":"""&amp;SUBSTITUTE(E7,CHAR(34),"\"&amp;CHAR(34))&amp;"""}")</x:f>
      </x:c>
      <x:c r="H7" s="179" t="n">
        <x:f>IF($B7="","",COUNTIFS(Locations!$I$5:$I$64,"OK",Locations!$B$5:$B$64,$B7))</x:f>
        <x:v>0</x:v>
      </x:c>
      <x:c r="I7" s="179" t="str">
        <x:f>IF($A7&lt;&gt;"Yes","Disabled",IF($B7="","Missing NOC ID",IF($C7="","Missing display name",IF(COUNTIF($B$5:$B$44,$B7)&gt;1,"Duplicate NOC ID",IF(COUNTIF($C$5:$C$44,$C7)&gt;1,"Duplicate display name",IF($H7=0,"No enabled locations","OK"))))))</x:f>
        <x:v>Disabled</x:v>
      </x:c>
      <x:c r="J7" s="178" t="str"/>
      <x:c r="K7" t="str">
        <x:f>IF($I7="OK",COUNTIF($I$5:$I7,"OK"),"")</x:f>
      </x:c>
      <x:c r="L7" t="str">
        <x:f>IF($K7="","","NOC|"&amp;TEXT($K7,"000"))</x:f>
      </x:c>
      <x:c r="M7" t="str">
        <x:f>IF($I7="OK",$C7,"")</x:f>
      </x:c>
      <x:c r="N7" t="str">
        <x:f>"NOC|003"</x:f>
        <x:v>NOC|003</x:v>
      </x:c>
      <x:c r="O7" t="str">
        <x:f>IFERROR(VLOOKUP($N7,$L$5:$M$44,2,FALSE),"")</x:f>
      </x:c>
      <x:c r="P7" t="str">
        <x:f>IF($I7="OK",$C7,"")</x:f>
      </x:c>
      <x:c r="Q7" t="str">
        <x:f>IF($I7="OK",$B7,"")</x:f>
      </x:c>
      <x:c r="R7" t="str">
        <x:f>IF(AND($A7="Yes",$B7&lt;&gt;"",$C7&lt;&gt;"",COUNTIF($B$5:$B$44,$B7)=1,COUNTIF($C$5:$C$44,$C7)=1),COUNT($R$4:R6)+1,"")</x:f>
      </x:c>
      <x:c r="S7" t="str">
        <x:f>IF($R7="","","NOCINPUT|"&amp;TEXT($R7,"000"))</x:f>
      </x:c>
      <x:c r="T7" t="str">
        <x:f>IF($R7="","",$B7)</x:f>
      </x:c>
    </x:row>
    <x:row r="8">
      <x:c r="A8" s="178" t="str">
        <x:v>No</x:v>
      </x:c>
      <x:c r="B8" s="178" t="str">
        <x:v>NOC_004</x:v>
      </x:c>
      <x:c r="C8" s="178" t="str">
        <x:v>NOC 004</x:v>
      </x:c>
      <x:c r="D8" s="178"/>
      <x:c r="E8" s="179" t="str">
        <x:f>IF(A8&lt;&gt;"Yes","",IF(H8=0,"","("&amp;IFERROR(VLOOKUP(B8&amp;"|"&amp;TEXT(H8,"000"),Locations!$L$5:$M$64,2,FALSE),"")&amp;")"))</x:f>
      </x:c>
      <x:c r="F8" s="179" t="str">
        <x:f>IF(OR($A8&lt;&gt;"Yes",$B8="",$C8=""),"",CHAR(123)&amp;CHAR(34)&amp;"label"&amp;CHAR(34)&amp;":"&amp;CHAR(34)&amp;$C8&amp;CHAR(34)&amp;","&amp;CHAR(34)&amp;"value"&amp;CHAR(34)&amp;":"&amp;CHAR(34)&amp;$B8&amp;CHAR(34)&amp;CHAR(125))</x:f>
      </x:c>
      <x:c r="G8" s="179" t="str">
        <x:f>IF(OR(A8&lt;&gt;"Yes",E8=""),"","{""label"":""Aggregate Scope"",""value"":"""&amp;SUBSTITUTE(E8,CHAR(34),"\"&amp;CHAR(34))&amp;"""}")</x:f>
      </x:c>
      <x:c r="H8" s="179" t="n">
        <x:f>IF($B8="","",COUNTIFS(Locations!$I$5:$I$64,"OK",Locations!$B$5:$B$64,$B8))</x:f>
        <x:v>0</x:v>
      </x:c>
      <x:c r="I8" s="179" t="str">
        <x:f>IF($A8&lt;&gt;"Yes","Disabled",IF($B8="","Missing NOC ID",IF($C8="","Missing display name",IF(COUNTIF($B$5:$B$44,$B8)&gt;1,"Duplicate NOC ID",IF(COUNTIF($C$5:$C$44,$C8)&gt;1,"Duplicate display name",IF($H8=0,"No enabled locations","OK"))))))</x:f>
        <x:v>Disabled</x:v>
      </x:c>
      <x:c r="J8" s="178" t="str"/>
      <x:c r="K8" t="str">
        <x:f>IF($I8="OK",COUNTIF($I$5:$I8,"OK"),"")</x:f>
      </x:c>
      <x:c r="L8" t="str">
        <x:f>IF($K8="","","NOC|"&amp;TEXT($K8,"000"))</x:f>
      </x:c>
      <x:c r="M8" t="str">
        <x:f>IF($I8="OK",$C8,"")</x:f>
      </x:c>
      <x:c r="N8" t="str">
        <x:f>"NOC|004"</x:f>
        <x:v>NOC|004</x:v>
      </x:c>
      <x:c r="O8" t="str">
        <x:f>IFERROR(VLOOKUP($N8,$L$5:$M$44,2,FALSE),"")</x:f>
      </x:c>
      <x:c r="P8" t="str">
        <x:f>IF($I8="OK",$C8,"")</x:f>
      </x:c>
      <x:c r="Q8" t="str">
        <x:f>IF($I8="OK",$B8,"")</x:f>
      </x:c>
      <x:c r="R8" t="str">
        <x:f>IF(AND($A8="Yes",$B8&lt;&gt;"",$C8&lt;&gt;"",COUNTIF($B$5:$B$44,$B8)=1,COUNTIF($C$5:$C$44,$C8)=1),COUNT($R$4:R7)+1,"")</x:f>
      </x:c>
      <x:c r="S8" t="str">
        <x:f>IF($R8="","","NOCINPUT|"&amp;TEXT($R8,"000"))</x:f>
      </x:c>
      <x:c r="T8" t="str">
        <x:f>IF($R8="","",$B8)</x:f>
      </x:c>
    </x:row>
    <x:row r="9">
      <x:c r="A9" s="178" t="str">
        <x:v>No</x:v>
      </x:c>
      <x:c r="B9" s="178" t="str">
        <x:v>NOC_005</x:v>
      </x:c>
      <x:c r="C9" s="178" t="str">
        <x:v>NOC 005</x:v>
      </x:c>
      <x:c r="D9" s="178"/>
      <x:c r="E9" s="179" t="str">
        <x:f>IF(A9&lt;&gt;"Yes","",IF(H9=0,"","("&amp;IFERROR(VLOOKUP(B9&amp;"|"&amp;TEXT(H9,"000"),Locations!$L$5:$M$64,2,FALSE),"")&amp;")"))</x:f>
      </x:c>
      <x:c r="F9" s="179" t="str">
        <x:f>IF(OR($A9&lt;&gt;"Yes",$B9="",$C9=""),"",CHAR(123)&amp;CHAR(34)&amp;"label"&amp;CHAR(34)&amp;":"&amp;CHAR(34)&amp;$C9&amp;CHAR(34)&amp;","&amp;CHAR(34)&amp;"value"&amp;CHAR(34)&amp;":"&amp;CHAR(34)&amp;$B9&amp;CHAR(34)&amp;CHAR(125))</x:f>
      </x:c>
      <x:c r="G9" s="179" t="str">
        <x:f>IF(OR(A9&lt;&gt;"Yes",E9=""),"","{""label"":""Aggregate Scope"",""value"":"""&amp;SUBSTITUTE(E9,CHAR(34),"\"&amp;CHAR(34))&amp;"""}")</x:f>
      </x:c>
      <x:c r="H9" s="179" t="n">
        <x:f>IF($B9="","",COUNTIFS(Locations!$I$5:$I$64,"OK",Locations!$B$5:$B$64,$B9))</x:f>
        <x:v>0</x:v>
      </x:c>
      <x:c r="I9" s="179" t="str">
        <x:f>IF($A9&lt;&gt;"Yes","Disabled",IF($B9="","Missing NOC ID",IF($C9="","Missing display name",IF(COUNTIF($B$5:$B$44,$B9)&gt;1,"Duplicate NOC ID",IF(COUNTIF($C$5:$C$44,$C9)&gt;1,"Duplicate display name",IF($H9=0,"No enabled locations","OK"))))))</x:f>
        <x:v>Disabled</x:v>
      </x:c>
      <x:c r="J9" s="178" t="str"/>
      <x:c r="K9" t="str">
        <x:f>IF($I9="OK",COUNTIF($I$5:$I9,"OK"),"")</x:f>
      </x:c>
      <x:c r="L9" t="str">
        <x:f>IF($K9="","","NOC|"&amp;TEXT($K9,"000"))</x:f>
      </x:c>
      <x:c r="M9" t="str">
        <x:f>IF($I9="OK",$C9,"")</x:f>
      </x:c>
      <x:c r="N9" t="str">
        <x:f>"NOC|005"</x:f>
        <x:v>NOC|005</x:v>
      </x:c>
      <x:c r="O9" t="str">
        <x:f>IFERROR(VLOOKUP($N9,$L$5:$M$44,2,FALSE),"")</x:f>
      </x:c>
      <x:c r="P9" t="str">
        <x:f>IF($I9="OK",$C9,"")</x:f>
      </x:c>
      <x:c r="Q9" t="str">
        <x:f>IF($I9="OK",$B9,"")</x:f>
      </x:c>
      <x:c r="R9" t="str">
        <x:f>IF(AND($A9="Yes",$B9&lt;&gt;"",$C9&lt;&gt;"",COUNTIF($B$5:$B$44,$B9)=1,COUNTIF($C$5:$C$44,$C9)=1),COUNT($R$4:R8)+1,"")</x:f>
      </x:c>
      <x:c r="S9" t="str">
        <x:f>IF($R9="","","NOCINPUT|"&amp;TEXT($R9,"000"))</x:f>
      </x:c>
      <x:c r="T9" t="str">
        <x:f>IF($R9="","",$B9)</x:f>
      </x:c>
    </x:row>
    <x:row r="10">
      <x:c r="A10" s="178" t="str">
        <x:v>No</x:v>
      </x:c>
      <x:c r="B10" s="178" t="str">
        <x:v>NOC_006</x:v>
      </x:c>
      <x:c r="C10" s="178" t="str">
        <x:v>NOC 006</x:v>
      </x:c>
      <x:c r="D10" s="178"/>
      <x:c r="E10" s="179" t="str">
        <x:f>IF(A10&lt;&gt;"Yes","",IF(H10=0,"","("&amp;IFERROR(VLOOKUP(B10&amp;"|"&amp;TEXT(H10,"000"),Locations!$L$5:$M$64,2,FALSE),"")&amp;")"))</x:f>
      </x:c>
      <x:c r="F10" s="179" t="str">
        <x:f>IF(OR($A10&lt;&gt;"Yes",$B10="",$C10=""),"",CHAR(123)&amp;CHAR(34)&amp;"label"&amp;CHAR(34)&amp;":"&amp;CHAR(34)&amp;$C10&amp;CHAR(34)&amp;","&amp;CHAR(34)&amp;"value"&amp;CHAR(34)&amp;":"&amp;CHAR(34)&amp;$B10&amp;CHAR(34)&amp;CHAR(125))</x:f>
      </x:c>
      <x:c r="G10" s="179" t="str">
        <x:f>IF(OR(A10&lt;&gt;"Yes",E10=""),"","{""label"":""Aggregate Scope"",""value"":"""&amp;SUBSTITUTE(E10,CHAR(34),"\"&amp;CHAR(34))&amp;"""}")</x:f>
      </x:c>
      <x:c r="H10" s="179" t="n">
        <x:f>IF($B10="","",COUNTIFS(Locations!$I$5:$I$64,"OK",Locations!$B$5:$B$64,$B10))</x:f>
        <x:v>0</x:v>
      </x:c>
      <x:c r="I10" s="179" t="str">
        <x:f>IF($A10&lt;&gt;"Yes","Disabled",IF($B10="","Missing NOC ID",IF($C10="","Missing display name",IF(COUNTIF($B$5:$B$44,$B10)&gt;1,"Duplicate NOC ID",IF(COUNTIF($C$5:$C$44,$C10)&gt;1,"Duplicate display name",IF($H10=0,"No enabled locations","OK"))))))</x:f>
        <x:v>Disabled</x:v>
      </x:c>
      <x:c r="J10" s="178" t="str"/>
      <x:c r="K10" t="str">
        <x:f>IF($I10="OK",COUNTIF($I$5:$I10,"OK"),"")</x:f>
      </x:c>
      <x:c r="L10" t="str">
        <x:f>IF($K10="","","NOC|"&amp;TEXT($K10,"000"))</x:f>
      </x:c>
      <x:c r="M10" t="str">
        <x:f>IF($I10="OK",$C10,"")</x:f>
      </x:c>
      <x:c r="N10" t="str">
        <x:f>"NOC|006"</x:f>
        <x:v>NOC|006</x:v>
      </x:c>
      <x:c r="O10" t="str">
        <x:f>IFERROR(VLOOKUP($N10,$L$5:$M$44,2,FALSE),"")</x:f>
      </x:c>
      <x:c r="P10" t="str">
        <x:f>IF($I10="OK",$C10,"")</x:f>
      </x:c>
      <x:c r="Q10" t="str">
        <x:f>IF($I10="OK",$B10,"")</x:f>
      </x:c>
      <x:c r="R10" t="str">
        <x:f>IF(AND($A10="Yes",$B10&lt;&gt;"",$C10&lt;&gt;"",COUNTIF($B$5:$B$44,$B10)=1,COUNTIF($C$5:$C$44,$C10)=1),COUNT($R$4:R9)+1,"")</x:f>
      </x:c>
      <x:c r="S10" t="str">
        <x:f>IF($R10="","","NOCINPUT|"&amp;TEXT($R10,"000"))</x:f>
      </x:c>
      <x:c r="T10" t="str">
        <x:f>IF($R10="","",$B10)</x:f>
      </x:c>
    </x:row>
    <x:row r="11">
      <x:c r="A11" s="178" t="str">
        <x:v>No</x:v>
      </x:c>
      <x:c r="B11" s="178" t="str">
        <x:v>NOC_007</x:v>
      </x:c>
      <x:c r="C11" s="178" t="str">
        <x:v>NOC 007</x:v>
      </x:c>
      <x:c r="D11" s="178"/>
      <x:c r="E11" s="179" t="str">
        <x:f>IF(A11&lt;&gt;"Yes","",IF(H11=0,"","("&amp;IFERROR(VLOOKUP(B11&amp;"|"&amp;TEXT(H11,"000"),Locations!$L$5:$M$64,2,FALSE),"")&amp;")"))</x:f>
      </x:c>
      <x:c r="F11" s="179" t="str">
        <x:f>IF(OR($A11&lt;&gt;"Yes",$B11="",$C11=""),"",CHAR(123)&amp;CHAR(34)&amp;"label"&amp;CHAR(34)&amp;":"&amp;CHAR(34)&amp;$C11&amp;CHAR(34)&amp;","&amp;CHAR(34)&amp;"value"&amp;CHAR(34)&amp;":"&amp;CHAR(34)&amp;$B11&amp;CHAR(34)&amp;CHAR(125))</x:f>
      </x:c>
      <x:c r="G11" s="179" t="str">
        <x:f>IF(OR(A11&lt;&gt;"Yes",E11=""),"","{""label"":""Aggregate Scope"",""value"":"""&amp;SUBSTITUTE(E11,CHAR(34),"\"&amp;CHAR(34))&amp;"""}")</x:f>
      </x:c>
      <x:c r="H11" s="179" t="n">
        <x:f>IF($B11="","",COUNTIFS(Locations!$I$5:$I$64,"OK",Locations!$B$5:$B$64,$B11))</x:f>
        <x:v>0</x:v>
      </x:c>
      <x:c r="I11" s="179" t="str">
        <x:f>IF($A11&lt;&gt;"Yes","Disabled",IF($B11="","Missing NOC ID",IF($C11="","Missing display name",IF(COUNTIF($B$5:$B$44,$B11)&gt;1,"Duplicate NOC ID",IF(COUNTIF($C$5:$C$44,$C11)&gt;1,"Duplicate display name",IF($H11=0,"No enabled locations","OK"))))))</x:f>
        <x:v>Disabled</x:v>
      </x:c>
      <x:c r="J11" s="178" t="str"/>
      <x:c r="K11" t="str">
        <x:f>IF($I11="OK",COUNTIF($I$5:$I11,"OK"),"")</x:f>
      </x:c>
      <x:c r="L11" t="str">
        <x:f>IF($K11="","","NOC|"&amp;TEXT($K11,"000"))</x:f>
      </x:c>
      <x:c r="M11" t="str">
        <x:f>IF($I11="OK",$C11,"")</x:f>
      </x:c>
      <x:c r="N11" t="str">
        <x:f>"NOC|007"</x:f>
        <x:v>NOC|007</x:v>
      </x:c>
      <x:c r="O11" t="str">
        <x:f>IFERROR(VLOOKUP($N11,$L$5:$M$44,2,FALSE),"")</x:f>
      </x:c>
      <x:c r="P11" t="str">
        <x:f>IF($I11="OK",$C11,"")</x:f>
      </x:c>
      <x:c r="Q11" t="str">
        <x:f>IF($I11="OK",$B11,"")</x:f>
      </x:c>
      <x:c r="R11" t="str">
        <x:f>IF(AND($A11="Yes",$B11&lt;&gt;"",$C11&lt;&gt;"",COUNTIF($B$5:$B$44,$B11)=1,COUNTIF($C$5:$C$44,$C11)=1),COUNT($R$4:R10)+1,"")</x:f>
      </x:c>
      <x:c r="S11" t="str">
        <x:f>IF($R11="","","NOCINPUT|"&amp;TEXT($R11,"000"))</x:f>
      </x:c>
      <x:c r="T11" t="str">
        <x:f>IF($R11="","",$B11)</x:f>
      </x:c>
    </x:row>
    <x:row r="12">
      <x:c r="A12" s="178" t="str">
        <x:v>No</x:v>
      </x:c>
      <x:c r="B12" s="178" t="str">
        <x:v>NOC_008</x:v>
      </x:c>
      <x:c r="C12" s="178" t="str">
        <x:v>NOC 008</x:v>
      </x:c>
      <x:c r="D12" s="178"/>
      <x:c r="E12" s="179" t="str">
        <x:f>IF(A12&lt;&gt;"Yes","",IF(H12=0,"","("&amp;IFERROR(VLOOKUP(B12&amp;"|"&amp;TEXT(H12,"000"),Locations!$L$5:$M$64,2,FALSE),"")&amp;")"))</x:f>
      </x:c>
      <x:c r="F12" s="179" t="str">
        <x:f>IF(OR($A12&lt;&gt;"Yes",$B12="",$C12=""),"",CHAR(123)&amp;CHAR(34)&amp;"label"&amp;CHAR(34)&amp;":"&amp;CHAR(34)&amp;$C12&amp;CHAR(34)&amp;","&amp;CHAR(34)&amp;"value"&amp;CHAR(34)&amp;":"&amp;CHAR(34)&amp;$B12&amp;CHAR(34)&amp;CHAR(125))</x:f>
      </x:c>
      <x:c r="G12" s="179" t="str">
        <x:f>IF(OR(A12&lt;&gt;"Yes",E12=""),"","{""label"":""Aggregate Scope"",""value"":"""&amp;SUBSTITUTE(E12,CHAR(34),"\"&amp;CHAR(34))&amp;"""}")</x:f>
      </x:c>
      <x:c r="H12" s="179" t="n">
        <x:f>IF($B12="","",COUNTIFS(Locations!$I$5:$I$64,"OK",Locations!$B$5:$B$64,$B12))</x:f>
        <x:v>0</x:v>
      </x:c>
      <x:c r="I12" s="179" t="str">
        <x:f>IF($A12&lt;&gt;"Yes","Disabled",IF($B12="","Missing NOC ID",IF($C12="","Missing display name",IF(COUNTIF($B$5:$B$44,$B12)&gt;1,"Duplicate NOC ID",IF(COUNTIF($C$5:$C$44,$C12)&gt;1,"Duplicate display name",IF($H12=0,"No enabled locations","OK"))))))</x:f>
        <x:v>Disabled</x:v>
      </x:c>
      <x:c r="J12" s="178" t="str"/>
      <x:c r="K12" t="str">
        <x:f>IF($I12="OK",COUNTIF($I$5:$I12,"OK"),"")</x:f>
      </x:c>
      <x:c r="L12" t="str">
        <x:f>IF($K12="","","NOC|"&amp;TEXT($K12,"000"))</x:f>
      </x:c>
      <x:c r="M12" t="str">
        <x:f>IF($I12="OK",$C12,"")</x:f>
      </x:c>
      <x:c r="N12" t="str">
        <x:f>"NOC|008"</x:f>
        <x:v>NOC|008</x:v>
      </x:c>
      <x:c r="O12" t="str">
        <x:f>IFERROR(VLOOKUP($N12,$L$5:$M$44,2,FALSE),"")</x:f>
      </x:c>
      <x:c r="P12" t="str">
        <x:f>IF($I12="OK",$C12,"")</x:f>
      </x:c>
      <x:c r="Q12" t="str">
        <x:f>IF($I12="OK",$B12,"")</x:f>
      </x:c>
      <x:c r="R12" t="str">
        <x:f>IF(AND($A12="Yes",$B12&lt;&gt;"",$C12&lt;&gt;"",COUNTIF($B$5:$B$44,$B12)=1,COUNTIF($C$5:$C$44,$C12)=1),COUNT($R$4:R11)+1,"")</x:f>
      </x:c>
      <x:c r="S12" t="str">
        <x:f>IF($R12="","","NOCINPUT|"&amp;TEXT($R12,"000"))</x:f>
      </x:c>
      <x:c r="T12" t="str">
        <x:f>IF($R12="","",$B12)</x:f>
      </x:c>
    </x:row>
    <x:row r="13">
      <x:c r="A13" s="178" t="str">
        <x:v>No</x:v>
      </x:c>
      <x:c r="B13" s="178" t="str">
        <x:v>NOC_009</x:v>
      </x:c>
      <x:c r="C13" s="178" t="str">
        <x:v>NOC 009</x:v>
      </x:c>
      <x:c r="D13" s="178"/>
      <x:c r="E13" s="179" t="str">
        <x:f>IF(A13&lt;&gt;"Yes","",IF(H13=0,"","("&amp;IFERROR(VLOOKUP(B13&amp;"|"&amp;TEXT(H13,"000"),Locations!$L$5:$M$64,2,FALSE),"")&amp;")"))</x:f>
      </x:c>
      <x:c r="F13" s="179" t="str">
        <x:f>IF(OR($A13&lt;&gt;"Yes",$B13="",$C13=""),"",CHAR(123)&amp;CHAR(34)&amp;"label"&amp;CHAR(34)&amp;":"&amp;CHAR(34)&amp;$C13&amp;CHAR(34)&amp;","&amp;CHAR(34)&amp;"value"&amp;CHAR(34)&amp;":"&amp;CHAR(34)&amp;$B13&amp;CHAR(34)&amp;CHAR(125))</x:f>
      </x:c>
      <x:c r="G13" s="179" t="str">
        <x:f>IF(OR(A13&lt;&gt;"Yes",E13=""),"","{""label"":""Aggregate Scope"",""value"":"""&amp;SUBSTITUTE(E13,CHAR(34),"\"&amp;CHAR(34))&amp;"""}")</x:f>
      </x:c>
      <x:c r="H13" s="179" t="n">
        <x:f>IF($B13="","",COUNTIFS(Locations!$I$5:$I$64,"OK",Locations!$B$5:$B$64,$B13))</x:f>
        <x:v>0</x:v>
      </x:c>
      <x:c r="I13" s="179" t="str">
        <x:f>IF($A13&lt;&gt;"Yes","Disabled",IF($B13="","Missing NOC ID",IF($C13="","Missing display name",IF(COUNTIF($B$5:$B$44,$B13)&gt;1,"Duplicate NOC ID",IF(COUNTIF($C$5:$C$44,$C13)&gt;1,"Duplicate display name",IF($H13=0,"No enabled locations","OK"))))))</x:f>
        <x:v>Disabled</x:v>
      </x:c>
      <x:c r="J13" s="178" t="str"/>
      <x:c r="K13" t="str">
        <x:f>IF($I13="OK",COUNTIF($I$5:$I13,"OK"),"")</x:f>
      </x:c>
      <x:c r="L13" t="str">
        <x:f>IF($K13="","","NOC|"&amp;TEXT($K13,"000"))</x:f>
      </x:c>
      <x:c r="M13" t="str">
        <x:f>IF($I13="OK",$C13,"")</x:f>
      </x:c>
      <x:c r="N13" t="str">
        <x:f>"NOC|009"</x:f>
        <x:v>NOC|009</x:v>
      </x:c>
      <x:c r="O13" t="str">
        <x:f>IFERROR(VLOOKUP($N13,$L$5:$M$44,2,FALSE),"")</x:f>
      </x:c>
      <x:c r="P13" t="str">
        <x:f>IF($I13="OK",$C13,"")</x:f>
      </x:c>
      <x:c r="Q13" t="str">
        <x:f>IF($I13="OK",$B13,"")</x:f>
      </x:c>
      <x:c r="R13" t="str">
        <x:f>IF(AND($A13="Yes",$B13&lt;&gt;"",$C13&lt;&gt;"",COUNTIF($B$5:$B$44,$B13)=1,COUNTIF($C$5:$C$44,$C13)=1),COUNT($R$4:R12)+1,"")</x:f>
      </x:c>
      <x:c r="S13" t="str">
        <x:f>IF($R13="","","NOCINPUT|"&amp;TEXT($R13,"000"))</x:f>
      </x:c>
      <x:c r="T13" t="str">
        <x:f>IF($R13="","",$B13)</x:f>
      </x:c>
    </x:row>
    <x:row r="14">
      <x:c r="A14" s="178" t="str">
        <x:v>No</x:v>
      </x:c>
      <x:c r="B14" s="178" t="str">
        <x:v>NOC_010</x:v>
      </x:c>
      <x:c r="C14" s="178" t="str">
        <x:v>NOC 010</x:v>
      </x:c>
      <x:c r="D14" s="178"/>
      <x:c r="E14" s="179" t="str">
        <x:f>IF(A14&lt;&gt;"Yes","",IF(H14=0,"","("&amp;IFERROR(VLOOKUP(B14&amp;"|"&amp;TEXT(H14,"000"),Locations!$L$5:$M$64,2,FALSE),"")&amp;")"))</x:f>
      </x:c>
      <x:c r="F14" s="179" t="str">
        <x:f>IF(OR($A14&lt;&gt;"Yes",$B14="",$C14=""),"",CHAR(123)&amp;CHAR(34)&amp;"label"&amp;CHAR(34)&amp;":"&amp;CHAR(34)&amp;$C14&amp;CHAR(34)&amp;","&amp;CHAR(34)&amp;"value"&amp;CHAR(34)&amp;":"&amp;CHAR(34)&amp;$B14&amp;CHAR(34)&amp;CHAR(125))</x:f>
      </x:c>
      <x:c r="G14" s="179" t="str">
        <x:f>IF(OR(A14&lt;&gt;"Yes",E14=""),"","{""label"":""Aggregate Scope"",""value"":"""&amp;SUBSTITUTE(E14,CHAR(34),"\"&amp;CHAR(34))&amp;"""}")</x:f>
      </x:c>
      <x:c r="H14" s="179" t="n">
        <x:f>IF($B14="","",COUNTIFS(Locations!$I$5:$I$64,"OK",Locations!$B$5:$B$64,$B14))</x:f>
        <x:v>0</x:v>
      </x:c>
      <x:c r="I14" s="179" t="str">
        <x:f>IF($A14&lt;&gt;"Yes","Disabled",IF($B14="","Missing NOC ID",IF($C14="","Missing display name",IF(COUNTIF($B$5:$B$44,$B14)&gt;1,"Duplicate NOC ID",IF(COUNTIF($C$5:$C$44,$C14)&gt;1,"Duplicate display name",IF($H14=0,"No enabled locations","OK"))))))</x:f>
        <x:v>Disabled</x:v>
      </x:c>
      <x:c r="J14" s="178" t="str"/>
      <x:c r="K14" t="str">
        <x:f>IF($I14="OK",COUNTIF($I$5:$I14,"OK"),"")</x:f>
      </x:c>
      <x:c r="L14" t="str">
        <x:f>IF($K14="","","NOC|"&amp;TEXT($K14,"000"))</x:f>
      </x:c>
      <x:c r="M14" t="str">
        <x:f>IF($I14="OK",$C14,"")</x:f>
      </x:c>
      <x:c r="N14" t="str">
        <x:f>"NOC|010"</x:f>
        <x:v>NOC|010</x:v>
      </x:c>
      <x:c r="O14" t="str">
        <x:f>IFERROR(VLOOKUP($N14,$L$5:$M$44,2,FALSE),"")</x:f>
      </x:c>
      <x:c r="P14" t="str">
        <x:f>IF($I14="OK",$C14,"")</x:f>
      </x:c>
      <x:c r="Q14" t="str">
        <x:f>IF($I14="OK",$B14,"")</x:f>
      </x:c>
      <x:c r="R14" t="str">
        <x:f>IF(AND($A14="Yes",$B14&lt;&gt;"",$C14&lt;&gt;"",COUNTIF($B$5:$B$44,$B14)=1,COUNTIF($C$5:$C$44,$C14)=1),COUNT($R$4:R13)+1,"")</x:f>
      </x:c>
      <x:c r="S14" t="str">
        <x:f>IF($R14="","","NOCINPUT|"&amp;TEXT($R14,"000"))</x:f>
      </x:c>
      <x:c r="T14" t="str">
        <x:f>IF($R14="","",$B14)</x:f>
      </x:c>
    </x:row>
    <x:row r="15">
      <x:c r="A15" s="178" t="str">
        <x:v>No</x:v>
      </x:c>
      <x:c r="B15" s="178" t="str">
        <x:v>NOC_011</x:v>
      </x:c>
      <x:c r="C15" s="178" t="str">
        <x:v>NOC 011</x:v>
      </x:c>
      <x:c r="D15" s="178"/>
      <x:c r="E15" s="179" t="str">
        <x:f>IF(A15&lt;&gt;"Yes","",IF(H15=0,"","("&amp;IFERROR(VLOOKUP(B15&amp;"|"&amp;TEXT(H15,"000"),Locations!$L$5:$M$64,2,FALSE),"")&amp;")"))</x:f>
      </x:c>
      <x:c r="F15" s="179" t="str">
        <x:f>IF(OR($A15&lt;&gt;"Yes",$B15="",$C15=""),"",CHAR(123)&amp;CHAR(34)&amp;"label"&amp;CHAR(34)&amp;":"&amp;CHAR(34)&amp;$C15&amp;CHAR(34)&amp;","&amp;CHAR(34)&amp;"value"&amp;CHAR(34)&amp;":"&amp;CHAR(34)&amp;$B15&amp;CHAR(34)&amp;CHAR(125))</x:f>
      </x:c>
      <x:c r="G15" s="179" t="str">
        <x:f>IF(OR(A15&lt;&gt;"Yes",E15=""),"","{""label"":""Aggregate Scope"",""value"":"""&amp;SUBSTITUTE(E15,CHAR(34),"\"&amp;CHAR(34))&amp;"""}")</x:f>
      </x:c>
      <x:c r="H15" s="179" t="n">
        <x:f>IF($B15="","",COUNTIFS(Locations!$I$5:$I$64,"OK",Locations!$B$5:$B$64,$B15))</x:f>
        <x:v>0</x:v>
      </x:c>
      <x:c r="I15" s="179" t="str">
        <x:f>IF($A15&lt;&gt;"Yes","Disabled",IF($B15="","Missing NOC ID",IF($C15="","Missing display name",IF(COUNTIF($B$5:$B$44,$B15)&gt;1,"Duplicate NOC ID",IF(COUNTIF($C$5:$C$44,$C15)&gt;1,"Duplicate display name",IF($H15=0,"No enabled locations","OK"))))))</x:f>
        <x:v>Disabled</x:v>
      </x:c>
      <x:c r="J15" s="178" t="str"/>
      <x:c r="K15" t="str">
        <x:f>IF($I15="OK",COUNTIF($I$5:$I15,"OK"),"")</x:f>
      </x:c>
      <x:c r="L15" t="str">
        <x:f>IF($K15="","","NOC|"&amp;TEXT($K15,"000"))</x:f>
      </x:c>
      <x:c r="M15" t="str">
        <x:f>IF($I15="OK",$C15,"")</x:f>
      </x:c>
      <x:c r="N15" t="str">
        <x:f>"NOC|011"</x:f>
        <x:v>NOC|011</x:v>
      </x:c>
      <x:c r="O15" t="str">
        <x:f>IFERROR(VLOOKUP($N15,$L$5:$M$44,2,FALSE),"")</x:f>
      </x:c>
      <x:c r="P15" t="str">
        <x:f>IF($I15="OK",$C15,"")</x:f>
      </x:c>
      <x:c r="Q15" t="str">
        <x:f>IF($I15="OK",$B15,"")</x:f>
      </x:c>
      <x:c r="R15" t="str">
        <x:f>IF(AND($A15="Yes",$B15&lt;&gt;"",$C15&lt;&gt;"",COUNTIF($B$5:$B$44,$B15)=1,COUNTIF($C$5:$C$44,$C15)=1),COUNT($R$4:R14)+1,"")</x:f>
      </x:c>
      <x:c r="S15" t="str">
        <x:f>IF($R15="","","NOCINPUT|"&amp;TEXT($R15,"000"))</x:f>
      </x:c>
      <x:c r="T15" t="str">
        <x:f>IF($R15="","",$B15)</x:f>
      </x:c>
    </x:row>
    <x:row r="16">
      <x:c r="A16" s="178" t="str">
        <x:v>No</x:v>
      </x:c>
      <x:c r="B16" s="178" t="str">
        <x:v>NOC_012</x:v>
      </x:c>
      <x:c r="C16" s="178" t="str">
        <x:v>NOC 012</x:v>
      </x:c>
      <x:c r="D16" s="178"/>
      <x:c r="E16" s="179" t="str">
        <x:f>IF(A16&lt;&gt;"Yes","",IF(H16=0,"","("&amp;IFERROR(VLOOKUP(B16&amp;"|"&amp;TEXT(H16,"000"),Locations!$L$5:$M$64,2,FALSE),"")&amp;")"))</x:f>
      </x:c>
      <x:c r="F16" s="179" t="str">
        <x:f>IF(OR($A16&lt;&gt;"Yes",$B16="",$C16=""),"",CHAR(123)&amp;CHAR(34)&amp;"label"&amp;CHAR(34)&amp;":"&amp;CHAR(34)&amp;$C16&amp;CHAR(34)&amp;","&amp;CHAR(34)&amp;"value"&amp;CHAR(34)&amp;":"&amp;CHAR(34)&amp;$B16&amp;CHAR(34)&amp;CHAR(125))</x:f>
      </x:c>
      <x:c r="G16" s="179" t="str">
        <x:f>IF(OR(A16&lt;&gt;"Yes",E16=""),"","{""label"":""Aggregate Scope"",""value"":"""&amp;SUBSTITUTE(E16,CHAR(34),"\"&amp;CHAR(34))&amp;"""}")</x:f>
      </x:c>
      <x:c r="H16" s="179" t="n">
        <x:f>IF($B16="","",COUNTIFS(Locations!$I$5:$I$64,"OK",Locations!$B$5:$B$64,$B16))</x:f>
        <x:v>0</x:v>
      </x:c>
      <x:c r="I16" s="179" t="str">
        <x:f>IF($A16&lt;&gt;"Yes","Disabled",IF($B16="","Missing NOC ID",IF($C16="","Missing display name",IF(COUNTIF($B$5:$B$44,$B16)&gt;1,"Duplicate NOC ID",IF(COUNTIF($C$5:$C$44,$C16)&gt;1,"Duplicate display name",IF($H16=0,"No enabled locations","OK"))))))</x:f>
        <x:v>Disabled</x:v>
      </x:c>
      <x:c r="J16" s="178" t="str"/>
      <x:c r="K16" t="str">
        <x:f>IF($I16="OK",COUNTIF($I$5:$I16,"OK"),"")</x:f>
      </x:c>
      <x:c r="L16" t="str">
        <x:f>IF($K16="","","NOC|"&amp;TEXT($K16,"000"))</x:f>
      </x:c>
      <x:c r="M16" t="str">
        <x:f>IF($I16="OK",$C16,"")</x:f>
      </x:c>
      <x:c r="N16" t="str">
        <x:f>"NOC|012"</x:f>
        <x:v>NOC|012</x:v>
      </x:c>
      <x:c r="O16" t="str">
        <x:f>IFERROR(VLOOKUP($N16,$L$5:$M$44,2,FALSE),"")</x:f>
      </x:c>
      <x:c r="P16" t="str">
        <x:f>IF($I16="OK",$C16,"")</x:f>
      </x:c>
      <x:c r="Q16" t="str">
        <x:f>IF($I16="OK",$B16,"")</x:f>
      </x:c>
      <x:c r="R16" t="str">
        <x:f>IF(AND($A16="Yes",$B16&lt;&gt;"",$C16&lt;&gt;"",COUNTIF($B$5:$B$44,$B16)=1,COUNTIF($C$5:$C$44,$C16)=1),COUNT($R$4:R15)+1,"")</x:f>
      </x:c>
      <x:c r="S16" t="str">
        <x:f>IF($R16="","","NOCINPUT|"&amp;TEXT($R16,"000"))</x:f>
      </x:c>
      <x:c r="T16" t="str">
        <x:f>IF($R16="","",$B16)</x:f>
      </x:c>
    </x:row>
    <x:row r="17">
      <x:c r="A17" s="178" t="str">
        <x:v>No</x:v>
      </x:c>
      <x:c r="B17" s="178" t="str">
        <x:v>NOC_013</x:v>
      </x:c>
      <x:c r="C17" s="178" t="str">
        <x:v>NOC 013</x:v>
      </x:c>
      <x:c r="D17" s="178"/>
      <x:c r="E17" s="179" t="str">
        <x:f>IF(A17&lt;&gt;"Yes","",IF(H17=0,"","("&amp;IFERROR(VLOOKUP(B17&amp;"|"&amp;TEXT(H17,"000"),Locations!$L$5:$M$64,2,FALSE),"")&amp;")"))</x:f>
      </x:c>
      <x:c r="F17" s="179" t="str">
        <x:f>IF(OR($A17&lt;&gt;"Yes",$B17="",$C17=""),"",CHAR(123)&amp;CHAR(34)&amp;"label"&amp;CHAR(34)&amp;":"&amp;CHAR(34)&amp;$C17&amp;CHAR(34)&amp;","&amp;CHAR(34)&amp;"value"&amp;CHAR(34)&amp;":"&amp;CHAR(34)&amp;$B17&amp;CHAR(34)&amp;CHAR(125))</x:f>
      </x:c>
      <x:c r="G17" s="179" t="str">
        <x:f>IF(OR(A17&lt;&gt;"Yes",E17=""),"","{""label"":""Aggregate Scope"",""value"":"""&amp;SUBSTITUTE(E17,CHAR(34),"\"&amp;CHAR(34))&amp;"""}")</x:f>
      </x:c>
      <x:c r="H17" s="179" t="n">
        <x:f>IF($B17="","",COUNTIFS(Locations!$I$5:$I$64,"OK",Locations!$B$5:$B$64,$B17))</x:f>
        <x:v>0</x:v>
      </x:c>
      <x:c r="I17" s="179" t="str">
        <x:f>IF($A17&lt;&gt;"Yes","Disabled",IF($B17="","Missing NOC ID",IF($C17="","Missing display name",IF(COUNTIF($B$5:$B$44,$B17)&gt;1,"Duplicate NOC ID",IF(COUNTIF($C$5:$C$44,$C17)&gt;1,"Duplicate display name",IF($H17=0,"No enabled locations","OK"))))))</x:f>
        <x:v>Disabled</x:v>
      </x:c>
      <x:c r="J17" s="178" t="str"/>
      <x:c r="K17" t="str">
        <x:f>IF($I17="OK",COUNTIF($I$5:$I17,"OK"),"")</x:f>
      </x:c>
      <x:c r="L17" t="str">
        <x:f>IF($K17="","","NOC|"&amp;TEXT($K17,"000"))</x:f>
      </x:c>
      <x:c r="M17" t="str">
        <x:f>IF($I17="OK",$C17,"")</x:f>
      </x:c>
      <x:c r="N17" t="str">
        <x:f>"NOC|013"</x:f>
        <x:v>NOC|013</x:v>
      </x:c>
      <x:c r="O17" t="str">
        <x:f>IFERROR(VLOOKUP($N17,$L$5:$M$44,2,FALSE),"")</x:f>
      </x:c>
      <x:c r="P17" t="str">
        <x:f>IF($I17="OK",$C17,"")</x:f>
      </x:c>
      <x:c r="Q17" t="str">
        <x:f>IF($I17="OK",$B17,"")</x:f>
      </x:c>
      <x:c r="R17" t="str">
        <x:f>IF(AND($A17="Yes",$B17&lt;&gt;"",$C17&lt;&gt;"",COUNTIF($B$5:$B$44,$B17)=1,COUNTIF($C$5:$C$44,$C17)=1),COUNT($R$4:R16)+1,"")</x:f>
      </x:c>
      <x:c r="S17" t="str">
        <x:f>IF($R17="","","NOCINPUT|"&amp;TEXT($R17,"000"))</x:f>
      </x:c>
      <x:c r="T17" t="str">
        <x:f>IF($R17="","",$B17)</x:f>
      </x:c>
    </x:row>
    <x:row r="18">
      <x:c r="A18" s="178" t="str">
        <x:v>No</x:v>
      </x:c>
      <x:c r="B18" s="178" t="str">
        <x:v>NOC_014</x:v>
      </x:c>
      <x:c r="C18" s="178" t="str">
        <x:v>NOC 014</x:v>
      </x:c>
      <x:c r="D18" s="178"/>
      <x:c r="E18" s="179" t="str">
        <x:f>IF(A18&lt;&gt;"Yes","",IF(H18=0,"","("&amp;IFERROR(VLOOKUP(B18&amp;"|"&amp;TEXT(H18,"000"),Locations!$L$5:$M$64,2,FALSE),"")&amp;")"))</x:f>
      </x:c>
      <x:c r="F18" s="179" t="str">
        <x:f>IF(OR($A18&lt;&gt;"Yes",$B18="",$C18=""),"",CHAR(123)&amp;CHAR(34)&amp;"label"&amp;CHAR(34)&amp;":"&amp;CHAR(34)&amp;$C18&amp;CHAR(34)&amp;","&amp;CHAR(34)&amp;"value"&amp;CHAR(34)&amp;":"&amp;CHAR(34)&amp;$B18&amp;CHAR(34)&amp;CHAR(125))</x:f>
      </x:c>
      <x:c r="G18" s="179" t="str">
        <x:f>IF(OR(A18&lt;&gt;"Yes",E18=""),"","{""label"":""Aggregate Scope"",""value"":"""&amp;SUBSTITUTE(E18,CHAR(34),"\"&amp;CHAR(34))&amp;"""}")</x:f>
      </x:c>
      <x:c r="H18" s="179" t="n">
        <x:f>IF($B18="","",COUNTIFS(Locations!$I$5:$I$64,"OK",Locations!$B$5:$B$64,$B18))</x:f>
        <x:v>0</x:v>
      </x:c>
      <x:c r="I18" s="179" t="str">
        <x:f>IF($A18&lt;&gt;"Yes","Disabled",IF($B18="","Missing NOC ID",IF($C18="","Missing display name",IF(COUNTIF($B$5:$B$44,$B18)&gt;1,"Duplicate NOC ID",IF(COUNTIF($C$5:$C$44,$C18)&gt;1,"Duplicate display name",IF($H18=0,"No enabled locations","OK"))))))</x:f>
        <x:v>Disabled</x:v>
      </x:c>
      <x:c r="J18" s="178" t="str"/>
      <x:c r="K18" t="str">
        <x:f>IF($I18="OK",COUNTIF($I$5:$I18,"OK"),"")</x:f>
      </x:c>
      <x:c r="L18" t="str">
        <x:f>IF($K18="","","NOC|"&amp;TEXT($K18,"000"))</x:f>
      </x:c>
      <x:c r="M18" t="str">
        <x:f>IF($I18="OK",$C18,"")</x:f>
      </x:c>
      <x:c r="N18" t="str">
        <x:f>"NOC|014"</x:f>
        <x:v>NOC|014</x:v>
      </x:c>
      <x:c r="O18" t="str">
        <x:f>IFERROR(VLOOKUP($N18,$L$5:$M$44,2,FALSE),"")</x:f>
      </x:c>
      <x:c r="P18" t="str">
        <x:f>IF($I18="OK",$C18,"")</x:f>
      </x:c>
      <x:c r="Q18" t="str">
        <x:f>IF($I18="OK",$B18,"")</x:f>
      </x:c>
      <x:c r="R18" t="str">
        <x:f>IF(AND($A18="Yes",$B18&lt;&gt;"",$C18&lt;&gt;"",COUNTIF($B$5:$B$44,$B18)=1,COUNTIF($C$5:$C$44,$C18)=1),COUNT($R$4:R17)+1,"")</x:f>
      </x:c>
      <x:c r="S18" t="str">
        <x:f>IF($R18="","","NOCINPUT|"&amp;TEXT($R18,"000"))</x:f>
      </x:c>
      <x:c r="T18" t="str">
        <x:f>IF($R18="","",$B18)</x:f>
      </x:c>
    </x:row>
    <x:row r="19">
      <x:c r="A19" s="178" t="str">
        <x:v>No</x:v>
      </x:c>
      <x:c r="B19" s="178" t="str">
        <x:v>NOC_015</x:v>
      </x:c>
      <x:c r="C19" s="178" t="str">
        <x:v>NOC 015</x:v>
      </x:c>
      <x:c r="D19" s="178"/>
      <x:c r="E19" s="179" t="str">
        <x:f>IF(A19&lt;&gt;"Yes","",IF(H19=0,"","("&amp;IFERROR(VLOOKUP(B19&amp;"|"&amp;TEXT(H19,"000"),Locations!$L$5:$M$64,2,FALSE),"")&amp;")"))</x:f>
      </x:c>
      <x:c r="F19" s="179" t="str">
        <x:f>IF(OR($A19&lt;&gt;"Yes",$B19="",$C19=""),"",CHAR(123)&amp;CHAR(34)&amp;"label"&amp;CHAR(34)&amp;":"&amp;CHAR(34)&amp;$C19&amp;CHAR(34)&amp;","&amp;CHAR(34)&amp;"value"&amp;CHAR(34)&amp;":"&amp;CHAR(34)&amp;$B19&amp;CHAR(34)&amp;CHAR(125))</x:f>
      </x:c>
      <x:c r="G19" s="179" t="str">
        <x:f>IF(OR(A19&lt;&gt;"Yes",E19=""),"","{""label"":""Aggregate Scope"",""value"":"""&amp;SUBSTITUTE(E19,CHAR(34),"\"&amp;CHAR(34))&amp;"""}")</x:f>
      </x:c>
      <x:c r="H19" s="179" t="n">
        <x:f>IF($B19="","",COUNTIFS(Locations!$I$5:$I$64,"OK",Locations!$B$5:$B$64,$B19))</x:f>
        <x:v>0</x:v>
      </x:c>
      <x:c r="I19" s="179" t="str">
        <x:f>IF($A19&lt;&gt;"Yes","Disabled",IF($B19="","Missing NOC ID",IF($C19="","Missing display name",IF(COUNTIF($B$5:$B$44,$B19)&gt;1,"Duplicate NOC ID",IF(COUNTIF($C$5:$C$44,$C19)&gt;1,"Duplicate display name",IF($H19=0,"No enabled locations","OK"))))))</x:f>
        <x:v>Disabled</x:v>
      </x:c>
      <x:c r="J19" s="178" t="str"/>
      <x:c r="K19" t="str">
        <x:f>IF($I19="OK",COUNTIF($I$5:$I19,"OK"),"")</x:f>
      </x:c>
      <x:c r="L19" t="str">
        <x:f>IF($K19="","","NOC|"&amp;TEXT($K19,"000"))</x:f>
      </x:c>
      <x:c r="M19" t="str">
        <x:f>IF($I19="OK",$C19,"")</x:f>
      </x:c>
      <x:c r="N19" t="str">
        <x:f>"NOC|015"</x:f>
        <x:v>NOC|015</x:v>
      </x:c>
      <x:c r="O19" t="str">
        <x:f>IFERROR(VLOOKUP($N19,$L$5:$M$44,2,FALSE),"")</x:f>
      </x:c>
      <x:c r="P19" t="str">
        <x:f>IF($I19="OK",$C19,"")</x:f>
      </x:c>
      <x:c r="Q19" t="str">
        <x:f>IF($I19="OK",$B19,"")</x:f>
      </x:c>
      <x:c r="R19" t="str">
        <x:f>IF(AND($A19="Yes",$B19&lt;&gt;"",$C19&lt;&gt;"",COUNTIF($B$5:$B$44,$B19)=1,COUNTIF($C$5:$C$44,$C19)=1),COUNT($R$4:R18)+1,"")</x:f>
      </x:c>
      <x:c r="S19" t="str">
        <x:f>IF($R19="","","NOCINPUT|"&amp;TEXT($R19,"000"))</x:f>
      </x:c>
      <x:c r="T19" t="str">
        <x:f>IF($R19="","",$B19)</x:f>
      </x:c>
    </x:row>
    <x:row r="20">
      <x:c r="A20" s="178" t="str">
        <x:v>No</x:v>
      </x:c>
      <x:c r="B20" s="178" t="str">
        <x:v>NOC_016</x:v>
      </x:c>
      <x:c r="C20" s="178" t="str">
        <x:v>NOC 016</x:v>
      </x:c>
      <x:c r="D20" s="178"/>
      <x:c r="E20" s="179" t="str">
        <x:f>IF(A20&lt;&gt;"Yes","",IF(H20=0,"","("&amp;IFERROR(VLOOKUP(B20&amp;"|"&amp;TEXT(H20,"000"),Locations!$L$5:$M$64,2,FALSE),"")&amp;")"))</x:f>
      </x:c>
      <x:c r="F20" s="179" t="str">
        <x:f>IF(OR($A20&lt;&gt;"Yes",$B20="",$C20=""),"",CHAR(123)&amp;CHAR(34)&amp;"label"&amp;CHAR(34)&amp;":"&amp;CHAR(34)&amp;$C20&amp;CHAR(34)&amp;","&amp;CHAR(34)&amp;"value"&amp;CHAR(34)&amp;":"&amp;CHAR(34)&amp;$B20&amp;CHAR(34)&amp;CHAR(125))</x:f>
      </x:c>
      <x:c r="G20" s="179" t="str">
        <x:f>IF(OR(A20&lt;&gt;"Yes",E20=""),"","{""label"":""Aggregate Scope"",""value"":"""&amp;SUBSTITUTE(E20,CHAR(34),"\"&amp;CHAR(34))&amp;"""}")</x:f>
      </x:c>
      <x:c r="H20" s="179" t="n">
        <x:f>IF($B20="","",COUNTIFS(Locations!$I$5:$I$64,"OK",Locations!$B$5:$B$64,$B20))</x:f>
        <x:v>0</x:v>
      </x:c>
      <x:c r="I20" s="179" t="str">
        <x:f>IF($A20&lt;&gt;"Yes","Disabled",IF($B20="","Missing NOC ID",IF($C20="","Missing display name",IF(COUNTIF($B$5:$B$44,$B20)&gt;1,"Duplicate NOC ID",IF(COUNTIF($C$5:$C$44,$C20)&gt;1,"Duplicate display name",IF($H20=0,"No enabled locations","OK"))))))</x:f>
        <x:v>Disabled</x:v>
      </x:c>
      <x:c r="J20" s="178" t="str"/>
      <x:c r="K20" t="str">
        <x:f>IF($I20="OK",COUNTIF($I$5:$I20,"OK"),"")</x:f>
      </x:c>
      <x:c r="L20" t="str">
        <x:f>IF($K20="","","NOC|"&amp;TEXT($K20,"000"))</x:f>
      </x:c>
      <x:c r="M20" t="str">
        <x:f>IF($I20="OK",$C20,"")</x:f>
      </x:c>
      <x:c r="N20" t="str">
        <x:f>"NOC|016"</x:f>
        <x:v>NOC|016</x:v>
      </x:c>
      <x:c r="O20" t="str">
        <x:f>IFERROR(VLOOKUP($N20,$L$5:$M$44,2,FALSE),"")</x:f>
      </x:c>
      <x:c r="P20" t="str">
        <x:f>IF($I20="OK",$C20,"")</x:f>
      </x:c>
      <x:c r="Q20" t="str">
        <x:f>IF($I20="OK",$B20,"")</x:f>
      </x:c>
      <x:c r="R20" t="str">
        <x:f>IF(AND($A20="Yes",$B20&lt;&gt;"",$C20&lt;&gt;"",COUNTIF($B$5:$B$44,$B20)=1,COUNTIF($C$5:$C$44,$C20)=1),COUNT($R$4:R19)+1,"")</x:f>
      </x:c>
      <x:c r="S20" t="str">
        <x:f>IF($R20="","","NOCINPUT|"&amp;TEXT($R20,"000"))</x:f>
      </x:c>
      <x:c r="T20" t="str">
        <x:f>IF($R20="","",$B20)</x:f>
      </x:c>
    </x:row>
    <x:row r="21">
      <x:c r="A21" s="178" t="str">
        <x:v>No</x:v>
      </x:c>
      <x:c r="B21" s="178" t="str">
        <x:v>NOC_017</x:v>
      </x:c>
      <x:c r="C21" s="178" t="str">
        <x:v>NOC 017</x:v>
      </x:c>
      <x:c r="D21" s="178"/>
      <x:c r="E21" s="179" t="str">
        <x:f>IF(A21&lt;&gt;"Yes","",IF(H21=0,"","("&amp;IFERROR(VLOOKUP(B21&amp;"|"&amp;TEXT(H21,"000"),Locations!$L$5:$M$64,2,FALSE),"")&amp;")"))</x:f>
      </x:c>
      <x:c r="F21" s="179" t="str">
        <x:f>IF(OR($A21&lt;&gt;"Yes",$B21="",$C21=""),"",CHAR(123)&amp;CHAR(34)&amp;"label"&amp;CHAR(34)&amp;":"&amp;CHAR(34)&amp;$C21&amp;CHAR(34)&amp;","&amp;CHAR(34)&amp;"value"&amp;CHAR(34)&amp;":"&amp;CHAR(34)&amp;$B21&amp;CHAR(34)&amp;CHAR(125))</x:f>
      </x:c>
      <x:c r="G21" s="179" t="str">
        <x:f>IF(OR(A21&lt;&gt;"Yes",E21=""),"","{""label"":""Aggregate Scope"",""value"":"""&amp;SUBSTITUTE(E21,CHAR(34),"\"&amp;CHAR(34))&amp;"""}")</x:f>
      </x:c>
      <x:c r="H21" s="179" t="n">
        <x:f>IF($B21="","",COUNTIFS(Locations!$I$5:$I$64,"OK",Locations!$B$5:$B$64,$B21))</x:f>
        <x:v>0</x:v>
      </x:c>
      <x:c r="I21" s="179" t="str">
        <x:f>IF($A21&lt;&gt;"Yes","Disabled",IF($B21="","Missing NOC ID",IF($C21="","Missing display name",IF(COUNTIF($B$5:$B$44,$B21)&gt;1,"Duplicate NOC ID",IF(COUNTIF($C$5:$C$44,$C21)&gt;1,"Duplicate display name",IF($H21=0,"No enabled locations","OK"))))))</x:f>
        <x:v>Disabled</x:v>
      </x:c>
      <x:c r="J21" s="178" t="str"/>
      <x:c r="K21" t="str">
        <x:f>IF($I21="OK",COUNTIF($I$5:$I21,"OK"),"")</x:f>
      </x:c>
      <x:c r="L21" t="str">
        <x:f>IF($K21="","","NOC|"&amp;TEXT($K21,"000"))</x:f>
      </x:c>
      <x:c r="M21" t="str">
        <x:f>IF($I21="OK",$C21,"")</x:f>
      </x:c>
      <x:c r="N21" t="str">
        <x:f>"NOC|017"</x:f>
        <x:v>NOC|017</x:v>
      </x:c>
      <x:c r="O21" t="str">
        <x:f>IFERROR(VLOOKUP($N21,$L$5:$M$44,2,FALSE),"")</x:f>
      </x:c>
      <x:c r="P21" t="str">
        <x:f>IF($I21="OK",$C21,"")</x:f>
      </x:c>
      <x:c r="Q21" t="str">
        <x:f>IF($I21="OK",$B21,"")</x:f>
      </x:c>
      <x:c r="R21" t="str">
        <x:f>IF(AND($A21="Yes",$B21&lt;&gt;"",$C21&lt;&gt;"",COUNTIF($B$5:$B$44,$B21)=1,COUNTIF($C$5:$C$44,$C21)=1),COUNT($R$4:R20)+1,"")</x:f>
      </x:c>
      <x:c r="S21" t="str">
        <x:f>IF($R21="","","NOCINPUT|"&amp;TEXT($R21,"000"))</x:f>
      </x:c>
      <x:c r="T21" t="str">
        <x:f>IF($R21="","",$B21)</x:f>
      </x:c>
    </x:row>
    <x:row r="22">
      <x:c r="A22" s="178" t="str">
        <x:v>No</x:v>
      </x:c>
      <x:c r="B22" s="178" t="str">
        <x:v>NOC_018</x:v>
      </x:c>
      <x:c r="C22" s="178" t="str">
        <x:v>NOC 018</x:v>
      </x:c>
      <x:c r="D22" s="178"/>
      <x:c r="E22" s="179" t="str">
        <x:f>IF(A22&lt;&gt;"Yes","",IF(H22=0,"","("&amp;IFERROR(VLOOKUP(B22&amp;"|"&amp;TEXT(H22,"000"),Locations!$L$5:$M$64,2,FALSE),"")&amp;")"))</x:f>
      </x:c>
      <x:c r="F22" s="179" t="str">
        <x:f>IF(OR($A22&lt;&gt;"Yes",$B22="",$C22=""),"",CHAR(123)&amp;CHAR(34)&amp;"label"&amp;CHAR(34)&amp;":"&amp;CHAR(34)&amp;$C22&amp;CHAR(34)&amp;","&amp;CHAR(34)&amp;"value"&amp;CHAR(34)&amp;":"&amp;CHAR(34)&amp;$B22&amp;CHAR(34)&amp;CHAR(125))</x:f>
      </x:c>
      <x:c r="G22" s="179" t="str">
        <x:f>IF(OR(A22&lt;&gt;"Yes",E22=""),"","{""label"":""Aggregate Scope"",""value"":"""&amp;SUBSTITUTE(E22,CHAR(34),"\"&amp;CHAR(34))&amp;"""}")</x:f>
      </x:c>
      <x:c r="H22" s="179" t="n">
        <x:f>IF($B22="","",COUNTIFS(Locations!$I$5:$I$64,"OK",Locations!$B$5:$B$64,$B22))</x:f>
        <x:v>0</x:v>
      </x:c>
      <x:c r="I22" s="179" t="str">
        <x:f>IF($A22&lt;&gt;"Yes","Disabled",IF($B22="","Missing NOC ID",IF($C22="","Missing display name",IF(COUNTIF($B$5:$B$44,$B22)&gt;1,"Duplicate NOC ID",IF(COUNTIF($C$5:$C$44,$C22)&gt;1,"Duplicate display name",IF($H22=0,"No enabled locations","OK"))))))</x:f>
        <x:v>Disabled</x:v>
      </x:c>
      <x:c r="J22" s="178" t="str"/>
      <x:c r="K22" t="str">
        <x:f>IF($I22="OK",COUNTIF($I$5:$I22,"OK"),"")</x:f>
      </x:c>
      <x:c r="L22" t="str">
        <x:f>IF($K22="","","NOC|"&amp;TEXT($K22,"000"))</x:f>
      </x:c>
      <x:c r="M22" t="str">
        <x:f>IF($I22="OK",$C22,"")</x:f>
      </x:c>
      <x:c r="N22" t="str">
        <x:f>"NOC|018"</x:f>
        <x:v>NOC|018</x:v>
      </x:c>
      <x:c r="O22" t="str">
        <x:f>IFERROR(VLOOKUP($N22,$L$5:$M$44,2,FALSE),"")</x:f>
      </x:c>
      <x:c r="P22" t="str">
        <x:f>IF($I22="OK",$C22,"")</x:f>
      </x:c>
      <x:c r="Q22" t="str">
        <x:f>IF($I22="OK",$B22,"")</x:f>
      </x:c>
      <x:c r="R22" t="str">
        <x:f>IF(AND($A22="Yes",$B22&lt;&gt;"",$C22&lt;&gt;"",COUNTIF($B$5:$B$44,$B22)=1,COUNTIF($C$5:$C$44,$C22)=1),COUNT($R$4:R21)+1,"")</x:f>
      </x:c>
      <x:c r="S22" t="str">
        <x:f>IF($R22="","","NOCINPUT|"&amp;TEXT($R22,"000"))</x:f>
      </x:c>
      <x:c r="T22" t="str">
        <x:f>IF($R22="","",$B22)</x:f>
      </x:c>
    </x:row>
    <x:row r="23">
      <x:c r="A23" s="178" t="str">
        <x:v>No</x:v>
      </x:c>
      <x:c r="B23" s="178" t="str">
        <x:v>NOC_019</x:v>
      </x:c>
      <x:c r="C23" s="178" t="str">
        <x:v>NOC 019</x:v>
      </x:c>
      <x:c r="D23" s="178"/>
      <x:c r="E23" s="179" t="str">
        <x:f>IF(A23&lt;&gt;"Yes","",IF(H23=0,"","("&amp;IFERROR(VLOOKUP(B23&amp;"|"&amp;TEXT(H23,"000"),Locations!$L$5:$M$64,2,FALSE),"")&amp;")"))</x:f>
      </x:c>
      <x:c r="F23" s="179" t="str">
        <x:f>IF(OR($A23&lt;&gt;"Yes",$B23="",$C23=""),"",CHAR(123)&amp;CHAR(34)&amp;"label"&amp;CHAR(34)&amp;":"&amp;CHAR(34)&amp;$C23&amp;CHAR(34)&amp;","&amp;CHAR(34)&amp;"value"&amp;CHAR(34)&amp;":"&amp;CHAR(34)&amp;$B23&amp;CHAR(34)&amp;CHAR(125))</x:f>
      </x:c>
      <x:c r="G23" s="179" t="str">
        <x:f>IF(OR(A23&lt;&gt;"Yes",E23=""),"","{""label"":""Aggregate Scope"",""value"":"""&amp;SUBSTITUTE(E23,CHAR(34),"\"&amp;CHAR(34))&amp;"""}")</x:f>
      </x:c>
      <x:c r="H23" s="179" t="n">
        <x:f>IF($B23="","",COUNTIFS(Locations!$I$5:$I$64,"OK",Locations!$B$5:$B$64,$B23))</x:f>
        <x:v>0</x:v>
      </x:c>
      <x:c r="I23" s="179" t="str">
        <x:f>IF($A23&lt;&gt;"Yes","Disabled",IF($B23="","Missing NOC ID",IF($C23="","Missing display name",IF(COUNTIF($B$5:$B$44,$B23)&gt;1,"Duplicate NOC ID",IF(COUNTIF($C$5:$C$44,$C23)&gt;1,"Duplicate display name",IF($H23=0,"No enabled locations","OK"))))))</x:f>
        <x:v>Disabled</x:v>
      </x:c>
      <x:c r="J23" s="178" t="str"/>
      <x:c r="K23" t="str">
        <x:f>IF($I23="OK",COUNTIF($I$5:$I23,"OK"),"")</x:f>
      </x:c>
      <x:c r="L23" t="str">
        <x:f>IF($K23="","","NOC|"&amp;TEXT($K23,"000"))</x:f>
      </x:c>
      <x:c r="M23" t="str">
        <x:f>IF($I23="OK",$C23,"")</x:f>
      </x:c>
      <x:c r="N23" t="str">
        <x:f>"NOC|019"</x:f>
        <x:v>NOC|019</x:v>
      </x:c>
      <x:c r="O23" t="str">
        <x:f>IFERROR(VLOOKUP($N23,$L$5:$M$44,2,FALSE),"")</x:f>
      </x:c>
      <x:c r="P23" t="str">
        <x:f>IF($I23="OK",$C23,"")</x:f>
      </x:c>
      <x:c r="Q23" t="str">
        <x:f>IF($I23="OK",$B23,"")</x:f>
      </x:c>
      <x:c r="R23" t="str">
        <x:f>IF(AND($A23="Yes",$B23&lt;&gt;"",$C23&lt;&gt;"",COUNTIF($B$5:$B$44,$B23)=1,COUNTIF($C$5:$C$44,$C23)=1),COUNT($R$4:R22)+1,"")</x:f>
      </x:c>
      <x:c r="S23" t="str">
        <x:f>IF($R23="","","NOCINPUT|"&amp;TEXT($R23,"000"))</x:f>
      </x:c>
      <x:c r="T23" t="str">
        <x:f>IF($R23="","",$B23)</x:f>
      </x:c>
    </x:row>
    <x:row r="24">
      <x:c r="A24" s="178" t="str">
        <x:v>No</x:v>
      </x:c>
      <x:c r="B24" s="178" t="str">
        <x:v>NOC_020</x:v>
      </x:c>
      <x:c r="C24" s="178" t="str">
        <x:v>NOC 020</x:v>
      </x:c>
      <x:c r="D24" s="178"/>
      <x:c r="E24" s="179" t="str">
        <x:f>IF(A24&lt;&gt;"Yes","",IF(H24=0,"","("&amp;IFERROR(VLOOKUP(B24&amp;"|"&amp;TEXT(H24,"000"),Locations!$L$5:$M$64,2,FALSE),"")&amp;")"))</x:f>
      </x:c>
      <x:c r="F24" s="179" t="str">
        <x:f>IF(OR($A24&lt;&gt;"Yes",$B24="",$C24=""),"",CHAR(123)&amp;CHAR(34)&amp;"label"&amp;CHAR(34)&amp;":"&amp;CHAR(34)&amp;$C24&amp;CHAR(34)&amp;","&amp;CHAR(34)&amp;"value"&amp;CHAR(34)&amp;":"&amp;CHAR(34)&amp;$B24&amp;CHAR(34)&amp;CHAR(125))</x:f>
      </x:c>
      <x:c r="G24" s="179" t="str">
        <x:f>IF(OR(A24&lt;&gt;"Yes",E24=""),"","{""label"":""Aggregate Scope"",""value"":"""&amp;SUBSTITUTE(E24,CHAR(34),"\"&amp;CHAR(34))&amp;"""}")</x:f>
      </x:c>
      <x:c r="H24" s="179" t="n">
        <x:f>IF($B24="","",COUNTIFS(Locations!$I$5:$I$64,"OK",Locations!$B$5:$B$64,$B24))</x:f>
        <x:v>0</x:v>
      </x:c>
      <x:c r="I24" s="179" t="str">
        <x:f>IF($A24&lt;&gt;"Yes","Disabled",IF($B24="","Missing NOC ID",IF($C24="","Missing display name",IF(COUNTIF($B$5:$B$44,$B24)&gt;1,"Duplicate NOC ID",IF(COUNTIF($C$5:$C$44,$C24)&gt;1,"Duplicate display name",IF($H24=0,"No enabled locations","OK"))))))</x:f>
        <x:v>Disabled</x:v>
      </x:c>
      <x:c r="J24" s="178" t="str"/>
      <x:c r="K24" t="str">
        <x:f>IF($I24="OK",COUNTIF($I$5:$I24,"OK"),"")</x:f>
      </x:c>
      <x:c r="L24" t="str">
        <x:f>IF($K24="","","NOC|"&amp;TEXT($K24,"000"))</x:f>
      </x:c>
      <x:c r="M24" t="str">
        <x:f>IF($I24="OK",$C24,"")</x:f>
      </x:c>
      <x:c r="N24" t="str">
        <x:f>"NOC|020"</x:f>
        <x:v>NOC|020</x:v>
      </x:c>
      <x:c r="O24" t="str">
        <x:f>IFERROR(VLOOKUP($N24,$L$5:$M$44,2,FALSE),"")</x:f>
      </x:c>
      <x:c r="P24" t="str">
        <x:f>IF($I24="OK",$C24,"")</x:f>
      </x:c>
      <x:c r="Q24" t="str">
        <x:f>IF($I24="OK",$B24,"")</x:f>
      </x:c>
      <x:c r="R24" t="str">
        <x:f>IF(AND($A24="Yes",$B24&lt;&gt;"",$C24&lt;&gt;"",COUNTIF($B$5:$B$44,$B24)=1,COUNTIF($C$5:$C$44,$C24)=1),COUNT($R$4:R23)+1,"")</x:f>
      </x:c>
      <x:c r="S24" t="str">
        <x:f>IF($R24="","","NOCINPUT|"&amp;TEXT($R24,"000"))</x:f>
      </x:c>
      <x:c r="T24" t="str">
        <x:f>IF($R24="","",$B24)</x:f>
      </x:c>
    </x:row>
    <x:row r="25">
      <x:c r="A25" s="178" t="str">
        <x:v>No</x:v>
      </x:c>
      <x:c r="B25" s="178" t="str">
        <x:v>NOC_021</x:v>
      </x:c>
      <x:c r="C25" s="178" t="str">
        <x:v>NOC 021</x:v>
      </x:c>
      <x:c r="D25" s="178"/>
      <x:c r="E25" s="179" t="str">
        <x:f>IF(A25&lt;&gt;"Yes","",IF(H25=0,"","("&amp;IFERROR(VLOOKUP(B25&amp;"|"&amp;TEXT(H25,"000"),Locations!$L$5:$M$64,2,FALSE),"")&amp;")"))</x:f>
      </x:c>
      <x:c r="F25" s="179" t="str">
        <x:f>IF(OR($A25&lt;&gt;"Yes",$B25="",$C25=""),"",CHAR(123)&amp;CHAR(34)&amp;"label"&amp;CHAR(34)&amp;":"&amp;CHAR(34)&amp;$C25&amp;CHAR(34)&amp;","&amp;CHAR(34)&amp;"value"&amp;CHAR(34)&amp;":"&amp;CHAR(34)&amp;$B25&amp;CHAR(34)&amp;CHAR(125))</x:f>
      </x:c>
      <x:c r="G25" s="179" t="str">
        <x:f>IF(OR(A25&lt;&gt;"Yes",E25=""),"","{""label"":""Aggregate Scope"",""value"":"""&amp;SUBSTITUTE(E25,CHAR(34),"\"&amp;CHAR(34))&amp;"""}")</x:f>
      </x:c>
      <x:c r="H25" s="179" t="n">
        <x:f>IF($B25="","",COUNTIFS(Locations!$I$5:$I$64,"OK",Locations!$B$5:$B$64,$B25))</x:f>
        <x:v>0</x:v>
      </x:c>
      <x:c r="I25" s="179" t="str">
        <x:f>IF($A25&lt;&gt;"Yes","Disabled",IF($B25="","Missing NOC ID",IF($C25="","Missing display name",IF(COUNTIF($B$5:$B$44,$B25)&gt;1,"Duplicate NOC ID",IF(COUNTIF($C$5:$C$44,$C25)&gt;1,"Duplicate display name",IF($H25=0,"No enabled locations","OK"))))))</x:f>
        <x:v>Disabled</x:v>
      </x:c>
      <x:c r="J25" s="178" t="str"/>
      <x:c r="K25" t="str">
        <x:f>IF($I25="OK",COUNTIF($I$5:$I25,"OK"),"")</x:f>
      </x:c>
      <x:c r="L25" t="str">
        <x:f>IF($K25="","","NOC|"&amp;TEXT($K25,"000"))</x:f>
      </x:c>
      <x:c r="M25" t="str">
        <x:f>IF($I25="OK",$C25,"")</x:f>
      </x:c>
      <x:c r="N25" t="str">
        <x:f>"NOC|021"</x:f>
        <x:v>NOC|021</x:v>
      </x:c>
      <x:c r="O25" t="str">
        <x:f>IFERROR(VLOOKUP($N25,$L$5:$M$44,2,FALSE),"")</x:f>
      </x:c>
      <x:c r="P25" t="str">
        <x:f>IF($I25="OK",$C25,"")</x:f>
      </x:c>
      <x:c r="Q25" t="str">
        <x:f>IF($I25="OK",$B25,"")</x:f>
      </x:c>
      <x:c r="R25" t="str">
        <x:f>IF(AND($A25="Yes",$B25&lt;&gt;"",$C25&lt;&gt;"",COUNTIF($B$5:$B$44,$B25)=1,COUNTIF($C$5:$C$44,$C25)=1),COUNT($R$4:R24)+1,"")</x:f>
      </x:c>
      <x:c r="S25" t="str">
        <x:f>IF($R25="","","NOCINPUT|"&amp;TEXT($R25,"000"))</x:f>
      </x:c>
      <x:c r="T25" t="str">
        <x:f>IF($R25="","",$B25)</x:f>
      </x:c>
    </x:row>
    <x:row r="26">
      <x:c r="A26" s="178" t="str">
        <x:v>No</x:v>
      </x:c>
      <x:c r="B26" s="178" t="str">
        <x:v>NOC_022</x:v>
      </x:c>
      <x:c r="C26" s="178" t="str">
        <x:v>NOC 022</x:v>
      </x:c>
      <x:c r="D26" s="178"/>
      <x:c r="E26" s="179" t="str">
        <x:f>IF(A26&lt;&gt;"Yes","",IF(H26=0,"","("&amp;IFERROR(VLOOKUP(B26&amp;"|"&amp;TEXT(H26,"000"),Locations!$L$5:$M$64,2,FALSE),"")&amp;")"))</x:f>
      </x:c>
      <x:c r="F26" s="179" t="str">
        <x:f>IF(OR($A26&lt;&gt;"Yes",$B26="",$C26=""),"",CHAR(123)&amp;CHAR(34)&amp;"label"&amp;CHAR(34)&amp;":"&amp;CHAR(34)&amp;$C26&amp;CHAR(34)&amp;","&amp;CHAR(34)&amp;"value"&amp;CHAR(34)&amp;":"&amp;CHAR(34)&amp;$B26&amp;CHAR(34)&amp;CHAR(125))</x:f>
      </x:c>
      <x:c r="G26" s="179" t="str">
        <x:f>IF(OR(A26&lt;&gt;"Yes",E26=""),"","{""label"":""Aggregate Scope"",""value"":"""&amp;SUBSTITUTE(E26,CHAR(34),"\"&amp;CHAR(34))&amp;"""}")</x:f>
      </x:c>
      <x:c r="H26" s="179" t="n">
        <x:f>IF($B26="","",COUNTIFS(Locations!$I$5:$I$64,"OK",Locations!$B$5:$B$64,$B26))</x:f>
        <x:v>0</x:v>
      </x:c>
      <x:c r="I26" s="179" t="str">
        <x:f>IF($A26&lt;&gt;"Yes","Disabled",IF($B26="","Missing NOC ID",IF($C26="","Missing display name",IF(COUNTIF($B$5:$B$44,$B26)&gt;1,"Duplicate NOC ID",IF(COUNTIF($C$5:$C$44,$C26)&gt;1,"Duplicate display name",IF($H26=0,"No enabled locations","OK"))))))</x:f>
        <x:v>Disabled</x:v>
      </x:c>
      <x:c r="J26" s="178" t="str"/>
      <x:c r="K26" t="str">
        <x:f>IF($I26="OK",COUNTIF($I$5:$I26,"OK"),"")</x:f>
      </x:c>
      <x:c r="L26" t="str">
        <x:f>IF($K26="","","NOC|"&amp;TEXT($K26,"000"))</x:f>
      </x:c>
      <x:c r="M26" t="str">
        <x:f>IF($I26="OK",$C26,"")</x:f>
      </x:c>
      <x:c r="N26" t="str">
        <x:f>"NOC|022"</x:f>
        <x:v>NOC|022</x:v>
      </x:c>
      <x:c r="O26" t="str">
        <x:f>IFERROR(VLOOKUP($N26,$L$5:$M$44,2,FALSE),"")</x:f>
      </x:c>
      <x:c r="P26" t="str">
        <x:f>IF($I26="OK",$C26,"")</x:f>
      </x:c>
      <x:c r="Q26" t="str">
        <x:f>IF($I26="OK",$B26,"")</x:f>
      </x:c>
      <x:c r="R26" t="str">
        <x:f>IF(AND($A26="Yes",$B26&lt;&gt;"",$C26&lt;&gt;"",COUNTIF($B$5:$B$44,$B26)=1,COUNTIF($C$5:$C$44,$C26)=1),COUNT($R$4:R25)+1,"")</x:f>
      </x:c>
      <x:c r="S26" t="str">
        <x:f>IF($R26="","","NOCINPUT|"&amp;TEXT($R26,"000"))</x:f>
      </x:c>
      <x:c r="T26" t="str">
        <x:f>IF($R26="","",$B26)</x:f>
      </x:c>
    </x:row>
    <x:row r="27">
      <x:c r="A27" s="178" t="str">
        <x:v>No</x:v>
      </x:c>
      <x:c r="B27" s="178" t="str">
        <x:v>NOC_023</x:v>
      </x:c>
      <x:c r="C27" s="178" t="str">
        <x:v>NOC 023</x:v>
      </x:c>
      <x:c r="D27" s="178"/>
      <x:c r="E27" s="179" t="str">
        <x:f>IF(A27&lt;&gt;"Yes","",IF(H27=0,"","("&amp;IFERROR(VLOOKUP(B27&amp;"|"&amp;TEXT(H27,"000"),Locations!$L$5:$M$64,2,FALSE),"")&amp;")"))</x:f>
      </x:c>
      <x:c r="F27" s="179" t="str">
        <x:f>IF(OR($A27&lt;&gt;"Yes",$B27="",$C27=""),"",CHAR(123)&amp;CHAR(34)&amp;"label"&amp;CHAR(34)&amp;":"&amp;CHAR(34)&amp;$C27&amp;CHAR(34)&amp;","&amp;CHAR(34)&amp;"value"&amp;CHAR(34)&amp;":"&amp;CHAR(34)&amp;$B27&amp;CHAR(34)&amp;CHAR(125))</x:f>
      </x:c>
      <x:c r="G27" s="179" t="str">
        <x:f>IF(OR(A27&lt;&gt;"Yes",E27=""),"","{""label"":""Aggregate Scope"",""value"":"""&amp;SUBSTITUTE(E27,CHAR(34),"\"&amp;CHAR(34))&amp;"""}")</x:f>
      </x:c>
      <x:c r="H27" s="179" t="n">
        <x:f>IF($B27="","",COUNTIFS(Locations!$I$5:$I$64,"OK",Locations!$B$5:$B$64,$B27))</x:f>
        <x:v>0</x:v>
      </x:c>
      <x:c r="I27" s="179" t="str">
        <x:f>IF($A27&lt;&gt;"Yes","Disabled",IF($B27="","Missing NOC ID",IF($C27="","Missing display name",IF(COUNTIF($B$5:$B$44,$B27)&gt;1,"Duplicate NOC ID",IF(COUNTIF($C$5:$C$44,$C27)&gt;1,"Duplicate display name",IF($H27=0,"No enabled locations","OK"))))))</x:f>
        <x:v>Disabled</x:v>
      </x:c>
      <x:c r="J27" s="178" t="str"/>
      <x:c r="K27" t="str">
        <x:f>IF($I27="OK",COUNTIF($I$5:$I27,"OK"),"")</x:f>
      </x:c>
      <x:c r="L27" t="str">
        <x:f>IF($K27="","","NOC|"&amp;TEXT($K27,"000"))</x:f>
      </x:c>
      <x:c r="M27" t="str">
        <x:f>IF($I27="OK",$C27,"")</x:f>
      </x:c>
      <x:c r="N27" t="str">
        <x:f>"NOC|023"</x:f>
        <x:v>NOC|023</x:v>
      </x:c>
      <x:c r="O27" t="str">
        <x:f>IFERROR(VLOOKUP($N27,$L$5:$M$44,2,FALSE),"")</x:f>
      </x:c>
      <x:c r="P27" t="str">
        <x:f>IF($I27="OK",$C27,"")</x:f>
      </x:c>
      <x:c r="Q27" t="str">
        <x:f>IF($I27="OK",$B27,"")</x:f>
      </x:c>
      <x:c r="R27" t="str">
        <x:f>IF(AND($A27="Yes",$B27&lt;&gt;"",$C27&lt;&gt;"",COUNTIF($B$5:$B$44,$B27)=1,COUNTIF($C$5:$C$44,$C27)=1),COUNT($R$4:R26)+1,"")</x:f>
      </x:c>
      <x:c r="S27" t="str">
        <x:f>IF($R27="","","NOCINPUT|"&amp;TEXT($R27,"000"))</x:f>
      </x:c>
      <x:c r="T27" t="str">
        <x:f>IF($R27="","",$B27)</x:f>
      </x:c>
    </x:row>
    <x:row r="28">
      <x:c r="A28" s="178" t="str">
        <x:v>No</x:v>
      </x:c>
      <x:c r="B28" s="178" t="str">
        <x:v>NOC_024</x:v>
      </x:c>
      <x:c r="C28" s="178" t="str">
        <x:v>NOC 024</x:v>
      </x:c>
      <x:c r="D28" s="178"/>
      <x:c r="E28" s="179" t="str">
        <x:f>IF(A28&lt;&gt;"Yes","",IF(H28=0,"","("&amp;IFERROR(VLOOKUP(B28&amp;"|"&amp;TEXT(H28,"000"),Locations!$L$5:$M$64,2,FALSE),"")&amp;")"))</x:f>
      </x:c>
      <x:c r="F28" s="179" t="str">
        <x:f>IF(OR($A28&lt;&gt;"Yes",$B28="",$C28=""),"",CHAR(123)&amp;CHAR(34)&amp;"label"&amp;CHAR(34)&amp;":"&amp;CHAR(34)&amp;$C28&amp;CHAR(34)&amp;","&amp;CHAR(34)&amp;"value"&amp;CHAR(34)&amp;":"&amp;CHAR(34)&amp;$B28&amp;CHAR(34)&amp;CHAR(125))</x:f>
      </x:c>
      <x:c r="G28" s="179" t="str">
        <x:f>IF(OR(A28&lt;&gt;"Yes",E28=""),"","{""label"":""Aggregate Scope"",""value"":"""&amp;SUBSTITUTE(E28,CHAR(34),"\"&amp;CHAR(34))&amp;"""}")</x:f>
      </x:c>
      <x:c r="H28" s="179" t="n">
        <x:f>IF($B28="","",COUNTIFS(Locations!$I$5:$I$64,"OK",Locations!$B$5:$B$64,$B28))</x:f>
        <x:v>0</x:v>
      </x:c>
      <x:c r="I28" s="179" t="str">
        <x:f>IF($A28&lt;&gt;"Yes","Disabled",IF($B28="","Missing NOC ID",IF($C28="","Missing display name",IF(COUNTIF($B$5:$B$44,$B28)&gt;1,"Duplicate NOC ID",IF(COUNTIF($C$5:$C$44,$C28)&gt;1,"Duplicate display name",IF($H28=0,"No enabled locations","OK"))))))</x:f>
        <x:v>Disabled</x:v>
      </x:c>
      <x:c r="J28" s="178" t="str"/>
      <x:c r="K28" t="str">
        <x:f>IF($I28="OK",COUNTIF($I$5:$I28,"OK"),"")</x:f>
      </x:c>
      <x:c r="L28" t="str">
        <x:f>IF($K28="","","NOC|"&amp;TEXT($K28,"000"))</x:f>
      </x:c>
      <x:c r="M28" t="str">
        <x:f>IF($I28="OK",$C28,"")</x:f>
      </x:c>
      <x:c r="N28" t="str">
        <x:f>"NOC|024"</x:f>
        <x:v>NOC|024</x:v>
      </x:c>
      <x:c r="O28" t="str">
        <x:f>IFERROR(VLOOKUP($N28,$L$5:$M$44,2,FALSE),"")</x:f>
      </x:c>
      <x:c r="P28" t="str">
        <x:f>IF($I28="OK",$C28,"")</x:f>
      </x:c>
      <x:c r="Q28" t="str">
        <x:f>IF($I28="OK",$B28,"")</x:f>
      </x:c>
      <x:c r="R28" t="str">
        <x:f>IF(AND($A28="Yes",$B28&lt;&gt;"",$C28&lt;&gt;"",COUNTIF($B$5:$B$44,$B28)=1,COUNTIF($C$5:$C$44,$C28)=1),COUNT($R$4:R27)+1,"")</x:f>
      </x:c>
      <x:c r="S28" t="str">
        <x:f>IF($R28="","","NOCINPUT|"&amp;TEXT($R28,"000"))</x:f>
      </x:c>
      <x:c r="T28" t="str">
        <x:f>IF($R28="","",$B28)</x:f>
      </x:c>
    </x:row>
    <x:row r="29">
      <x:c r="A29" s="178" t="str">
        <x:v>No</x:v>
      </x:c>
      <x:c r="B29" s="178" t="str">
        <x:v>NOC_025</x:v>
      </x:c>
      <x:c r="C29" s="178" t="str">
        <x:v>NOC 025</x:v>
      </x:c>
      <x:c r="D29" s="178"/>
      <x:c r="E29" s="179" t="str">
        <x:f>IF(A29&lt;&gt;"Yes","",IF(H29=0,"","("&amp;IFERROR(VLOOKUP(B29&amp;"|"&amp;TEXT(H29,"000"),Locations!$L$5:$M$64,2,FALSE),"")&amp;")"))</x:f>
      </x:c>
      <x:c r="F29" s="179" t="str">
        <x:f>IF(OR($A29&lt;&gt;"Yes",$B29="",$C29=""),"",CHAR(123)&amp;CHAR(34)&amp;"label"&amp;CHAR(34)&amp;":"&amp;CHAR(34)&amp;$C29&amp;CHAR(34)&amp;","&amp;CHAR(34)&amp;"value"&amp;CHAR(34)&amp;":"&amp;CHAR(34)&amp;$B29&amp;CHAR(34)&amp;CHAR(125))</x:f>
      </x:c>
      <x:c r="G29" s="179" t="str">
        <x:f>IF(OR(A29&lt;&gt;"Yes",E29=""),"","{""label"":""Aggregate Scope"",""value"":"""&amp;SUBSTITUTE(E29,CHAR(34),"\"&amp;CHAR(34))&amp;"""}")</x:f>
      </x:c>
      <x:c r="H29" s="179" t="n">
        <x:f>IF($B29="","",COUNTIFS(Locations!$I$5:$I$64,"OK",Locations!$B$5:$B$64,$B29))</x:f>
        <x:v>0</x:v>
      </x:c>
      <x:c r="I29" s="179" t="str">
        <x:f>IF($A29&lt;&gt;"Yes","Disabled",IF($B29="","Missing NOC ID",IF($C29="","Missing display name",IF(COUNTIF($B$5:$B$44,$B29)&gt;1,"Duplicate NOC ID",IF(COUNTIF($C$5:$C$44,$C29)&gt;1,"Duplicate display name",IF($H29=0,"No enabled locations","OK"))))))</x:f>
        <x:v>Disabled</x:v>
      </x:c>
      <x:c r="J29" s="178" t="str"/>
      <x:c r="K29" t="str">
        <x:f>IF($I29="OK",COUNTIF($I$5:$I29,"OK"),"")</x:f>
      </x:c>
      <x:c r="L29" t="str">
        <x:f>IF($K29="","","NOC|"&amp;TEXT($K29,"000"))</x:f>
      </x:c>
      <x:c r="M29" t="str">
        <x:f>IF($I29="OK",$C29,"")</x:f>
      </x:c>
      <x:c r="N29" t="str">
        <x:f>"NOC|025"</x:f>
        <x:v>NOC|025</x:v>
      </x:c>
      <x:c r="O29" t="str">
        <x:f>IFERROR(VLOOKUP($N29,$L$5:$M$44,2,FALSE),"")</x:f>
      </x:c>
      <x:c r="P29" t="str">
        <x:f>IF($I29="OK",$C29,"")</x:f>
      </x:c>
      <x:c r="Q29" t="str">
        <x:f>IF($I29="OK",$B29,"")</x:f>
      </x:c>
      <x:c r="R29" t="str">
        <x:f>IF(AND($A29="Yes",$B29&lt;&gt;"",$C29&lt;&gt;"",COUNTIF($B$5:$B$44,$B29)=1,COUNTIF($C$5:$C$44,$C29)=1),COUNT($R$4:R28)+1,"")</x:f>
      </x:c>
      <x:c r="S29" t="str">
        <x:f>IF($R29="","","NOCINPUT|"&amp;TEXT($R29,"000"))</x:f>
      </x:c>
      <x:c r="T29" t="str">
        <x:f>IF($R29="","",$B29)</x:f>
      </x:c>
    </x:row>
    <x:row r="30">
      <x:c r="A30" s="178" t="str">
        <x:v>No</x:v>
      </x:c>
      <x:c r="B30" s="178" t="str">
        <x:v>NOC_026</x:v>
      </x:c>
      <x:c r="C30" s="178" t="str">
        <x:v>NOC 026</x:v>
      </x:c>
      <x:c r="D30" s="178"/>
      <x:c r="E30" s="179" t="str">
        <x:f>IF(A30&lt;&gt;"Yes","",IF(H30=0,"","("&amp;IFERROR(VLOOKUP(B30&amp;"|"&amp;TEXT(H30,"000"),Locations!$L$5:$M$64,2,FALSE),"")&amp;")"))</x:f>
      </x:c>
      <x:c r="F30" s="179" t="str">
        <x:f>IF(OR($A30&lt;&gt;"Yes",$B30="",$C30=""),"",CHAR(123)&amp;CHAR(34)&amp;"label"&amp;CHAR(34)&amp;":"&amp;CHAR(34)&amp;$C30&amp;CHAR(34)&amp;","&amp;CHAR(34)&amp;"value"&amp;CHAR(34)&amp;":"&amp;CHAR(34)&amp;$B30&amp;CHAR(34)&amp;CHAR(125))</x:f>
      </x:c>
      <x:c r="G30" s="179" t="str">
        <x:f>IF(OR(A30&lt;&gt;"Yes",E30=""),"","{""label"":""Aggregate Scope"",""value"":"""&amp;SUBSTITUTE(E30,CHAR(34),"\"&amp;CHAR(34))&amp;"""}")</x:f>
      </x:c>
      <x:c r="H30" s="179" t="n">
        <x:f>IF($B30="","",COUNTIFS(Locations!$I$5:$I$64,"OK",Locations!$B$5:$B$64,$B30))</x:f>
        <x:v>0</x:v>
      </x:c>
      <x:c r="I30" s="179" t="str">
        <x:f>IF($A30&lt;&gt;"Yes","Disabled",IF($B30="","Missing NOC ID",IF($C30="","Missing display name",IF(COUNTIF($B$5:$B$44,$B30)&gt;1,"Duplicate NOC ID",IF(COUNTIF($C$5:$C$44,$C30)&gt;1,"Duplicate display name",IF($H30=0,"No enabled locations","OK"))))))</x:f>
        <x:v>Disabled</x:v>
      </x:c>
      <x:c r="J30" s="178" t="str"/>
      <x:c r="K30" t="str">
        <x:f>IF($I30="OK",COUNTIF($I$5:$I30,"OK"),"")</x:f>
      </x:c>
      <x:c r="L30" t="str">
        <x:f>IF($K30="","","NOC|"&amp;TEXT($K30,"000"))</x:f>
      </x:c>
      <x:c r="M30" t="str">
        <x:f>IF($I30="OK",$C30,"")</x:f>
      </x:c>
      <x:c r="N30" t="str">
        <x:f>"NOC|026"</x:f>
        <x:v>NOC|026</x:v>
      </x:c>
      <x:c r="O30" t="str">
        <x:f>IFERROR(VLOOKUP($N30,$L$5:$M$44,2,FALSE),"")</x:f>
      </x:c>
      <x:c r="P30" t="str">
        <x:f>IF($I30="OK",$C30,"")</x:f>
      </x:c>
      <x:c r="Q30" t="str">
        <x:f>IF($I30="OK",$B30,"")</x:f>
      </x:c>
      <x:c r="R30" t="str">
        <x:f>IF(AND($A30="Yes",$B30&lt;&gt;"",$C30&lt;&gt;"",COUNTIF($B$5:$B$44,$B30)=1,COUNTIF($C$5:$C$44,$C30)=1),COUNT($R$4:R29)+1,"")</x:f>
      </x:c>
      <x:c r="S30" t="str">
        <x:f>IF($R30="","","NOCINPUT|"&amp;TEXT($R30,"000"))</x:f>
      </x:c>
      <x:c r="T30" t="str">
        <x:f>IF($R30="","",$B30)</x:f>
      </x:c>
    </x:row>
    <x:row r="31">
      <x:c r="A31" s="178" t="str">
        <x:v>No</x:v>
      </x:c>
      <x:c r="B31" s="178" t="str">
        <x:v>NOC_027</x:v>
      </x:c>
      <x:c r="C31" s="178" t="str">
        <x:v>NOC 027</x:v>
      </x:c>
      <x:c r="D31" s="178"/>
      <x:c r="E31" s="179" t="str">
        <x:f>IF(A31&lt;&gt;"Yes","",IF(H31=0,"","("&amp;IFERROR(VLOOKUP(B31&amp;"|"&amp;TEXT(H31,"000"),Locations!$L$5:$M$64,2,FALSE),"")&amp;")"))</x:f>
      </x:c>
      <x:c r="F31" s="179" t="str">
        <x:f>IF(OR($A31&lt;&gt;"Yes",$B31="",$C31=""),"",CHAR(123)&amp;CHAR(34)&amp;"label"&amp;CHAR(34)&amp;":"&amp;CHAR(34)&amp;$C31&amp;CHAR(34)&amp;","&amp;CHAR(34)&amp;"value"&amp;CHAR(34)&amp;":"&amp;CHAR(34)&amp;$B31&amp;CHAR(34)&amp;CHAR(125))</x:f>
      </x:c>
      <x:c r="G31" s="179" t="str">
        <x:f>IF(OR(A31&lt;&gt;"Yes",E31=""),"","{""label"":""Aggregate Scope"",""value"":"""&amp;SUBSTITUTE(E31,CHAR(34),"\"&amp;CHAR(34))&amp;"""}")</x:f>
      </x:c>
      <x:c r="H31" s="179" t="n">
        <x:f>IF($B31="","",COUNTIFS(Locations!$I$5:$I$64,"OK",Locations!$B$5:$B$64,$B31))</x:f>
        <x:v>0</x:v>
      </x:c>
      <x:c r="I31" s="179" t="str">
        <x:f>IF($A31&lt;&gt;"Yes","Disabled",IF($B31="","Missing NOC ID",IF($C31="","Missing display name",IF(COUNTIF($B$5:$B$44,$B31)&gt;1,"Duplicate NOC ID",IF(COUNTIF($C$5:$C$44,$C31)&gt;1,"Duplicate display name",IF($H31=0,"No enabled locations","OK"))))))</x:f>
        <x:v>Disabled</x:v>
      </x:c>
      <x:c r="J31" s="178" t="str"/>
      <x:c r="K31" t="str">
        <x:f>IF($I31="OK",COUNTIF($I$5:$I31,"OK"),"")</x:f>
      </x:c>
      <x:c r="L31" t="str">
        <x:f>IF($K31="","","NOC|"&amp;TEXT($K31,"000"))</x:f>
      </x:c>
      <x:c r="M31" t="str">
        <x:f>IF($I31="OK",$C31,"")</x:f>
      </x:c>
      <x:c r="N31" t="str">
        <x:f>"NOC|027"</x:f>
        <x:v>NOC|027</x:v>
      </x:c>
      <x:c r="O31" t="str">
        <x:f>IFERROR(VLOOKUP($N31,$L$5:$M$44,2,FALSE),"")</x:f>
      </x:c>
      <x:c r="P31" t="str">
        <x:f>IF($I31="OK",$C31,"")</x:f>
      </x:c>
      <x:c r="Q31" t="str">
        <x:f>IF($I31="OK",$B31,"")</x:f>
      </x:c>
      <x:c r="R31" t="str">
        <x:f>IF(AND($A31="Yes",$B31&lt;&gt;"",$C31&lt;&gt;"",COUNTIF($B$5:$B$44,$B31)=1,COUNTIF($C$5:$C$44,$C31)=1),COUNT($R$4:R30)+1,"")</x:f>
      </x:c>
      <x:c r="S31" t="str">
        <x:f>IF($R31="","","NOCINPUT|"&amp;TEXT($R31,"000"))</x:f>
      </x:c>
      <x:c r="T31" t="str">
        <x:f>IF($R31="","",$B31)</x:f>
      </x:c>
    </x:row>
    <x:row r="32">
      <x:c r="A32" s="178" t="str">
        <x:v>No</x:v>
      </x:c>
      <x:c r="B32" s="178" t="str">
        <x:v>NOC_028</x:v>
      </x:c>
      <x:c r="C32" s="178" t="str">
        <x:v>NOC 028</x:v>
      </x:c>
      <x:c r="D32" s="178"/>
      <x:c r="E32" s="179" t="str">
        <x:f>IF(A32&lt;&gt;"Yes","",IF(H32=0,"","("&amp;IFERROR(VLOOKUP(B32&amp;"|"&amp;TEXT(H32,"000"),Locations!$L$5:$M$64,2,FALSE),"")&amp;")"))</x:f>
      </x:c>
      <x:c r="F32" s="179" t="str">
        <x:f>IF(OR($A32&lt;&gt;"Yes",$B32="",$C32=""),"",CHAR(123)&amp;CHAR(34)&amp;"label"&amp;CHAR(34)&amp;":"&amp;CHAR(34)&amp;$C32&amp;CHAR(34)&amp;","&amp;CHAR(34)&amp;"value"&amp;CHAR(34)&amp;":"&amp;CHAR(34)&amp;$B32&amp;CHAR(34)&amp;CHAR(125))</x:f>
      </x:c>
      <x:c r="G32" s="179" t="str">
        <x:f>IF(OR(A32&lt;&gt;"Yes",E32=""),"","{""label"":""Aggregate Scope"",""value"":"""&amp;SUBSTITUTE(E32,CHAR(34),"\"&amp;CHAR(34))&amp;"""}")</x:f>
      </x:c>
      <x:c r="H32" s="179" t="n">
        <x:f>IF($B32="","",COUNTIFS(Locations!$I$5:$I$64,"OK",Locations!$B$5:$B$64,$B32))</x:f>
        <x:v>0</x:v>
      </x:c>
      <x:c r="I32" s="179" t="str">
        <x:f>IF($A32&lt;&gt;"Yes","Disabled",IF($B32="","Missing NOC ID",IF($C32="","Missing display name",IF(COUNTIF($B$5:$B$44,$B32)&gt;1,"Duplicate NOC ID",IF(COUNTIF($C$5:$C$44,$C32)&gt;1,"Duplicate display name",IF($H32=0,"No enabled locations","OK"))))))</x:f>
        <x:v>Disabled</x:v>
      </x:c>
      <x:c r="J32" s="178" t="str"/>
      <x:c r="K32" t="str">
        <x:f>IF($I32="OK",COUNTIF($I$5:$I32,"OK"),"")</x:f>
      </x:c>
      <x:c r="L32" t="str">
        <x:f>IF($K32="","","NOC|"&amp;TEXT($K32,"000"))</x:f>
      </x:c>
      <x:c r="M32" t="str">
        <x:f>IF($I32="OK",$C32,"")</x:f>
      </x:c>
      <x:c r="N32" t="str">
        <x:f>"NOC|028"</x:f>
        <x:v>NOC|028</x:v>
      </x:c>
      <x:c r="O32" t="str">
        <x:f>IFERROR(VLOOKUP($N32,$L$5:$M$44,2,FALSE),"")</x:f>
      </x:c>
      <x:c r="P32" t="str">
        <x:f>IF($I32="OK",$C32,"")</x:f>
      </x:c>
      <x:c r="Q32" t="str">
        <x:f>IF($I32="OK",$B32,"")</x:f>
      </x:c>
      <x:c r="R32" t="str">
        <x:f>IF(AND($A32="Yes",$B32&lt;&gt;"",$C32&lt;&gt;"",COUNTIF($B$5:$B$44,$B32)=1,COUNTIF($C$5:$C$44,$C32)=1),COUNT($R$4:R31)+1,"")</x:f>
      </x:c>
      <x:c r="S32" t="str">
        <x:f>IF($R32="","","NOCINPUT|"&amp;TEXT($R32,"000"))</x:f>
      </x:c>
      <x:c r="T32" t="str">
        <x:f>IF($R32="","",$B32)</x:f>
      </x:c>
    </x:row>
    <x:row r="33">
      <x:c r="A33" s="178" t="str">
        <x:v>No</x:v>
      </x:c>
      <x:c r="B33" s="178" t="str">
        <x:v>NOC_029</x:v>
      </x:c>
      <x:c r="C33" s="178" t="str">
        <x:v>NOC 029</x:v>
      </x:c>
      <x:c r="D33" s="178"/>
      <x:c r="E33" s="179" t="str">
        <x:f>IF(A33&lt;&gt;"Yes","",IF(H33=0,"","("&amp;IFERROR(VLOOKUP(B33&amp;"|"&amp;TEXT(H33,"000"),Locations!$L$5:$M$64,2,FALSE),"")&amp;")"))</x:f>
      </x:c>
      <x:c r="F33" s="179" t="str">
        <x:f>IF(OR($A33&lt;&gt;"Yes",$B33="",$C33=""),"",CHAR(123)&amp;CHAR(34)&amp;"label"&amp;CHAR(34)&amp;":"&amp;CHAR(34)&amp;$C33&amp;CHAR(34)&amp;","&amp;CHAR(34)&amp;"value"&amp;CHAR(34)&amp;":"&amp;CHAR(34)&amp;$B33&amp;CHAR(34)&amp;CHAR(125))</x:f>
      </x:c>
      <x:c r="G33" s="179" t="str">
        <x:f>IF(OR(A33&lt;&gt;"Yes",E33=""),"","{""label"":""Aggregate Scope"",""value"":"""&amp;SUBSTITUTE(E33,CHAR(34),"\"&amp;CHAR(34))&amp;"""}")</x:f>
      </x:c>
      <x:c r="H33" s="179" t="n">
        <x:f>IF($B33="","",COUNTIFS(Locations!$I$5:$I$64,"OK",Locations!$B$5:$B$64,$B33))</x:f>
        <x:v>0</x:v>
      </x:c>
      <x:c r="I33" s="179" t="str">
        <x:f>IF($A33&lt;&gt;"Yes","Disabled",IF($B33="","Missing NOC ID",IF($C33="","Missing display name",IF(COUNTIF($B$5:$B$44,$B33)&gt;1,"Duplicate NOC ID",IF(COUNTIF($C$5:$C$44,$C33)&gt;1,"Duplicate display name",IF($H33=0,"No enabled locations","OK"))))))</x:f>
        <x:v>Disabled</x:v>
      </x:c>
      <x:c r="J33" s="178" t="str"/>
      <x:c r="K33" t="str">
        <x:f>IF($I33="OK",COUNTIF($I$5:$I33,"OK"),"")</x:f>
      </x:c>
      <x:c r="L33" t="str">
        <x:f>IF($K33="","","NOC|"&amp;TEXT($K33,"000"))</x:f>
      </x:c>
      <x:c r="M33" t="str">
        <x:f>IF($I33="OK",$C33,"")</x:f>
      </x:c>
      <x:c r="N33" t="str">
        <x:f>"NOC|029"</x:f>
        <x:v>NOC|029</x:v>
      </x:c>
      <x:c r="O33" t="str">
        <x:f>IFERROR(VLOOKUP($N33,$L$5:$M$44,2,FALSE),"")</x:f>
      </x:c>
      <x:c r="P33" t="str">
        <x:f>IF($I33="OK",$C33,"")</x:f>
      </x:c>
      <x:c r="Q33" t="str">
        <x:f>IF($I33="OK",$B33,"")</x:f>
      </x:c>
      <x:c r="R33" t="str">
        <x:f>IF(AND($A33="Yes",$B33&lt;&gt;"",$C33&lt;&gt;"",COUNTIF($B$5:$B$44,$B33)=1,COUNTIF($C$5:$C$44,$C33)=1),COUNT($R$4:R32)+1,"")</x:f>
      </x:c>
      <x:c r="S33" t="str">
        <x:f>IF($R33="","","NOCINPUT|"&amp;TEXT($R33,"000"))</x:f>
      </x:c>
      <x:c r="T33" t="str">
        <x:f>IF($R33="","",$B33)</x:f>
      </x:c>
    </x:row>
    <x:row r="34">
      <x:c r="A34" s="178" t="str">
        <x:v>No</x:v>
      </x:c>
      <x:c r="B34" s="178" t="str">
        <x:v>NOC_030</x:v>
      </x:c>
      <x:c r="C34" s="178" t="str">
        <x:v>NOC 030</x:v>
      </x:c>
      <x:c r="D34" s="178"/>
      <x:c r="E34" s="179" t="str">
        <x:f>IF(A34&lt;&gt;"Yes","",IF(H34=0,"","("&amp;IFERROR(VLOOKUP(B34&amp;"|"&amp;TEXT(H34,"000"),Locations!$L$5:$M$64,2,FALSE),"")&amp;")"))</x:f>
      </x:c>
      <x:c r="F34" s="179" t="str">
        <x:f>IF(OR($A34&lt;&gt;"Yes",$B34="",$C34=""),"",CHAR(123)&amp;CHAR(34)&amp;"label"&amp;CHAR(34)&amp;":"&amp;CHAR(34)&amp;$C34&amp;CHAR(34)&amp;","&amp;CHAR(34)&amp;"value"&amp;CHAR(34)&amp;":"&amp;CHAR(34)&amp;$B34&amp;CHAR(34)&amp;CHAR(125))</x:f>
      </x:c>
      <x:c r="G34" s="179" t="str">
        <x:f>IF(OR(A34&lt;&gt;"Yes",E34=""),"","{""label"":""Aggregate Scope"",""value"":"""&amp;SUBSTITUTE(E34,CHAR(34),"\"&amp;CHAR(34))&amp;"""}")</x:f>
      </x:c>
      <x:c r="H34" s="179" t="n">
        <x:f>IF($B34="","",COUNTIFS(Locations!$I$5:$I$64,"OK",Locations!$B$5:$B$64,$B34))</x:f>
        <x:v>0</x:v>
      </x:c>
      <x:c r="I34" s="179" t="str">
        <x:f>IF($A34&lt;&gt;"Yes","Disabled",IF($B34="","Missing NOC ID",IF($C34="","Missing display name",IF(COUNTIF($B$5:$B$44,$B34)&gt;1,"Duplicate NOC ID",IF(COUNTIF($C$5:$C$44,$C34)&gt;1,"Duplicate display name",IF($H34=0,"No enabled locations","OK"))))))</x:f>
        <x:v>Disabled</x:v>
      </x:c>
      <x:c r="J34" s="178" t="str"/>
      <x:c r="K34" t="str">
        <x:f>IF($I34="OK",COUNTIF($I$5:$I34,"OK"),"")</x:f>
      </x:c>
      <x:c r="L34" t="str">
        <x:f>IF($K34="","","NOC|"&amp;TEXT($K34,"000"))</x:f>
      </x:c>
      <x:c r="M34" t="str">
        <x:f>IF($I34="OK",$C34,"")</x:f>
      </x:c>
      <x:c r="N34" t="str">
        <x:f>"NOC|030"</x:f>
        <x:v>NOC|030</x:v>
      </x:c>
      <x:c r="O34" t="str">
        <x:f>IFERROR(VLOOKUP($N34,$L$5:$M$44,2,FALSE),"")</x:f>
      </x:c>
      <x:c r="P34" t="str">
        <x:f>IF($I34="OK",$C34,"")</x:f>
      </x:c>
      <x:c r="Q34" t="str">
        <x:f>IF($I34="OK",$B34,"")</x:f>
      </x:c>
      <x:c r="R34" t="str">
        <x:f>IF(AND($A34="Yes",$B34&lt;&gt;"",$C34&lt;&gt;"",COUNTIF($B$5:$B$44,$B34)=1,COUNTIF($C$5:$C$44,$C34)=1),COUNT($R$4:R33)+1,"")</x:f>
      </x:c>
      <x:c r="S34" t="str">
        <x:f>IF($R34="","","NOCINPUT|"&amp;TEXT($R34,"000"))</x:f>
      </x:c>
      <x:c r="T34" t="str">
        <x:f>IF($R34="","",$B34)</x:f>
      </x:c>
    </x:row>
    <x:row r="35">
      <x:c r="A35" s="178" t="str">
        <x:v>No</x:v>
      </x:c>
      <x:c r="B35" s="178" t="str">
        <x:v>NOC_031</x:v>
      </x:c>
      <x:c r="C35" s="178" t="str">
        <x:v>NOC 031</x:v>
      </x:c>
      <x:c r="D35" s="178"/>
      <x:c r="E35" s="179" t="str">
        <x:f>IF(A35&lt;&gt;"Yes","",IF(H35=0,"","("&amp;IFERROR(VLOOKUP(B35&amp;"|"&amp;TEXT(H35,"000"),Locations!$L$5:$M$64,2,FALSE),"")&amp;")"))</x:f>
      </x:c>
      <x:c r="F35" s="179" t="str">
        <x:f>IF(OR($A35&lt;&gt;"Yes",$B35="",$C35=""),"",CHAR(123)&amp;CHAR(34)&amp;"label"&amp;CHAR(34)&amp;":"&amp;CHAR(34)&amp;$C35&amp;CHAR(34)&amp;","&amp;CHAR(34)&amp;"value"&amp;CHAR(34)&amp;":"&amp;CHAR(34)&amp;$B35&amp;CHAR(34)&amp;CHAR(125))</x:f>
      </x:c>
      <x:c r="G35" s="179" t="str">
        <x:f>IF(OR(A35&lt;&gt;"Yes",E35=""),"","{""label"":""Aggregate Scope"",""value"":"""&amp;SUBSTITUTE(E35,CHAR(34),"\"&amp;CHAR(34))&amp;"""}")</x:f>
      </x:c>
      <x:c r="H35" s="179" t="n">
        <x:f>IF($B35="","",COUNTIFS(Locations!$I$5:$I$64,"OK",Locations!$B$5:$B$64,$B35))</x:f>
        <x:v>0</x:v>
      </x:c>
      <x:c r="I35" s="179" t="str">
        <x:f>IF($A35&lt;&gt;"Yes","Disabled",IF($B35="","Missing NOC ID",IF($C35="","Missing display name",IF(COUNTIF($B$5:$B$44,$B35)&gt;1,"Duplicate NOC ID",IF(COUNTIF($C$5:$C$44,$C35)&gt;1,"Duplicate display name",IF($H35=0,"No enabled locations","OK"))))))</x:f>
        <x:v>Disabled</x:v>
      </x:c>
      <x:c r="J35" s="178" t="str"/>
      <x:c r="K35" t="str">
        <x:f>IF($I35="OK",COUNTIF($I$5:$I35,"OK"),"")</x:f>
      </x:c>
      <x:c r="L35" t="str">
        <x:f>IF($K35="","","NOC|"&amp;TEXT($K35,"000"))</x:f>
      </x:c>
      <x:c r="M35" t="str">
        <x:f>IF($I35="OK",$C35,"")</x:f>
      </x:c>
      <x:c r="N35" t="str">
        <x:f>"NOC|031"</x:f>
        <x:v>NOC|031</x:v>
      </x:c>
      <x:c r="O35" t="str">
        <x:f>IFERROR(VLOOKUP($N35,$L$5:$M$44,2,FALSE),"")</x:f>
      </x:c>
      <x:c r="P35" t="str">
        <x:f>IF($I35="OK",$C35,"")</x:f>
      </x:c>
      <x:c r="Q35" t="str">
        <x:f>IF($I35="OK",$B35,"")</x:f>
      </x:c>
      <x:c r="R35" t="str">
        <x:f>IF(AND($A35="Yes",$B35&lt;&gt;"",$C35&lt;&gt;"",COUNTIF($B$5:$B$44,$B35)=1,COUNTIF($C$5:$C$44,$C35)=1),COUNT($R$4:R34)+1,"")</x:f>
      </x:c>
      <x:c r="S35" t="str">
        <x:f>IF($R35="","","NOCINPUT|"&amp;TEXT($R35,"000"))</x:f>
      </x:c>
      <x:c r="T35" t="str">
        <x:f>IF($R35="","",$B35)</x:f>
      </x:c>
    </x:row>
    <x:row r="36">
      <x:c r="A36" s="178" t="str">
        <x:v>No</x:v>
      </x:c>
      <x:c r="B36" s="178" t="str">
        <x:v>NOC_032</x:v>
      </x:c>
      <x:c r="C36" s="178" t="str">
        <x:v>NOC 032</x:v>
      </x:c>
      <x:c r="D36" s="178"/>
      <x:c r="E36" s="179" t="str">
        <x:f>IF(A36&lt;&gt;"Yes","",IF(H36=0,"","("&amp;IFERROR(VLOOKUP(B36&amp;"|"&amp;TEXT(H36,"000"),Locations!$L$5:$M$64,2,FALSE),"")&amp;")"))</x:f>
      </x:c>
      <x:c r="F36" s="179" t="str">
        <x:f>IF(OR($A36&lt;&gt;"Yes",$B36="",$C36=""),"",CHAR(123)&amp;CHAR(34)&amp;"label"&amp;CHAR(34)&amp;":"&amp;CHAR(34)&amp;$C36&amp;CHAR(34)&amp;","&amp;CHAR(34)&amp;"value"&amp;CHAR(34)&amp;":"&amp;CHAR(34)&amp;$B36&amp;CHAR(34)&amp;CHAR(125))</x:f>
      </x:c>
      <x:c r="G36" s="179" t="str">
        <x:f>IF(OR(A36&lt;&gt;"Yes",E36=""),"","{""label"":""Aggregate Scope"",""value"":"""&amp;SUBSTITUTE(E36,CHAR(34),"\"&amp;CHAR(34))&amp;"""}")</x:f>
      </x:c>
      <x:c r="H36" s="179" t="n">
        <x:f>IF($B36="","",COUNTIFS(Locations!$I$5:$I$64,"OK",Locations!$B$5:$B$64,$B36))</x:f>
        <x:v>0</x:v>
      </x:c>
      <x:c r="I36" s="179" t="str">
        <x:f>IF($A36&lt;&gt;"Yes","Disabled",IF($B36="","Missing NOC ID",IF($C36="","Missing display name",IF(COUNTIF($B$5:$B$44,$B36)&gt;1,"Duplicate NOC ID",IF(COUNTIF($C$5:$C$44,$C36)&gt;1,"Duplicate display name",IF($H36=0,"No enabled locations","OK"))))))</x:f>
        <x:v>Disabled</x:v>
      </x:c>
      <x:c r="J36" s="178" t="str"/>
      <x:c r="K36" t="str">
        <x:f>IF($I36="OK",COUNTIF($I$5:$I36,"OK"),"")</x:f>
      </x:c>
      <x:c r="L36" t="str">
        <x:f>IF($K36="","","NOC|"&amp;TEXT($K36,"000"))</x:f>
      </x:c>
      <x:c r="M36" t="str">
        <x:f>IF($I36="OK",$C36,"")</x:f>
      </x:c>
      <x:c r="N36" t="str">
        <x:f>"NOC|032"</x:f>
        <x:v>NOC|032</x:v>
      </x:c>
      <x:c r="O36" t="str">
        <x:f>IFERROR(VLOOKUP($N36,$L$5:$M$44,2,FALSE),"")</x:f>
      </x:c>
      <x:c r="P36" t="str">
        <x:f>IF($I36="OK",$C36,"")</x:f>
      </x:c>
      <x:c r="Q36" t="str">
        <x:f>IF($I36="OK",$B36,"")</x:f>
      </x:c>
      <x:c r="R36" t="str">
        <x:f>IF(AND($A36="Yes",$B36&lt;&gt;"",$C36&lt;&gt;"",COUNTIF($B$5:$B$44,$B36)=1,COUNTIF($C$5:$C$44,$C36)=1),COUNT($R$4:R35)+1,"")</x:f>
      </x:c>
      <x:c r="S36" t="str">
        <x:f>IF($R36="","","NOCINPUT|"&amp;TEXT($R36,"000"))</x:f>
      </x:c>
      <x:c r="T36" t="str">
        <x:f>IF($R36="","",$B36)</x:f>
      </x:c>
    </x:row>
    <x:row r="37">
      <x:c r="A37" s="178" t="str">
        <x:v>No</x:v>
      </x:c>
      <x:c r="B37" s="178" t="str">
        <x:v>NOC_033</x:v>
      </x:c>
      <x:c r="C37" s="178" t="str">
        <x:v>NOC 033</x:v>
      </x:c>
      <x:c r="D37" s="178"/>
      <x:c r="E37" s="179" t="str">
        <x:f>IF(A37&lt;&gt;"Yes","",IF(H37=0,"","("&amp;IFERROR(VLOOKUP(B37&amp;"|"&amp;TEXT(H37,"000"),Locations!$L$5:$M$64,2,FALSE),"")&amp;")"))</x:f>
      </x:c>
      <x:c r="F37" s="179" t="str">
        <x:f>IF(OR($A37&lt;&gt;"Yes",$B37="",$C37=""),"",CHAR(123)&amp;CHAR(34)&amp;"label"&amp;CHAR(34)&amp;":"&amp;CHAR(34)&amp;$C37&amp;CHAR(34)&amp;","&amp;CHAR(34)&amp;"value"&amp;CHAR(34)&amp;":"&amp;CHAR(34)&amp;$B37&amp;CHAR(34)&amp;CHAR(125))</x:f>
      </x:c>
      <x:c r="G37" s="179" t="str">
        <x:f>IF(OR(A37&lt;&gt;"Yes",E37=""),"","{""label"":""Aggregate Scope"",""value"":"""&amp;SUBSTITUTE(E37,CHAR(34),"\"&amp;CHAR(34))&amp;"""}")</x:f>
      </x:c>
      <x:c r="H37" s="179" t="n">
        <x:f>IF($B37="","",COUNTIFS(Locations!$I$5:$I$64,"OK",Locations!$B$5:$B$64,$B37))</x:f>
        <x:v>0</x:v>
      </x:c>
      <x:c r="I37" s="179" t="str">
        <x:f>IF($A37&lt;&gt;"Yes","Disabled",IF($B37="","Missing NOC ID",IF($C37="","Missing display name",IF(COUNTIF($B$5:$B$44,$B37)&gt;1,"Duplicate NOC ID",IF(COUNTIF($C$5:$C$44,$C37)&gt;1,"Duplicate display name",IF($H37=0,"No enabled locations","OK"))))))</x:f>
        <x:v>Disabled</x:v>
      </x:c>
      <x:c r="J37" s="178" t="str"/>
      <x:c r="K37" t="str">
        <x:f>IF($I37="OK",COUNTIF($I$5:$I37,"OK"),"")</x:f>
      </x:c>
      <x:c r="L37" t="str">
        <x:f>IF($K37="","","NOC|"&amp;TEXT($K37,"000"))</x:f>
      </x:c>
      <x:c r="M37" t="str">
        <x:f>IF($I37="OK",$C37,"")</x:f>
      </x:c>
      <x:c r="N37" t="str">
        <x:f>"NOC|033"</x:f>
        <x:v>NOC|033</x:v>
      </x:c>
      <x:c r="O37" t="str">
        <x:f>IFERROR(VLOOKUP($N37,$L$5:$M$44,2,FALSE),"")</x:f>
      </x:c>
      <x:c r="P37" t="str">
        <x:f>IF($I37="OK",$C37,"")</x:f>
      </x:c>
      <x:c r="Q37" t="str">
        <x:f>IF($I37="OK",$B37,"")</x:f>
      </x:c>
      <x:c r="R37" t="str">
        <x:f>IF(AND($A37="Yes",$B37&lt;&gt;"",$C37&lt;&gt;"",COUNTIF($B$5:$B$44,$B37)=1,COUNTIF($C$5:$C$44,$C37)=1),COUNT($R$4:R36)+1,"")</x:f>
      </x:c>
      <x:c r="S37" t="str">
        <x:f>IF($R37="","","NOCINPUT|"&amp;TEXT($R37,"000"))</x:f>
      </x:c>
      <x:c r="T37" t="str">
        <x:f>IF($R37="","",$B37)</x:f>
      </x:c>
    </x:row>
    <x:row r="38">
      <x:c r="A38" s="178" t="str">
        <x:v>No</x:v>
      </x:c>
      <x:c r="B38" s="178" t="str">
        <x:v>NOC_034</x:v>
      </x:c>
      <x:c r="C38" s="178" t="str">
        <x:v>NOC 034</x:v>
      </x:c>
      <x:c r="D38" s="178"/>
      <x:c r="E38" s="179" t="str">
        <x:f>IF(A38&lt;&gt;"Yes","",IF(H38=0,"","("&amp;IFERROR(VLOOKUP(B38&amp;"|"&amp;TEXT(H38,"000"),Locations!$L$5:$M$64,2,FALSE),"")&amp;")"))</x:f>
      </x:c>
      <x:c r="F38" s="179" t="str">
        <x:f>IF(OR($A38&lt;&gt;"Yes",$B38="",$C38=""),"",CHAR(123)&amp;CHAR(34)&amp;"label"&amp;CHAR(34)&amp;":"&amp;CHAR(34)&amp;$C38&amp;CHAR(34)&amp;","&amp;CHAR(34)&amp;"value"&amp;CHAR(34)&amp;":"&amp;CHAR(34)&amp;$B38&amp;CHAR(34)&amp;CHAR(125))</x:f>
      </x:c>
      <x:c r="G38" s="179" t="str">
        <x:f>IF(OR(A38&lt;&gt;"Yes",E38=""),"","{""label"":""Aggregate Scope"",""value"":"""&amp;SUBSTITUTE(E38,CHAR(34),"\"&amp;CHAR(34))&amp;"""}")</x:f>
      </x:c>
      <x:c r="H38" s="179" t="n">
        <x:f>IF($B38="","",COUNTIFS(Locations!$I$5:$I$64,"OK",Locations!$B$5:$B$64,$B38))</x:f>
        <x:v>0</x:v>
      </x:c>
      <x:c r="I38" s="179" t="str">
        <x:f>IF($A38&lt;&gt;"Yes","Disabled",IF($B38="","Missing NOC ID",IF($C38="","Missing display name",IF(COUNTIF($B$5:$B$44,$B38)&gt;1,"Duplicate NOC ID",IF(COUNTIF($C$5:$C$44,$C38)&gt;1,"Duplicate display name",IF($H38=0,"No enabled locations","OK"))))))</x:f>
        <x:v>Disabled</x:v>
      </x:c>
      <x:c r="J38" s="178" t="str"/>
      <x:c r="K38" t="str">
        <x:f>IF($I38="OK",COUNTIF($I$5:$I38,"OK"),"")</x:f>
      </x:c>
      <x:c r="L38" t="str">
        <x:f>IF($K38="","","NOC|"&amp;TEXT($K38,"000"))</x:f>
      </x:c>
      <x:c r="M38" t="str">
        <x:f>IF($I38="OK",$C38,"")</x:f>
      </x:c>
      <x:c r="N38" t="str">
        <x:f>"NOC|034"</x:f>
        <x:v>NOC|034</x:v>
      </x:c>
      <x:c r="O38" t="str">
        <x:f>IFERROR(VLOOKUP($N38,$L$5:$M$44,2,FALSE),"")</x:f>
      </x:c>
      <x:c r="P38" t="str">
        <x:f>IF($I38="OK",$C38,"")</x:f>
      </x:c>
      <x:c r="Q38" t="str">
        <x:f>IF($I38="OK",$B38,"")</x:f>
      </x:c>
      <x:c r="R38" t="str">
        <x:f>IF(AND($A38="Yes",$B38&lt;&gt;"",$C38&lt;&gt;"",COUNTIF($B$5:$B$44,$B38)=1,COUNTIF($C$5:$C$44,$C38)=1),COUNT($R$4:R37)+1,"")</x:f>
      </x:c>
      <x:c r="S38" t="str">
        <x:f>IF($R38="","","NOCINPUT|"&amp;TEXT($R38,"000"))</x:f>
      </x:c>
      <x:c r="T38" t="str">
        <x:f>IF($R38="","",$B38)</x:f>
      </x:c>
    </x:row>
    <x:row r="39">
      <x:c r="A39" s="178" t="str">
        <x:v>No</x:v>
      </x:c>
      <x:c r="B39" s="178" t="str">
        <x:v>NOC_035</x:v>
      </x:c>
      <x:c r="C39" s="178" t="str">
        <x:v>NOC 035</x:v>
      </x:c>
      <x:c r="D39" s="178"/>
      <x:c r="E39" s="179" t="str">
        <x:f>IF(A39&lt;&gt;"Yes","",IF(H39=0,"","("&amp;IFERROR(VLOOKUP(B39&amp;"|"&amp;TEXT(H39,"000"),Locations!$L$5:$M$64,2,FALSE),"")&amp;")"))</x:f>
      </x:c>
      <x:c r="F39" s="179" t="str">
        <x:f>IF(OR($A39&lt;&gt;"Yes",$B39="",$C39=""),"",CHAR(123)&amp;CHAR(34)&amp;"label"&amp;CHAR(34)&amp;":"&amp;CHAR(34)&amp;$C39&amp;CHAR(34)&amp;","&amp;CHAR(34)&amp;"value"&amp;CHAR(34)&amp;":"&amp;CHAR(34)&amp;$B39&amp;CHAR(34)&amp;CHAR(125))</x:f>
      </x:c>
      <x:c r="G39" s="179" t="str">
        <x:f>IF(OR(A39&lt;&gt;"Yes",E39=""),"","{""label"":""Aggregate Scope"",""value"":"""&amp;SUBSTITUTE(E39,CHAR(34),"\"&amp;CHAR(34))&amp;"""}")</x:f>
      </x:c>
      <x:c r="H39" s="179" t="n">
        <x:f>IF($B39="","",COUNTIFS(Locations!$I$5:$I$64,"OK",Locations!$B$5:$B$64,$B39))</x:f>
        <x:v>0</x:v>
      </x:c>
      <x:c r="I39" s="179" t="str">
        <x:f>IF($A39&lt;&gt;"Yes","Disabled",IF($B39="","Missing NOC ID",IF($C39="","Missing display name",IF(COUNTIF($B$5:$B$44,$B39)&gt;1,"Duplicate NOC ID",IF(COUNTIF($C$5:$C$44,$C39)&gt;1,"Duplicate display name",IF($H39=0,"No enabled locations","OK"))))))</x:f>
        <x:v>Disabled</x:v>
      </x:c>
      <x:c r="J39" s="178" t="str"/>
      <x:c r="K39" t="str">
        <x:f>IF($I39="OK",COUNTIF($I$5:$I39,"OK"),"")</x:f>
      </x:c>
      <x:c r="L39" t="str">
        <x:f>IF($K39="","","NOC|"&amp;TEXT($K39,"000"))</x:f>
      </x:c>
      <x:c r="M39" t="str">
        <x:f>IF($I39="OK",$C39,"")</x:f>
      </x:c>
      <x:c r="N39" t="str">
        <x:f>"NOC|035"</x:f>
        <x:v>NOC|035</x:v>
      </x:c>
      <x:c r="O39" t="str">
        <x:f>IFERROR(VLOOKUP($N39,$L$5:$M$44,2,FALSE),"")</x:f>
      </x:c>
      <x:c r="P39" t="str">
        <x:f>IF($I39="OK",$C39,"")</x:f>
      </x:c>
      <x:c r="Q39" t="str">
        <x:f>IF($I39="OK",$B39,"")</x:f>
      </x:c>
      <x:c r="R39" t="str">
        <x:f>IF(AND($A39="Yes",$B39&lt;&gt;"",$C39&lt;&gt;"",COUNTIF($B$5:$B$44,$B39)=1,COUNTIF($C$5:$C$44,$C39)=1),COUNT($R$4:R38)+1,"")</x:f>
      </x:c>
      <x:c r="S39" t="str">
        <x:f>IF($R39="","","NOCINPUT|"&amp;TEXT($R39,"000"))</x:f>
      </x:c>
      <x:c r="T39" t="str">
        <x:f>IF($R39="","",$B39)</x:f>
      </x:c>
    </x:row>
    <x:row r="40">
      <x:c r="A40" s="178" t="str">
        <x:v>No</x:v>
      </x:c>
      <x:c r="B40" s="178" t="str">
        <x:v>NOC_036</x:v>
      </x:c>
      <x:c r="C40" s="178" t="str">
        <x:v>NOC 036</x:v>
      </x:c>
      <x:c r="D40" s="178"/>
      <x:c r="E40" s="179" t="str">
        <x:f>IF(A40&lt;&gt;"Yes","",IF(H40=0,"","("&amp;IFERROR(VLOOKUP(B40&amp;"|"&amp;TEXT(H40,"000"),Locations!$L$5:$M$64,2,FALSE),"")&amp;")"))</x:f>
      </x:c>
      <x:c r="F40" s="179" t="str">
        <x:f>IF(OR($A40&lt;&gt;"Yes",$B40="",$C40=""),"",CHAR(123)&amp;CHAR(34)&amp;"label"&amp;CHAR(34)&amp;":"&amp;CHAR(34)&amp;$C40&amp;CHAR(34)&amp;","&amp;CHAR(34)&amp;"value"&amp;CHAR(34)&amp;":"&amp;CHAR(34)&amp;$B40&amp;CHAR(34)&amp;CHAR(125))</x:f>
      </x:c>
      <x:c r="G40" s="179" t="str">
        <x:f>IF(OR(A40&lt;&gt;"Yes",E40=""),"","{""label"":""Aggregate Scope"",""value"":"""&amp;SUBSTITUTE(E40,CHAR(34),"\"&amp;CHAR(34))&amp;"""}")</x:f>
      </x:c>
      <x:c r="H40" s="179" t="n">
        <x:f>IF($B40="","",COUNTIFS(Locations!$I$5:$I$64,"OK",Locations!$B$5:$B$64,$B40))</x:f>
        <x:v>0</x:v>
      </x:c>
      <x:c r="I40" s="179" t="str">
        <x:f>IF($A40&lt;&gt;"Yes","Disabled",IF($B40="","Missing NOC ID",IF($C40="","Missing display name",IF(COUNTIF($B$5:$B$44,$B40)&gt;1,"Duplicate NOC ID",IF(COUNTIF($C$5:$C$44,$C40)&gt;1,"Duplicate display name",IF($H40=0,"No enabled locations","OK"))))))</x:f>
        <x:v>Disabled</x:v>
      </x:c>
      <x:c r="J40" s="178" t="str"/>
      <x:c r="K40" t="str">
        <x:f>IF($I40="OK",COUNTIF($I$5:$I40,"OK"),"")</x:f>
      </x:c>
      <x:c r="L40" t="str">
        <x:f>IF($K40="","","NOC|"&amp;TEXT($K40,"000"))</x:f>
      </x:c>
      <x:c r="M40" t="str">
        <x:f>IF($I40="OK",$C40,"")</x:f>
      </x:c>
      <x:c r="N40" t="str">
        <x:f>"NOC|036"</x:f>
        <x:v>NOC|036</x:v>
      </x:c>
      <x:c r="O40" t="str">
        <x:f>IFERROR(VLOOKUP($N40,$L$5:$M$44,2,FALSE),"")</x:f>
      </x:c>
      <x:c r="P40" t="str">
        <x:f>IF($I40="OK",$C40,"")</x:f>
      </x:c>
      <x:c r="Q40" t="str">
        <x:f>IF($I40="OK",$B40,"")</x:f>
      </x:c>
      <x:c r="R40" t="str">
        <x:f>IF(AND($A40="Yes",$B40&lt;&gt;"",$C40&lt;&gt;"",COUNTIF($B$5:$B$44,$B40)=1,COUNTIF($C$5:$C$44,$C40)=1),COUNT($R$4:R39)+1,"")</x:f>
      </x:c>
      <x:c r="S40" t="str">
        <x:f>IF($R40="","","NOCINPUT|"&amp;TEXT($R40,"000"))</x:f>
      </x:c>
      <x:c r="T40" t="str">
        <x:f>IF($R40="","",$B40)</x:f>
      </x:c>
    </x:row>
    <x:row r="41">
      <x:c r="A41" s="178" t="str">
        <x:v>No</x:v>
      </x:c>
      <x:c r="B41" s="178" t="str">
        <x:v>NOC_037</x:v>
      </x:c>
      <x:c r="C41" s="178" t="str">
        <x:v>NOC 037</x:v>
      </x:c>
      <x:c r="D41" s="178"/>
      <x:c r="E41" s="179" t="str">
        <x:f>IF(A41&lt;&gt;"Yes","",IF(H41=0,"","("&amp;IFERROR(VLOOKUP(B41&amp;"|"&amp;TEXT(H41,"000"),Locations!$L$5:$M$64,2,FALSE),"")&amp;")"))</x:f>
      </x:c>
      <x:c r="F41" s="179" t="str">
        <x:f>IF(OR($A41&lt;&gt;"Yes",$B41="",$C41=""),"",CHAR(123)&amp;CHAR(34)&amp;"label"&amp;CHAR(34)&amp;":"&amp;CHAR(34)&amp;$C41&amp;CHAR(34)&amp;","&amp;CHAR(34)&amp;"value"&amp;CHAR(34)&amp;":"&amp;CHAR(34)&amp;$B41&amp;CHAR(34)&amp;CHAR(125))</x:f>
      </x:c>
      <x:c r="G41" s="179" t="str">
        <x:f>IF(OR(A41&lt;&gt;"Yes",E41=""),"","{""label"":""Aggregate Scope"",""value"":"""&amp;SUBSTITUTE(E41,CHAR(34),"\"&amp;CHAR(34))&amp;"""}")</x:f>
      </x:c>
      <x:c r="H41" s="179" t="n">
        <x:f>IF($B41="","",COUNTIFS(Locations!$I$5:$I$64,"OK",Locations!$B$5:$B$64,$B41))</x:f>
        <x:v>0</x:v>
      </x:c>
      <x:c r="I41" s="179" t="str">
        <x:f>IF($A41&lt;&gt;"Yes","Disabled",IF($B41="","Missing NOC ID",IF($C41="","Missing display name",IF(COUNTIF($B$5:$B$44,$B41)&gt;1,"Duplicate NOC ID",IF(COUNTIF($C$5:$C$44,$C41)&gt;1,"Duplicate display name",IF($H41=0,"No enabled locations","OK"))))))</x:f>
        <x:v>Disabled</x:v>
      </x:c>
      <x:c r="J41" s="178" t="str"/>
      <x:c r="K41" t="str">
        <x:f>IF($I41="OK",COUNTIF($I$5:$I41,"OK"),"")</x:f>
      </x:c>
      <x:c r="L41" t="str">
        <x:f>IF($K41="","","NOC|"&amp;TEXT($K41,"000"))</x:f>
      </x:c>
      <x:c r="M41" t="str">
        <x:f>IF($I41="OK",$C41,"")</x:f>
      </x:c>
      <x:c r="N41" t="str">
        <x:f>"NOC|037"</x:f>
        <x:v>NOC|037</x:v>
      </x:c>
      <x:c r="O41" t="str">
        <x:f>IFERROR(VLOOKUP($N41,$L$5:$M$44,2,FALSE),"")</x:f>
      </x:c>
      <x:c r="P41" t="str">
        <x:f>IF($I41="OK",$C41,"")</x:f>
      </x:c>
      <x:c r="Q41" t="str">
        <x:f>IF($I41="OK",$B41,"")</x:f>
      </x:c>
      <x:c r="R41" t="str">
        <x:f>IF(AND($A41="Yes",$B41&lt;&gt;"",$C41&lt;&gt;"",COUNTIF($B$5:$B$44,$B41)=1,COUNTIF($C$5:$C$44,$C41)=1),COUNT($R$4:R40)+1,"")</x:f>
      </x:c>
      <x:c r="S41" t="str">
        <x:f>IF($R41="","","NOCINPUT|"&amp;TEXT($R41,"000"))</x:f>
      </x:c>
      <x:c r="T41" t="str">
        <x:f>IF($R41="","",$B41)</x:f>
      </x:c>
    </x:row>
    <x:row r="42">
      <x:c r="A42" s="178" t="str">
        <x:v>No</x:v>
      </x:c>
      <x:c r="B42" s="178" t="str">
        <x:v>NOC_038</x:v>
      </x:c>
      <x:c r="C42" s="178" t="str">
        <x:v>NOC 038</x:v>
      </x:c>
      <x:c r="D42" s="178"/>
      <x:c r="E42" s="179" t="str">
        <x:f>IF(A42&lt;&gt;"Yes","",IF(H42=0,"","("&amp;IFERROR(VLOOKUP(B42&amp;"|"&amp;TEXT(H42,"000"),Locations!$L$5:$M$64,2,FALSE),"")&amp;")"))</x:f>
      </x:c>
      <x:c r="F42" s="179" t="str">
        <x:f>IF(OR($A42&lt;&gt;"Yes",$B42="",$C42=""),"",CHAR(123)&amp;CHAR(34)&amp;"label"&amp;CHAR(34)&amp;":"&amp;CHAR(34)&amp;$C42&amp;CHAR(34)&amp;","&amp;CHAR(34)&amp;"value"&amp;CHAR(34)&amp;":"&amp;CHAR(34)&amp;$B42&amp;CHAR(34)&amp;CHAR(125))</x:f>
      </x:c>
      <x:c r="G42" s="179" t="str">
        <x:f>IF(OR(A42&lt;&gt;"Yes",E42=""),"","{""label"":""Aggregate Scope"",""value"":"""&amp;SUBSTITUTE(E42,CHAR(34),"\"&amp;CHAR(34))&amp;"""}")</x:f>
      </x:c>
      <x:c r="H42" s="179" t="n">
        <x:f>IF($B42="","",COUNTIFS(Locations!$I$5:$I$64,"OK",Locations!$B$5:$B$64,$B42))</x:f>
        <x:v>0</x:v>
      </x:c>
      <x:c r="I42" s="179" t="str">
        <x:f>IF($A42&lt;&gt;"Yes","Disabled",IF($B42="","Missing NOC ID",IF($C42="","Missing display name",IF(COUNTIF($B$5:$B$44,$B42)&gt;1,"Duplicate NOC ID",IF(COUNTIF($C$5:$C$44,$C42)&gt;1,"Duplicate display name",IF($H42=0,"No enabled locations","OK"))))))</x:f>
        <x:v>Disabled</x:v>
      </x:c>
      <x:c r="J42" s="178" t="str"/>
      <x:c r="K42" t="str">
        <x:f>IF($I42="OK",COUNTIF($I$5:$I42,"OK"),"")</x:f>
      </x:c>
      <x:c r="L42" t="str">
        <x:f>IF($K42="","","NOC|"&amp;TEXT($K42,"000"))</x:f>
      </x:c>
      <x:c r="M42" t="str">
        <x:f>IF($I42="OK",$C42,"")</x:f>
      </x:c>
      <x:c r="N42" t="str">
        <x:f>"NOC|038"</x:f>
        <x:v>NOC|038</x:v>
      </x:c>
      <x:c r="O42" t="str">
        <x:f>IFERROR(VLOOKUP($N42,$L$5:$M$44,2,FALSE),"")</x:f>
      </x:c>
      <x:c r="P42" t="str">
        <x:f>IF($I42="OK",$C42,"")</x:f>
      </x:c>
      <x:c r="Q42" t="str">
        <x:f>IF($I42="OK",$B42,"")</x:f>
      </x:c>
      <x:c r="R42" t="str">
        <x:f>IF(AND($A42="Yes",$B42&lt;&gt;"",$C42&lt;&gt;"",COUNTIF($B$5:$B$44,$B42)=1,COUNTIF($C$5:$C$44,$C42)=1),COUNT($R$4:R41)+1,"")</x:f>
      </x:c>
      <x:c r="S42" t="str">
        <x:f>IF($R42="","","NOCINPUT|"&amp;TEXT($R42,"000"))</x:f>
      </x:c>
      <x:c r="T42" t="str">
        <x:f>IF($R42="","",$B42)</x:f>
      </x:c>
    </x:row>
    <x:row r="43">
      <x:c r="A43" s="178" t="str">
        <x:v>No</x:v>
      </x:c>
      <x:c r="B43" s="178" t="str">
        <x:v>NOC_039</x:v>
      </x:c>
      <x:c r="C43" s="178" t="str">
        <x:v>NOC 039</x:v>
      </x:c>
      <x:c r="D43" s="178"/>
      <x:c r="E43" s="179" t="str">
        <x:f>IF(A43&lt;&gt;"Yes","",IF(H43=0,"","("&amp;IFERROR(VLOOKUP(B43&amp;"|"&amp;TEXT(H43,"000"),Locations!$L$5:$M$64,2,FALSE),"")&amp;")"))</x:f>
      </x:c>
      <x:c r="F43" s="179" t="str">
        <x:f>IF(OR($A43&lt;&gt;"Yes",$B43="",$C43=""),"",CHAR(123)&amp;CHAR(34)&amp;"label"&amp;CHAR(34)&amp;":"&amp;CHAR(34)&amp;$C43&amp;CHAR(34)&amp;","&amp;CHAR(34)&amp;"value"&amp;CHAR(34)&amp;":"&amp;CHAR(34)&amp;$B43&amp;CHAR(34)&amp;CHAR(125))</x:f>
      </x:c>
      <x:c r="G43" s="179" t="str">
        <x:f>IF(OR(A43&lt;&gt;"Yes",E43=""),"","{""label"":""Aggregate Scope"",""value"":"""&amp;SUBSTITUTE(E43,CHAR(34),"\"&amp;CHAR(34))&amp;"""}")</x:f>
      </x:c>
      <x:c r="H43" s="179" t="n">
        <x:f>IF($B43="","",COUNTIFS(Locations!$I$5:$I$64,"OK",Locations!$B$5:$B$64,$B43))</x:f>
        <x:v>0</x:v>
      </x:c>
      <x:c r="I43" s="179" t="str">
        <x:f>IF($A43&lt;&gt;"Yes","Disabled",IF($B43="","Missing NOC ID",IF($C43="","Missing display name",IF(COUNTIF($B$5:$B$44,$B43)&gt;1,"Duplicate NOC ID",IF(COUNTIF($C$5:$C$44,$C43)&gt;1,"Duplicate display name",IF($H43=0,"No enabled locations","OK"))))))</x:f>
        <x:v>Disabled</x:v>
      </x:c>
      <x:c r="J43" s="178" t="str"/>
      <x:c r="K43" t="str">
        <x:f>IF($I43="OK",COUNTIF($I$5:$I43,"OK"),"")</x:f>
      </x:c>
      <x:c r="L43" t="str">
        <x:f>IF($K43="","","NOC|"&amp;TEXT($K43,"000"))</x:f>
      </x:c>
      <x:c r="M43" t="str">
        <x:f>IF($I43="OK",$C43,"")</x:f>
      </x:c>
      <x:c r="N43" t="str">
        <x:f>"NOC|039"</x:f>
        <x:v>NOC|039</x:v>
      </x:c>
      <x:c r="O43" t="str">
        <x:f>IFERROR(VLOOKUP($N43,$L$5:$M$44,2,FALSE),"")</x:f>
      </x:c>
      <x:c r="P43" t="str">
        <x:f>IF($I43="OK",$C43,"")</x:f>
      </x:c>
      <x:c r="Q43" t="str">
        <x:f>IF($I43="OK",$B43,"")</x:f>
      </x:c>
      <x:c r="R43" t="str">
        <x:f>IF(AND($A43="Yes",$B43&lt;&gt;"",$C43&lt;&gt;"",COUNTIF($B$5:$B$44,$B43)=1,COUNTIF($C$5:$C$44,$C43)=1),COUNT($R$4:R42)+1,"")</x:f>
      </x:c>
      <x:c r="S43" t="str">
        <x:f>IF($R43="","","NOCINPUT|"&amp;TEXT($R43,"000"))</x:f>
      </x:c>
      <x:c r="T43" t="str">
        <x:f>IF($R43="","",$B43)</x:f>
      </x:c>
    </x:row>
    <x:row r="44">
      <x:c r="A44" s="178" t="str">
        <x:v>No</x:v>
      </x:c>
      <x:c r="B44" s="178" t="str">
        <x:v>NOC_040</x:v>
      </x:c>
      <x:c r="C44" s="178" t="str">
        <x:v>NOC 040</x:v>
      </x:c>
      <x:c r="D44" s="178"/>
      <x:c r="E44" s="179" t="str">
        <x:f>IF(A44&lt;&gt;"Yes","",IF(H44=0,"","("&amp;IFERROR(VLOOKUP(B44&amp;"|"&amp;TEXT(H44,"000"),Locations!$L$5:$M$64,2,FALSE),"")&amp;")"))</x:f>
      </x:c>
      <x:c r="F44" s="179" t="str">
        <x:f>IF(OR($A44&lt;&gt;"Yes",$B44="",$C44=""),"",CHAR(123)&amp;CHAR(34)&amp;"label"&amp;CHAR(34)&amp;":"&amp;CHAR(34)&amp;$C44&amp;CHAR(34)&amp;","&amp;CHAR(34)&amp;"value"&amp;CHAR(34)&amp;":"&amp;CHAR(34)&amp;$B44&amp;CHAR(34)&amp;CHAR(125))</x:f>
      </x:c>
      <x:c r="G44" s="179" t="str">
        <x:f>IF(OR(A44&lt;&gt;"Yes",E44=""),"","{""label"":""Aggregate Scope"",""value"":"""&amp;SUBSTITUTE(E44,CHAR(34),"\"&amp;CHAR(34))&amp;"""}")</x:f>
      </x:c>
      <x:c r="H44" s="179" t="n">
        <x:f>IF($B44="","",COUNTIFS(Locations!$I$5:$I$64,"OK",Locations!$B$5:$B$64,$B44))</x:f>
        <x:v>0</x:v>
      </x:c>
      <x:c r="I44" s="179" t="str">
        <x:f>IF($A44&lt;&gt;"Yes","Disabled",IF($B44="","Missing NOC ID",IF($C44="","Missing display name",IF(COUNTIF($B$5:$B$44,$B44)&gt;1,"Duplicate NOC ID",IF(COUNTIF($C$5:$C$44,$C44)&gt;1,"Duplicate display name",IF($H44=0,"No enabled locations","OK"))))))</x:f>
        <x:v>Disabled</x:v>
      </x:c>
      <x:c r="J44" s="178" t="str"/>
      <x:c r="K44" t="str">
        <x:f>IF($I44="OK",COUNTIF($I$5:$I44,"OK"),"")</x:f>
      </x:c>
      <x:c r="L44" t="str">
        <x:f>IF($K44="","","NOC|"&amp;TEXT($K44,"000"))</x:f>
      </x:c>
      <x:c r="M44" t="str">
        <x:f>IF($I44="OK",$C44,"")</x:f>
      </x:c>
      <x:c r="N44" t="str">
        <x:f>"NOC|040"</x:f>
        <x:v>NOC|040</x:v>
      </x:c>
      <x:c r="O44" t="str">
        <x:f>IFERROR(VLOOKUP($N44,$L$5:$M$44,2,FALSE),"")</x:f>
      </x:c>
      <x:c r="P44" t="str">
        <x:f>IF($I44="OK",$C44,"")</x:f>
      </x:c>
      <x:c r="Q44" t="str">
        <x:f>IF($I44="OK",$B44,"")</x:f>
      </x:c>
      <x:c r="R44" t="str">
        <x:f>IF(AND($A44="Yes",$B44&lt;&gt;"",$C44&lt;&gt;"",COUNTIF($B$5:$B$44,$B44)=1,COUNTIF($C$5:$C$44,$C44)=1),COUNT($R$4:R43)+1,"")</x:f>
      </x:c>
      <x:c r="S44" t="str">
        <x:f>IF($R44="","","NOCINPUT|"&amp;TEXT($R44,"000"))</x:f>
      </x:c>
      <x:c r="T44" t="str">
        <x:f>IF($R44="","",$B44)</x:f>
      </x:c>
    </x:row>
  </x:sheetData>
  <x:mergeCells>
    <x:mergeCell ref="A1:J1"/>
    <x:mergeCell ref="A2:J2"/>
  </x:mergeCells>
  <x:conditionalFormatting sqref="I5:I44">
    <x:cfRule type="expression" dxfId="10" priority="1">
      <x:formula>I5="OK"</x:formula>
    </x:cfRule>
    <x:cfRule type="expression" dxfId="11" priority="2">
      <x:formula>AND(I5&lt;&gt;"",I5&lt;&gt;"OK",I5&lt;&gt;"Disabled")</x:formula>
    </x:cfRule>
  </x:conditionalFormatting>
  <x:conditionalFormatting sqref="B5:B44">
    <x:cfRule type="expression" dxfId="12" priority="3">
      <x:formula>AND(B5&lt;&gt;"",COUNTIF(NOCsTbl[NOC ID],B5)&gt;1)</x:formula>
    </x:cfRule>
  </x:conditionalFormatting>
  <x:dataValidations count="1">
    <x:dataValidation type="list" sqref="A5:A4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caf045b741441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8" hidden="0" customWidth="1"/>
    <x:col min="4" max="4" width="26" hidden="0" customWidth="1"/>
    <x:col min="5" max="5" width="8" hidden="0" customWidth="1"/>
    <x:col min="6" max="6" width="52" hidden="0" customWidth="1"/>
    <x:col min="7" max="7" width="42" hidden="0" customWidth="1"/>
    <x:col min="8" max="8" width="12" hidden="0" customWidth="1"/>
    <x:col min="9" max="9" width="23" hidden="0" customWidth="1"/>
    <x:col min="10" max="10" width="38" hidden="0" customWidth="1"/>
    <x:col min="13" max="13" width="0.10000000149011612" hidden="0" customWidth="1"/>
    <x:col min="14" max="14" width="0.10000000149011612" hidden="0" customWidth="1"/>
    <x:col min="15" max="15" width="0.10000000149011612" hidden="0" customWidth="1"/>
    <x:col min="16" max="16" width="0.10000000149011612" hidden="0" customWidth="1"/>
    <x:col min="11" max="11" width="0.10000000149011612" hidden="0" customWidth="1"/>
    <x:col min="12" max="12" width="0.10000000149011612" hidden="0" customWidth="1"/>
    <x:col min="17" max="17" width="0.10000000149011612" hidden="0" customWidth="1"/>
    <x:col min="18" max="18" width="0.10000000149011612" hidden="0" customWidth="1"/>
    <x:col min="19" max="19" width="0.10000000149011612" hidden="0" customWidth="1"/>
    <x:col min="20" max="20" width="0.10000000149011612" hidden="0" customWidth="1"/>
    <x:col min="21" max="21" width="0.10000000149011612" hidden="0" customWidth="1"/>
    <x:col min="22" max="22" width="0.10000000149011612" hidden="0" customWidth="1"/>
    <x:col min="23" max="23" width="0.10000000149011612" hidden="0" customWidth="1"/>
    <x:col min="24" max="24" width="0.10000000149011612" hidden="0" customWidth="1"/>
  </x:cols>
  <x:sheetData>
    <x:row r="1" ht="24" customHeight="1">
      <x:c r="A1" s="176" t="str">
        <x:v>Locations — child scopes under each NOC</x:v>
      </x:c>
      <x:c r="B1" s="176"/>
      <x:c r="C1" s="176"/>
      <x:c r="D1" s="176"/>
      <x:c r="E1" s="176"/>
      <x:c r="F1" s="176"/>
      <x:c r="G1" s="176"/>
      <x:c r="H1" s="176"/>
      <x:c r="I1" s="176"/>
      <x:c r="J1" s="176"/>
    </x:row>
    <x:row r="2" ht="30" customHeight="1">
      <x:c r="A2" s="158" t="str">
        <x:v>One row = one selectable managed site/location. Choose its parent NOC, then assign any number of Scope Rules. Auto Scope is generated from every enabled valid rule for that Location.</x:v>
      </x:c>
      <x:c r="B2" s="158"/>
      <x:c r="C2" s="158"/>
      <x:c r="D2" s="158"/>
      <x:c r="E2" s="158"/>
      <x:c r="F2" s="158"/>
      <x:c r="G2" s="158"/>
      <x:c r="H2" s="158"/>
      <x:c r="I2" s="158"/>
      <x:c r="J2" s="158"/>
    </x:row>
    <x:row r="4" ht="32" customHeight="1">
      <x:c r="A4" s="177" t="str">
        <x:v>Use?</x:v>
      </x:c>
      <x:c r="B4" s="177" t="str">
        <x:v>NOC ID</x:v>
      </x:c>
      <x:c r="C4" s="177" t="str">
        <x:v>Location ID</x:v>
      </x:c>
      <x:c r="D4" s="177" t="str">
        <x:v>Display Name</x:v>
      </x:c>
      <x:c r="E4" s="177" t="str">
        <x:v>Sort</x:v>
      </x:c>
      <x:c r="F4" s="177" t="str">
        <x:v>Auto Scope</x:v>
      </x:c>
      <x:c r="G4" s="177" t="str">
        <x:v>Scope Token Item</x:v>
      </x:c>
      <x:c r="H4" s="177" t="str">
        <x:v>Rule Count</x:v>
      </x:c>
      <x:c r="I4" s="177" t="str">
        <x:v>Status</x:v>
      </x:c>
      <x:c r="J4" s="177" t="str">
        <x:v>Notes</x:v>
      </x:c>
      <x:c r="K4" s="120" t="str">
        <x:v>NOC Location Rank (helper)</x:v>
      </x:c>
      <x:c r="L4" s="120" t="str">
        <x:v>NOC + Rank Key / Scope (helper)</x:v>
      </x:c>
      <x:c r="M4" s="172" t="str">
        <x:v>NOC Scope Accumulator (helper)</x:v>
      </x:c>
      <x:c r="N4" s="172" t="str">
        <x:v>NOC + Rank Key / Display (helper)</x:v>
      </x:c>
      <x:c r="O4" s="172" t="str">
        <x:v>Display Echo (helper)</x:v>
      </x:c>
      <x:c r="P4" s="172" t="str">
        <x:v>Selected NOC Site List (helper)</x:v>
      </x:c>
      <x:c r="Q4" t="str">
        <x:v>NOC + Display Key (helper)</x:v>
      </x:c>
      <x:c r="R4" t="str">
        <x:v>Location ID Echo (helper)</x:v>
      </x:c>
      <x:c r="S4" t="str">
        <x:v>Scope Echo 2 (helper)</x:v>
      </x:c>
      <x:c r="T4" t="str">
        <x:v>Status Echo (helper)</x:v>
      </x:c>
      <x:c r="U4" t="str">
        <x:v>Assignable NOC List (helper)</x:v>
      </x:c>
      <x:c r="V4" t="str">
        <x:v>Input Ready Rank (helper)</x:v>
      </x:c>
      <x:c r="W4" t="str">
        <x:v>Input Ready Key (helper)</x:v>
      </x:c>
      <x:c r="X4" t="str">
        <x:v>Assignable Location ID (helper)</x:v>
      </x:c>
    </x:row>
    <x:row r="5">
      <x:c r="A5" s="178" t="str">
        <x:v>Yes</x:v>
      </x:c>
      <x:c r="B5" s="178" t="str">
        <x:v>NOC_CURRENT</x:v>
      </x:c>
      <x:c r="C5" s="178" t="str">
        <x:v>LOC_CURRENT</x:v>
      </x:c>
      <x:c r="D5" s="178" t="str">
        <x:v>Current Draft Scope</x:v>
      </x:c>
      <x:c r="E5" s="178" t="n">
        <x:v>10</x:v>
      </x:c>
      <x:c r="F5" s="179" t="str">
        <x:f>IF(A5&lt;&gt;"Yes","",IF(H5=0,"","("&amp;IFERROR(VLOOKUP(C5&amp;"|"&amp;TEXT(H5,"000"),'Scope Rules'!$J$5:$K$104,2,FALSE),"")&amp;")"))</x:f>
        <x:v>(host="syr*" OR host="salep*" OR host="144.219.*" OR host="144.221.*")</x:v>
      </x:c>
      <x:c r="G5" s="179" t="str">
        <x:f>IF(OR(A5&lt;&gt;"Yes",F5=""),"","{""label"":"""&amp;D5&amp;""",""value"":"""&amp;SUBSTITUTE(F5,CHAR(34),"\"&amp;CHAR(34))&amp;"""}")</x:f>
        <x:v>{"label":"Current Draft Scope","value":"(host=\"syr*\" OR host=\"salep*\" OR host=\"144.219.*\" OR host=\"144.221.*\")"}</x:v>
      </x:c>
      <x:c r="H5" s="179" t="n">
        <x:f>IF($C5="","",COUNTIFS('Scope Rules'!$H$5:$H$104,"OK",'Scope Rules'!$B$5:$B$104,$C5))</x:f>
        <x:v>4</x:v>
      </x:c>
      <x:c r="I5" s="179" t="str">
        <x:f>IF($A5&lt;&gt;"Yes","Disabled",IF($B5="","Missing NOC ID",IF(COUNTIFS(NOCs!$B$5:$B$44,$B5,NOCs!$A$5:$A$44,"Yes")=0,"NOC not enabled",IF($C5="","Missing Location ID",IF(COUNTIF($C$5:$C$64,$C5)&gt;1,"Duplicate Location ID",IF($D5="","Missing display name",IF(COUNTIFS($B$5:$B$64,$B5,$D$5:$D$64,$D5)&gt;1,"Duplicate display name in NOC",IF($H5=0,"No enabled rules",IF($F5="","No usable scope","OK")))))))))</x:f>
        <x:v>OK</x:v>
      </x:c>
      <x:c r="J5" s="178" t="str">
        <x:v>Example seed row — replace with your real managed-site naming.</x:v>
      </x:c>
      <x:c r="K5" s="118" t="n">
        <x:f>IF($I5="OK",COUNTIFS($B$5:$B5,$B5,$I$5:$I5,"OK"),"")</x:f>
        <x:v>1</x:v>
      </x:c>
      <x:c r="L5" s="118" t="str">
        <x:f>IF($K5="","",$B5&amp;"|"&amp;TEXT($K5,"000"))</x:f>
        <x:v>NOC_CURRENT|001</x:v>
      </x:c>
      <x:c r="M5" s="24" t="str">
        <x:f>IF($I5&lt;&gt;"OK","",$F5)</x:f>
        <x:v>(host="syr*" OR host="salep*" OR host="144.219.*" OR host="144.221.*")</x:v>
      </x:c>
      <x:c r="N5" s="24" t="str">
        <x:f>IF($K5="","",$B5&amp;"|"&amp;TEXT($K5,"000"))</x:f>
        <x:v>NOC_CURRENT|001</x:v>
      </x:c>
      <x:c r="O5" s="24" t="str">
        <x:f>IF($I5="OK",$D5,"")</x:f>
        <x:v>Current Draft Scope</x:v>
      </x:c>
      <x:c r="P5" s="24" t="str">
        <x:f>IF(Generator!$E$6="","",IFERROR(VLOOKUP(Generator!$E$6&amp;"|001",$N$5:$O$64,2,FALSE),""))</x:f>
        <x:v>Current Draft Scope</x:v>
      </x:c>
      <x:c r="Q5" t="str">
        <x:f>IF($I5="OK",$B5&amp;"|"&amp;$D5,"")</x:f>
        <x:v>NOC_CURRENT|Current Draft Scope</x:v>
      </x:c>
      <x:c r="R5" t="str">
        <x:f>IF($I5="OK",$C5,"")</x:f>
        <x:v>LOC_CURRENT</x:v>
      </x:c>
      <x:c r="S5" t="str">
        <x:f>IF($I5="OK",$F5,"")</x:f>
        <x:v>(host="syr*" OR host="salep*" OR host="144.219.*" OR host="144.221.*")</x:v>
      </x:c>
      <x:c r="T5" t="str">
        <x:f>IF($A5&lt;&gt;"Yes","Disabled",$I5)</x:f>
        <x:v>OK</x:v>
      </x:c>
      <x:c r="U5" t="str">
        <x:f>IFERROR(VLOOKUP("NOCINPUT|"&amp;TEXT(ROW()-4,"000"),NOCs!$S$5:$T$44,2,FALSE),"")</x:f>
        <x:v>NOC_CURRENT</x:v>
      </x:c>
      <x:c r="V5" t="n">
        <x:f>IF(AND($A5="Yes",$B5&lt;&gt;"",$C5&lt;&gt;"",$D5&lt;&gt;"",COUNTIF(NOCs!$T$5:$T$44,$B5)=1,COUNTIF($C$5:$C$64,$C5)=1),COUNT($V$4:V4)+1,"")</x:f>
        <x:v>1</x:v>
      </x:c>
      <x:c r="W5" t="str">
        <x:f>IF($V5="","","LOCINPUT|"&amp;TEXT($V5,"000"))</x:f>
        <x:v>LOCINPUT|001</x:v>
      </x:c>
      <x:c r="X5" t="str">
        <x:f>IF($V5="","",$C5)</x:f>
        <x:v>LOC_CURRENT</x:v>
      </x:c>
    </x:row>
    <x:row r="6">
      <x:c r="A6" s="178" t="str">
        <x:v>No</x:v>
      </x:c>
      <x:c r="B6" s="178" t="str">
        <x:v>NOC_CURRENT</x:v>
      </x:c>
      <x:c r="C6" s="178" t="str">
        <x:v>LOC_002</x:v>
      </x:c>
      <x:c r="D6" s="178" t="str">
        <x:v>Location 002</x:v>
      </x:c>
      <x:c r="E6" s="178" t="n">
        <x:v>20</x:v>
      </x:c>
      <x:c r="F6" s="179" t="str">
        <x:f>IF(A6&lt;&gt;"Yes","",IF(H6=0,"","("&amp;IFERROR(VLOOKUP(C6&amp;"|"&amp;TEXT(H6,"000"),'Scope Rules'!$J$5:$K$104,2,FALSE),"")&amp;")"))</x:f>
      </x:c>
      <x:c r="G6" s="179" t="str">
        <x:f>IF(OR(A6&lt;&gt;"Yes",F6=""),"","{""label"":"""&amp;D6&amp;""",""value"":"""&amp;SUBSTITUTE(F6,CHAR(34),"\"&amp;CHAR(34))&amp;"""}")</x:f>
      </x:c>
      <x:c r="H6" s="179" t="n">
        <x:f>IF($C6="","",COUNTIFS('Scope Rules'!$H$5:$H$104,"OK",'Scope Rules'!$B$5:$B$104,$C6))</x:f>
        <x:v>0</x:v>
      </x:c>
      <x:c r="I6" s="179" t="str">
        <x:f>IF($A6&lt;&gt;"Yes","Disabled",IF($B6="","Missing NOC ID",IF(COUNTIFS(NOCs!$B$5:$B$44,$B6,NOCs!$A$5:$A$44,"Yes")=0,"NOC not enabled",IF($C6="","Missing Location ID",IF(COUNTIF($C$5:$C$64,$C6)&gt;1,"Duplicate Location ID",IF($D6="","Missing display name",IF(COUNTIFS($B$5:$B$64,$B6,$D$5:$D$64,$D6)&gt;1,"Duplicate display name in NOC",IF($H6=0,"No enabled rules",IF($F6="","No usable scope","OK")))))))))</x:f>
        <x:v>Disabled</x:v>
      </x:c>
      <x:c r="J6" s="178" t="str"/>
      <x:c r="K6" s="118" t="str">
        <x:f>IF($I6="OK",COUNTIFS($B$5:$B6,$B6,$I$5:$I6,"OK"),"")</x:f>
      </x:c>
      <x:c r="L6" s="118" t="str">
        <x:f>IF($K6="","",$B6&amp;"|"&amp;TEXT($K6,"000"))</x:f>
      </x:c>
      <x:c r="M6" s="24" t="str">
        <x:f>IF($I6&lt;&gt;"OK","",IF($K6=1,$F6,IFERROR(VLOOKUP($B6&amp;"|"&amp;TEXT($K6-1,"000"),$L$5:M5,2,FALSE),"")&amp;" OR "&amp;$F6))</x:f>
      </x:c>
      <x:c r="N6" s="24" t="str">
        <x:f>IF($K6="","",$B6&amp;"|"&amp;TEXT($K6,"000"))</x:f>
      </x:c>
      <x:c r="O6" s="24" t="str">
        <x:f>IF($I6="OK",$D6,"")</x:f>
      </x:c>
      <x:c r="P6" s="24" t="str">
        <x:f>IF(Generator!$E$6="","",IFERROR(VLOOKUP(Generator!$E$6&amp;"|002",$N$5:$O$64,2,FALSE),""))</x:f>
      </x:c>
      <x:c r="Q6" t="str">
        <x:f>IF($I6="OK",$B6&amp;"|"&amp;$D6,"")</x:f>
      </x:c>
      <x:c r="R6" t="str">
        <x:f>IF($I6="OK",$C6,"")</x:f>
      </x:c>
      <x:c r="S6" t="str">
        <x:f>IF($I6="OK",$F6,"")</x:f>
      </x:c>
      <x:c r="T6" t="str">
        <x:f>IF($A6&lt;&gt;"Yes","Disabled",$I6)</x:f>
        <x:v>Disabled</x:v>
      </x:c>
      <x:c r="U6" t="str">
        <x:f>IFERROR(VLOOKUP("NOCINPUT|"&amp;TEXT(ROW()-4,"000"),NOCs!$S$5:$T$44,2,FALSE),"")</x:f>
      </x:c>
      <x:c r="V6" t="str">
        <x:f>IF(AND($A6="Yes",$B6&lt;&gt;"",$C6&lt;&gt;"",$D6&lt;&gt;"",COUNTIF(NOCs!$T$5:$T$44,$B6)=1,COUNTIF($C$5:$C$64,$C6)=1),COUNT($V$4:V5)+1,"")</x:f>
      </x:c>
      <x:c r="W6" t="str">
        <x:f>IF($V6="","","LOCINPUT|"&amp;TEXT($V6,"000"))</x:f>
      </x:c>
      <x:c r="X6" t="str">
        <x:f>IF($V6="","",$C6)</x:f>
      </x:c>
    </x:row>
    <x:row r="7">
      <x:c r="A7" s="178" t="str">
        <x:v>No</x:v>
      </x:c>
      <x:c r="B7" s="178" t="str">
        <x:v>NOC_CURRENT</x:v>
      </x:c>
      <x:c r="C7" s="178" t="str">
        <x:v>LOC_003</x:v>
      </x:c>
      <x:c r="D7" s="178" t="str">
        <x:v>Location 003</x:v>
      </x:c>
      <x:c r="E7" s="178" t="n">
        <x:v>30</x:v>
      </x:c>
      <x:c r="F7" s="179" t="str">
        <x:f>IF(A7&lt;&gt;"Yes","",IF(H7=0,"","("&amp;IFERROR(VLOOKUP(C7&amp;"|"&amp;TEXT(H7,"000"),'Scope Rules'!$J$5:$K$104,2,FALSE),"")&amp;")"))</x:f>
      </x:c>
      <x:c r="G7" s="179" t="str">
        <x:f>IF(OR(A7&lt;&gt;"Yes",F7=""),"","{""label"":"""&amp;D7&amp;""",""value"":"""&amp;SUBSTITUTE(F7,CHAR(34),"\"&amp;CHAR(34))&amp;"""}")</x:f>
      </x:c>
      <x:c r="H7" s="179" t="n">
        <x:f>IF($C7="","",COUNTIFS('Scope Rules'!$H$5:$H$104,"OK",'Scope Rules'!$B$5:$B$104,$C7))</x:f>
        <x:v>0</x:v>
      </x:c>
      <x:c r="I7" s="179" t="str">
        <x:f>IF($A7&lt;&gt;"Yes","Disabled",IF($B7="","Missing NOC ID",IF(COUNTIFS(NOCs!$B$5:$B$44,$B7,NOCs!$A$5:$A$44,"Yes")=0,"NOC not enabled",IF($C7="","Missing Location ID",IF(COUNTIF($C$5:$C$64,$C7)&gt;1,"Duplicate Location ID",IF($D7="","Missing display name",IF(COUNTIFS($B$5:$B$64,$B7,$D$5:$D$64,$D7)&gt;1,"Duplicate display name in NOC",IF($H7=0,"No enabled rules",IF($F7="","No usable scope","OK")))))))))</x:f>
        <x:v>Disabled</x:v>
      </x:c>
      <x:c r="J7" s="178" t="str"/>
      <x:c r="K7" s="118" t="str">
        <x:f>IF($I7="OK",COUNTIFS($B$5:$B7,$B7,$I$5:$I7,"OK"),"")</x:f>
      </x:c>
      <x:c r="L7" s="118" t="str">
        <x:f>IF($K7="","",$B7&amp;"|"&amp;TEXT($K7,"000"))</x:f>
      </x:c>
      <x:c r="M7" s="24" t="str">
        <x:f>IF($I7&lt;&gt;"OK","",IF($K7=1,$F7,IFERROR(VLOOKUP($B7&amp;"|"&amp;TEXT($K7-1,"000"),$L$5:M6,2,FALSE),"")&amp;" OR "&amp;$F7))</x:f>
      </x:c>
      <x:c r="N7" s="24" t="str">
        <x:f>IF($K7="","",$B7&amp;"|"&amp;TEXT($K7,"000"))</x:f>
      </x:c>
      <x:c r="O7" s="24" t="str">
        <x:f>IF($I7="OK",$D7,"")</x:f>
      </x:c>
      <x:c r="P7" s="24" t="str">
        <x:f>IF(Generator!$E$6="","",IFERROR(VLOOKUP(Generator!$E$6&amp;"|003",$N$5:$O$64,2,FALSE),""))</x:f>
      </x:c>
      <x:c r="Q7" t="str">
        <x:f>IF($I7="OK",$B7&amp;"|"&amp;$D7,"")</x:f>
      </x:c>
      <x:c r="R7" t="str">
        <x:f>IF($I7="OK",$C7,"")</x:f>
      </x:c>
      <x:c r="S7" t="str">
        <x:f>IF($I7="OK",$F7,"")</x:f>
      </x:c>
      <x:c r="T7" t="str">
        <x:f>IF($A7&lt;&gt;"Yes","Disabled",$I7)</x:f>
        <x:v>Disabled</x:v>
      </x:c>
      <x:c r="U7" t="str">
        <x:f>IFERROR(VLOOKUP("NOCINPUT|"&amp;TEXT(ROW()-4,"000"),NOCs!$S$5:$T$44,2,FALSE),"")</x:f>
      </x:c>
      <x:c r="V7" t="str">
        <x:f>IF(AND($A7="Yes",$B7&lt;&gt;"",$C7&lt;&gt;"",$D7&lt;&gt;"",COUNTIF(NOCs!$T$5:$T$44,$B7)=1,COUNTIF($C$5:$C$64,$C7)=1),COUNT($V$4:V6)+1,"")</x:f>
      </x:c>
      <x:c r="W7" t="str">
        <x:f>IF($V7="","","LOCINPUT|"&amp;TEXT($V7,"000"))</x:f>
      </x:c>
      <x:c r="X7" t="str">
        <x:f>IF($V7="","",$C7)</x:f>
      </x:c>
    </x:row>
    <x:row r="8">
      <x:c r="A8" s="178" t="str">
        <x:v>No</x:v>
      </x:c>
      <x:c r="B8" s="178"/>
      <x:c r="C8" s="178" t="str">
        <x:v>LOC_004</x:v>
      </x:c>
      <x:c r="D8" s="178" t="str">
        <x:v>Location 004</x:v>
      </x:c>
      <x:c r="E8" s="178" t="n">
        <x:v>40</x:v>
      </x:c>
      <x:c r="F8" s="179" t="str">
        <x:f>IF(A8&lt;&gt;"Yes","",IF(H8=0,"","("&amp;IFERROR(VLOOKUP(C8&amp;"|"&amp;TEXT(H8,"000"),'Scope Rules'!$J$5:$K$104,2,FALSE),"")&amp;")"))</x:f>
      </x:c>
      <x:c r="G8" s="179" t="str">
        <x:f>IF(OR(A8&lt;&gt;"Yes",F8=""),"","{""label"":"""&amp;D8&amp;""",""value"":"""&amp;SUBSTITUTE(F8,CHAR(34),"\"&amp;CHAR(34))&amp;"""}")</x:f>
      </x:c>
      <x:c r="H8" s="179" t="n">
        <x:f>IF($C8="","",COUNTIFS('Scope Rules'!$H$5:$H$104,"OK",'Scope Rules'!$B$5:$B$104,$C8))</x:f>
        <x:v>0</x:v>
      </x:c>
      <x:c r="I8" s="179" t="str">
        <x:f>IF($A8&lt;&gt;"Yes","Disabled",IF($B8="","Missing NOC ID",IF(COUNTIFS(NOCs!$B$5:$B$44,$B8,NOCs!$A$5:$A$44,"Yes")=0,"NOC not enabled",IF($C8="","Missing Location ID",IF(COUNTIF($C$5:$C$64,$C8)&gt;1,"Duplicate Location ID",IF($D8="","Missing display name",IF(COUNTIFS($B$5:$B$64,$B8,$D$5:$D$64,$D8)&gt;1,"Duplicate display name in NOC",IF($H8=0,"No enabled rules",IF($F8="","No usable scope","OK")))))))))</x:f>
        <x:v>Disabled</x:v>
      </x:c>
      <x:c r="J8" s="178" t="str"/>
      <x:c r="K8" s="118" t="str">
        <x:f>IF($I8="OK",COUNTIFS($B$5:$B8,$B8,$I$5:$I8,"OK"),"")</x:f>
      </x:c>
      <x:c r="L8" s="118" t="str">
        <x:f>IF($K8="","",$B8&amp;"|"&amp;TEXT($K8,"000"))</x:f>
      </x:c>
      <x:c r="M8" s="24" t="str">
        <x:f>IF($I8&lt;&gt;"OK","",IF($K8=1,$F8,IFERROR(VLOOKUP($B8&amp;"|"&amp;TEXT($K8-1,"000"),$L$5:M7,2,FALSE),"")&amp;" OR "&amp;$F8))</x:f>
      </x:c>
      <x:c r="N8" s="24" t="str">
        <x:f>IF($K8="","",$B8&amp;"|"&amp;TEXT($K8,"000"))</x:f>
      </x:c>
      <x:c r="O8" s="24" t="str">
        <x:f>IF($I8="OK",$D8,"")</x:f>
      </x:c>
      <x:c r="P8" s="24" t="str">
        <x:f>IF(Generator!$E$6="","",IFERROR(VLOOKUP(Generator!$E$6&amp;"|004",$N$5:$O$64,2,FALSE),""))</x:f>
      </x:c>
      <x:c r="Q8" t="str">
        <x:f>IF($I8="OK",$B8&amp;"|"&amp;$D8,"")</x:f>
      </x:c>
      <x:c r="R8" t="str">
        <x:f>IF($I8="OK",$C8,"")</x:f>
      </x:c>
      <x:c r="S8" t="str">
        <x:f>IF($I8="OK",$F8,"")</x:f>
      </x:c>
      <x:c r="T8" t="str">
        <x:f>IF($A8&lt;&gt;"Yes","Disabled",$I8)</x:f>
        <x:v>Disabled</x:v>
      </x:c>
      <x:c r="U8" t="str">
        <x:f>IFERROR(VLOOKUP("NOCINPUT|"&amp;TEXT(ROW()-4,"000"),NOCs!$S$5:$T$44,2,FALSE),"")</x:f>
      </x:c>
      <x:c r="V8" t="str">
        <x:f>IF(AND($A8="Yes",$B8&lt;&gt;"",$C8&lt;&gt;"",$D8&lt;&gt;"",COUNTIF(NOCs!$T$5:$T$44,$B8)=1,COUNTIF($C$5:$C$64,$C8)=1),COUNT($V$4:V7)+1,"")</x:f>
      </x:c>
      <x:c r="W8" t="str">
        <x:f>IF($V8="","","LOCINPUT|"&amp;TEXT($V8,"000"))</x:f>
      </x:c>
      <x:c r="X8" t="str">
        <x:f>IF($V8="","",$C8)</x:f>
      </x:c>
    </x:row>
    <x:row r="9">
      <x:c r="A9" s="178" t="str">
        <x:v>No</x:v>
      </x:c>
      <x:c r="B9" s="178" t="str"/>
      <x:c r="C9" s="178" t="str">
        <x:v>LOC_005</x:v>
      </x:c>
      <x:c r="D9" s="178" t="str">
        <x:v>Location 005</x:v>
      </x:c>
      <x:c r="E9" s="178" t="n">
        <x:v>50</x:v>
      </x:c>
      <x:c r="F9" s="179" t="str">
        <x:f>IF(A9&lt;&gt;"Yes","",IF(H9=0,"","("&amp;IFERROR(VLOOKUP(C9&amp;"|"&amp;TEXT(H9,"000"),'Scope Rules'!$J$5:$K$104,2,FALSE),"")&amp;")"))</x:f>
      </x:c>
      <x:c r="G9" s="179" t="str">
        <x:f>IF(OR(A9&lt;&gt;"Yes",F9=""),"","{""label"":"""&amp;D9&amp;""",""value"":"""&amp;SUBSTITUTE(F9,CHAR(34),"\"&amp;CHAR(34))&amp;"""}")</x:f>
      </x:c>
      <x:c r="H9" s="179" t="n">
        <x:f>IF($C9="","",COUNTIFS('Scope Rules'!$H$5:$H$104,"OK",'Scope Rules'!$B$5:$B$104,$C9))</x:f>
        <x:v>0</x:v>
      </x:c>
      <x:c r="I9" s="179" t="str">
        <x:f>IF($A9&lt;&gt;"Yes","Disabled",IF($B9="","Missing NOC ID",IF(COUNTIFS(NOCs!$B$5:$B$44,$B9,NOCs!$A$5:$A$44,"Yes")=0,"NOC not enabled",IF($C9="","Missing Location ID",IF(COUNTIF($C$5:$C$64,$C9)&gt;1,"Duplicate Location ID",IF($D9="","Missing display name",IF(COUNTIFS($B$5:$B$64,$B9,$D$5:$D$64,$D9)&gt;1,"Duplicate display name in NOC",IF($H9=0,"No enabled rules",IF($F9="","No usable scope","OK")))))))))</x:f>
        <x:v>Disabled</x:v>
      </x:c>
      <x:c r="J9" s="178" t="str"/>
      <x:c r="K9" s="118" t="str">
        <x:f>IF($I9="OK",COUNTIFS($B$5:$B9,$B9,$I$5:$I9,"OK"),"")</x:f>
      </x:c>
      <x:c r="L9" s="118" t="str">
        <x:f>IF($K9="","",$B9&amp;"|"&amp;TEXT($K9,"000"))</x:f>
      </x:c>
      <x:c r="M9" s="24" t="str">
        <x:f>IF($I9&lt;&gt;"OK","",IF($K9=1,$F9,IFERROR(VLOOKUP($B9&amp;"|"&amp;TEXT($K9-1,"000"),$L$5:M8,2,FALSE),"")&amp;" OR "&amp;$F9))</x:f>
      </x:c>
      <x:c r="N9" s="24" t="str">
        <x:f>IF($K9="","",$B9&amp;"|"&amp;TEXT($K9,"000"))</x:f>
      </x:c>
      <x:c r="O9" s="24" t="str">
        <x:f>IF($I9="OK",$D9,"")</x:f>
      </x:c>
      <x:c r="P9" s="24" t="str">
        <x:f>IF(Generator!$E$6="","",IFERROR(VLOOKUP(Generator!$E$6&amp;"|005",$N$5:$O$64,2,FALSE),""))</x:f>
      </x:c>
      <x:c r="Q9" t="str">
        <x:f>IF($I9="OK",$B9&amp;"|"&amp;$D9,"")</x:f>
      </x:c>
      <x:c r="R9" t="str">
        <x:f>IF($I9="OK",$C9,"")</x:f>
      </x:c>
      <x:c r="S9" t="str">
        <x:f>IF($I9="OK",$F9,"")</x:f>
      </x:c>
      <x:c r="T9" t="str">
        <x:f>IF($A9&lt;&gt;"Yes","Disabled",$I9)</x:f>
        <x:v>Disabled</x:v>
      </x:c>
      <x:c r="U9" t="str">
        <x:f>IFERROR(VLOOKUP("NOCINPUT|"&amp;TEXT(ROW()-4,"000"),NOCs!$S$5:$T$44,2,FALSE),"")</x:f>
      </x:c>
      <x:c r="V9" t="str">
        <x:f>IF(AND($A9="Yes",$B9&lt;&gt;"",$C9&lt;&gt;"",$D9&lt;&gt;"",COUNTIF(NOCs!$T$5:$T$44,$B9)=1,COUNTIF($C$5:$C$64,$C9)=1),COUNT($V$4:V8)+1,"")</x:f>
      </x:c>
      <x:c r="W9" t="str">
        <x:f>IF($V9="","","LOCINPUT|"&amp;TEXT($V9,"000"))</x:f>
      </x:c>
      <x:c r="X9" t="str">
        <x:f>IF($V9="","",$C9)</x:f>
      </x:c>
    </x:row>
    <x:row r="10">
      <x:c r="A10" s="178" t="str">
        <x:v>No</x:v>
      </x:c>
      <x:c r="B10" s="178" t="str"/>
      <x:c r="C10" s="178" t="str">
        <x:v>LOC_006</x:v>
      </x:c>
      <x:c r="D10" s="178" t="str">
        <x:v>Location 006</x:v>
      </x:c>
      <x:c r="E10" s="178" t="n">
        <x:v>60</x:v>
      </x:c>
      <x:c r="F10" s="179" t="str">
        <x:f>IF(A10&lt;&gt;"Yes","",IF(H10=0,"","("&amp;IFERROR(VLOOKUP(C10&amp;"|"&amp;TEXT(H10,"000"),'Scope Rules'!$J$5:$K$104,2,FALSE),"")&amp;")"))</x:f>
      </x:c>
      <x:c r="G10" s="179" t="str">
        <x:f>IF(OR(A10&lt;&gt;"Yes",F10=""),"","{""label"":"""&amp;D10&amp;""",""value"":"""&amp;SUBSTITUTE(F10,CHAR(34),"\"&amp;CHAR(34))&amp;"""}")</x:f>
      </x:c>
      <x:c r="H10" s="179" t="n">
        <x:f>IF($C10="","",COUNTIFS('Scope Rules'!$H$5:$H$104,"OK",'Scope Rules'!$B$5:$B$104,$C10))</x:f>
        <x:v>0</x:v>
      </x:c>
      <x:c r="I10" s="179" t="str">
        <x:f>IF($A10&lt;&gt;"Yes","Disabled",IF($B10="","Missing NOC ID",IF(COUNTIFS(NOCs!$B$5:$B$44,$B10,NOCs!$A$5:$A$44,"Yes")=0,"NOC not enabled",IF($C10="","Missing Location ID",IF(COUNTIF($C$5:$C$64,$C10)&gt;1,"Duplicate Location ID",IF($D10="","Missing display name",IF(COUNTIFS($B$5:$B$64,$B10,$D$5:$D$64,$D10)&gt;1,"Duplicate display name in NOC",IF($H10=0,"No enabled rules",IF($F10="","No usable scope","OK")))))))))</x:f>
        <x:v>Disabled</x:v>
      </x:c>
      <x:c r="J10" s="178" t="str"/>
      <x:c r="K10" s="118" t="str">
        <x:f>IF($I10="OK",COUNTIFS($B$5:$B10,$B10,$I$5:$I10,"OK"),"")</x:f>
      </x:c>
      <x:c r="L10" s="118" t="str">
        <x:f>IF($K10="","",$B10&amp;"|"&amp;TEXT($K10,"000"))</x:f>
      </x:c>
      <x:c r="M10" s="24" t="str">
        <x:f>IF($I10&lt;&gt;"OK","",IF($K10=1,$F10,IFERROR(VLOOKUP($B10&amp;"|"&amp;TEXT($K10-1,"000"),$L$5:M9,2,FALSE),"")&amp;" OR "&amp;$F10))</x:f>
      </x:c>
      <x:c r="N10" s="24" t="str">
        <x:f>IF($K10="","",$B10&amp;"|"&amp;TEXT($K10,"000"))</x:f>
      </x:c>
      <x:c r="O10" s="24" t="str">
        <x:f>IF($I10="OK",$D10,"")</x:f>
      </x:c>
      <x:c r="P10" s="24" t="str">
        <x:f>IF(Generator!$E$6="","",IFERROR(VLOOKUP(Generator!$E$6&amp;"|006",$N$5:$O$64,2,FALSE),""))</x:f>
      </x:c>
      <x:c r="Q10" t="str">
        <x:f>IF($I10="OK",$B10&amp;"|"&amp;$D10,"")</x:f>
      </x:c>
      <x:c r="R10" t="str">
        <x:f>IF($I10="OK",$C10,"")</x:f>
      </x:c>
      <x:c r="S10" t="str">
        <x:f>IF($I10="OK",$F10,"")</x:f>
      </x:c>
      <x:c r="T10" t="str">
        <x:f>IF($A10&lt;&gt;"Yes","Disabled",$I10)</x:f>
        <x:v>Disabled</x:v>
      </x:c>
      <x:c r="U10" t="str">
        <x:f>IFERROR(VLOOKUP("NOCINPUT|"&amp;TEXT(ROW()-4,"000"),NOCs!$S$5:$T$44,2,FALSE),"")</x:f>
      </x:c>
      <x:c r="V10" t="str">
        <x:f>IF(AND($A10="Yes",$B10&lt;&gt;"",$C10&lt;&gt;"",$D10&lt;&gt;"",COUNTIF(NOCs!$T$5:$T$44,$B10)=1,COUNTIF($C$5:$C$64,$C10)=1),COUNT($V$4:V9)+1,"")</x:f>
      </x:c>
      <x:c r="W10" t="str">
        <x:f>IF($V10="","","LOCINPUT|"&amp;TEXT($V10,"000"))</x:f>
      </x:c>
      <x:c r="X10" t="str">
        <x:f>IF($V10="","",$C10)</x:f>
      </x:c>
    </x:row>
    <x:row r="11">
      <x:c r="A11" s="178" t="str">
        <x:v>No</x:v>
      </x:c>
      <x:c r="B11" s="178" t="str"/>
      <x:c r="C11" s="178" t="str">
        <x:v>LOC_007</x:v>
      </x:c>
      <x:c r="D11" s="178" t="str">
        <x:v>Location 007</x:v>
      </x:c>
      <x:c r="E11" s="178" t="n">
        <x:v>70</x:v>
      </x:c>
      <x:c r="F11" s="179" t="str">
        <x:f>IF(A11&lt;&gt;"Yes","",IF(H11=0,"","("&amp;IFERROR(VLOOKUP(C11&amp;"|"&amp;TEXT(H11,"000"),'Scope Rules'!$J$5:$K$104,2,FALSE),"")&amp;")"))</x:f>
      </x:c>
      <x:c r="G11" s="179" t="str">
        <x:f>IF(OR(A11&lt;&gt;"Yes",F11=""),"","{""label"":"""&amp;D11&amp;""",""value"":"""&amp;SUBSTITUTE(F11,CHAR(34),"\"&amp;CHAR(34))&amp;"""}")</x:f>
      </x:c>
      <x:c r="H11" s="179" t="n">
        <x:f>IF($C11="","",COUNTIFS('Scope Rules'!$H$5:$H$104,"OK",'Scope Rules'!$B$5:$B$104,$C11))</x:f>
        <x:v>0</x:v>
      </x:c>
      <x:c r="I11" s="179" t="str">
        <x:f>IF($A11&lt;&gt;"Yes","Disabled",IF($B11="","Missing NOC ID",IF(COUNTIFS(NOCs!$B$5:$B$44,$B11,NOCs!$A$5:$A$44,"Yes")=0,"NOC not enabled",IF($C11="","Missing Location ID",IF(COUNTIF($C$5:$C$64,$C11)&gt;1,"Duplicate Location ID",IF($D11="","Missing display name",IF(COUNTIFS($B$5:$B$64,$B11,$D$5:$D$64,$D11)&gt;1,"Duplicate display name in NOC",IF($H11=0,"No enabled rules",IF($F11="","No usable scope","OK")))))))))</x:f>
        <x:v>Disabled</x:v>
      </x:c>
      <x:c r="J11" s="178" t="str"/>
      <x:c r="K11" s="118" t="str">
        <x:f>IF($I11="OK",COUNTIFS($B$5:$B11,$B11,$I$5:$I11,"OK"),"")</x:f>
      </x:c>
      <x:c r="L11" s="118" t="str">
        <x:f>IF($K11="","",$B11&amp;"|"&amp;TEXT($K11,"000"))</x:f>
      </x:c>
      <x:c r="M11" s="24" t="str">
        <x:f>IF($I11&lt;&gt;"OK","",IF($K11=1,$F11,IFERROR(VLOOKUP($B11&amp;"|"&amp;TEXT($K11-1,"000"),$L$5:M10,2,FALSE),"")&amp;" OR "&amp;$F11))</x:f>
      </x:c>
      <x:c r="N11" s="24" t="str">
        <x:f>IF($K11="","",$B11&amp;"|"&amp;TEXT($K11,"000"))</x:f>
      </x:c>
      <x:c r="O11" s="24" t="str">
        <x:f>IF($I11="OK",$D11,"")</x:f>
      </x:c>
      <x:c r="P11" s="24" t="str">
        <x:f>IF(Generator!$E$6="","",IFERROR(VLOOKUP(Generator!$E$6&amp;"|007",$N$5:$O$64,2,FALSE),""))</x:f>
      </x:c>
      <x:c r="Q11" t="str">
        <x:f>IF($I11="OK",$B11&amp;"|"&amp;$D11,"")</x:f>
      </x:c>
      <x:c r="R11" t="str">
        <x:f>IF($I11="OK",$C11,"")</x:f>
      </x:c>
      <x:c r="S11" t="str">
        <x:f>IF($I11="OK",$F11,"")</x:f>
      </x:c>
      <x:c r="T11" t="str">
        <x:f>IF($A11&lt;&gt;"Yes","Disabled",$I11)</x:f>
        <x:v>Disabled</x:v>
      </x:c>
      <x:c r="U11" t="str">
        <x:f>IFERROR(VLOOKUP("NOCINPUT|"&amp;TEXT(ROW()-4,"000"),NOCs!$S$5:$T$44,2,FALSE),"")</x:f>
      </x:c>
      <x:c r="V11" t="str">
        <x:f>IF(AND($A11="Yes",$B11&lt;&gt;"",$C11&lt;&gt;"",$D11&lt;&gt;"",COUNTIF(NOCs!$T$5:$T$44,$B11)=1,COUNTIF($C$5:$C$64,$C11)=1),COUNT($V$4:V10)+1,"")</x:f>
      </x:c>
      <x:c r="W11" t="str">
        <x:f>IF($V11="","","LOCINPUT|"&amp;TEXT($V11,"000"))</x:f>
      </x:c>
      <x:c r="X11" t="str">
        <x:f>IF($V11="","",$C11)</x:f>
      </x:c>
    </x:row>
    <x:row r="12">
      <x:c r="A12" s="178" t="str">
        <x:v>No</x:v>
      </x:c>
      <x:c r="B12" s="178" t="str"/>
      <x:c r="C12" s="178" t="str">
        <x:v>LOC_008</x:v>
      </x:c>
      <x:c r="D12" s="178" t="str">
        <x:v>Location 008</x:v>
      </x:c>
      <x:c r="E12" s="178" t="n">
        <x:v>80</x:v>
      </x:c>
      <x:c r="F12" s="179" t="str">
        <x:f>IF(A12&lt;&gt;"Yes","",IF(H12=0,"","("&amp;IFERROR(VLOOKUP(C12&amp;"|"&amp;TEXT(H12,"000"),'Scope Rules'!$J$5:$K$104,2,FALSE),"")&amp;")"))</x:f>
      </x:c>
      <x:c r="G12" s="179" t="str">
        <x:f>IF(OR(A12&lt;&gt;"Yes",F12=""),"","{""label"":"""&amp;D12&amp;""",""value"":"""&amp;SUBSTITUTE(F12,CHAR(34),"\"&amp;CHAR(34))&amp;"""}")</x:f>
      </x:c>
      <x:c r="H12" s="179" t="n">
        <x:f>IF($C12="","",COUNTIFS('Scope Rules'!$H$5:$H$104,"OK",'Scope Rules'!$B$5:$B$104,$C12))</x:f>
        <x:v>0</x:v>
      </x:c>
      <x:c r="I12" s="179" t="str">
        <x:f>IF($A12&lt;&gt;"Yes","Disabled",IF($B12="","Missing NOC ID",IF(COUNTIFS(NOCs!$B$5:$B$44,$B12,NOCs!$A$5:$A$44,"Yes")=0,"NOC not enabled",IF($C12="","Missing Location ID",IF(COUNTIF($C$5:$C$64,$C12)&gt;1,"Duplicate Location ID",IF($D12="","Missing display name",IF(COUNTIFS($B$5:$B$64,$B12,$D$5:$D$64,$D12)&gt;1,"Duplicate display name in NOC",IF($H12=0,"No enabled rules",IF($F12="","No usable scope","OK")))))))))</x:f>
        <x:v>Disabled</x:v>
      </x:c>
      <x:c r="J12" s="178" t="str"/>
      <x:c r="K12" s="118" t="str">
        <x:f>IF($I12="OK",COUNTIFS($B$5:$B12,$B12,$I$5:$I12,"OK"),"")</x:f>
      </x:c>
      <x:c r="L12" s="118" t="str">
        <x:f>IF($K12="","",$B12&amp;"|"&amp;TEXT($K12,"000"))</x:f>
      </x:c>
      <x:c r="M12" s="24" t="str">
        <x:f>IF($I12&lt;&gt;"OK","",IF($K12=1,$F12,IFERROR(VLOOKUP($B12&amp;"|"&amp;TEXT($K12-1,"000"),$L$5:M11,2,FALSE),"")&amp;" OR "&amp;$F12))</x:f>
      </x:c>
      <x:c r="N12" s="24" t="str">
        <x:f>IF($K12="","",$B12&amp;"|"&amp;TEXT($K12,"000"))</x:f>
      </x:c>
      <x:c r="O12" s="24" t="str">
        <x:f>IF($I12="OK",$D12,"")</x:f>
      </x:c>
      <x:c r="P12" s="24" t="str">
        <x:f>IF(Generator!$E$6="","",IFERROR(VLOOKUP(Generator!$E$6&amp;"|008",$N$5:$O$64,2,FALSE),""))</x:f>
      </x:c>
      <x:c r="Q12" t="str">
        <x:f>IF($I12="OK",$B12&amp;"|"&amp;$D12,"")</x:f>
      </x:c>
      <x:c r="R12" t="str">
        <x:f>IF($I12="OK",$C12,"")</x:f>
      </x:c>
      <x:c r="S12" t="str">
        <x:f>IF($I12="OK",$F12,"")</x:f>
      </x:c>
      <x:c r="T12" t="str">
        <x:f>IF($A12&lt;&gt;"Yes","Disabled",$I12)</x:f>
        <x:v>Disabled</x:v>
      </x:c>
      <x:c r="U12" t="str">
        <x:f>IFERROR(VLOOKUP("NOCINPUT|"&amp;TEXT(ROW()-4,"000"),NOCs!$S$5:$T$44,2,FALSE),"")</x:f>
      </x:c>
      <x:c r="V12" t="str">
        <x:f>IF(AND($A12="Yes",$B12&lt;&gt;"",$C12&lt;&gt;"",$D12&lt;&gt;"",COUNTIF(NOCs!$T$5:$T$44,$B12)=1,COUNTIF($C$5:$C$64,$C12)=1),COUNT($V$4:V11)+1,"")</x:f>
      </x:c>
      <x:c r="W12" t="str">
        <x:f>IF($V12="","","LOCINPUT|"&amp;TEXT($V12,"000"))</x:f>
      </x:c>
      <x:c r="X12" t="str">
        <x:f>IF($V12="","",$C12)</x:f>
      </x:c>
    </x:row>
    <x:row r="13">
      <x:c r="A13" s="178" t="str">
        <x:v>No</x:v>
      </x:c>
      <x:c r="B13" s="178" t="str"/>
      <x:c r="C13" s="178" t="str">
        <x:v>LOC_009</x:v>
      </x:c>
      <x:c r="D13" s="178" t="str">
        <x:v>Location 009</x:v>
      </x:c>
      <x:c r="E13" s="178" t="n">
        <x:v>90</x:v>
      </x:c>
      <x:c r="F13" s="179" t="str">
        <x:f>IF(A13&lt;&gt;"Yes","",IF(H13=0,"","("&amp;IFERROR(VLOOKUP(C13&amp;"|"&amp;TEXT(H13,"000"),'Scope Rules'!$J$5:$K$104,2,FALSE),"")&amp;")"))</x:f>
      </x:c>
      <x:c r="G13" s="179" t="str">
        <x:f>IF(OR(A13&lt;&gt;"Yes",F13=""),"","{""label"":"""&amp;D13&amp;""",""value"":"""&amp;SUBSTITUTE(F13,CHAR(34),"\"&amp;CHAR(34))&amp;"""}")</x:f>
      </x:c>
      <x:c r="H13" s="179" t="n">
        <x:f>IF($C13="","",COUNTIFS('Scope Rules'!$H$5:$H$104,"OK",'Scope Rules'!$B$5:$B$104,$C13))</x:f>
        <x:v>0</x:v>
      </x:c>
      <x:c r="I13" s="179" t="str">
        <x:f>IF($A13&lt;&gt;"Yes","Disabled",IF($B13="","Missing NOC ID",IF(COUNTIFS(NOCs!$B$5:$B$44,$B13,NOCs!$A$5:$A$44,"Yes")=0,"NOC not enabled",IF($C13="","Missing Location ID",IF(COUNTIF($C$5:$C$64,$C13)&gt;1,"Duplicate Location ID",IF($D13="","Missing display name",IF(COUNTIFS($B$5:$B$64,$B13,$D$5:$D$64,$D13)&gt;1,"Duplicate display name in NOC",IF($H13=0,"No enabled rules",IF($F13="","No usable scope","OK")))))))))</x:f>
        <x:v>Disabled</x:v>
      </x:c>
      <x:c r="J13" s="178" t="str"/>
      <x:c r="K13" s="118" t="str">
        <x:f>IF($I13="OK",COUNTIFS($B$5:$B13,$B13,$I$5:$I13,"OK"),"")</x:f>
      </x:c>
      <x:c r="L13" s="118" t="str">
        <x:f>IF($K13="","",$B13&amp;"|"&amp;TEXT($K13,"000"))</x:f>
      </x:c>
      <x:c r="M13" s="24" t="str">
        <x:f>IF($I13&lt;&gt;"OK","",IF($K13=1,$F13,IFERROR(VLOOKUP($B13&amp;"|"&amp;TEXT($K13-1,"000"),$L$5:M12,2,FALSE),"")&amp;" OR "&amp;$F13))</x:f>
      </x:c>
      <x:c r="N13" s="24" t="str">
        <x:f>IF($K13="","",$B13&amp;"|"&amp;TEXT($K13,"000"))</x:f>
      </x:c>
      <x:c r="O13" s="24" t="str">
        <x:f>IF($I13="OK",$D13,"")</x:f>
      </x:c>
      <x:c r="P13" s="24" t="str">
        <x:f>IF(Generator!$E$6="","",IFERROR(VLOOKUP(Generator!$E$6&amp;"|009",$N$5:$O$64,2,FALSE),""))</x:f>
      </x:c>
      <x:c r="Q13" t="str">
        <x:f>IF($I13="OK",$B13&amp;"|"&amp;$D13,"")</x:f>
      </x:c>
      <x:c r="R13" t="str">
        <x:f>IF($I13="OK",$C13,"")</x:f>
      </x:c>
      <x:c r="S13" t="str">
        <x:f>IF($I13="OK",$F13,"")</x:f>
      </x:c>
      <x:c r="T13" t="str">
        <x:f>IF($A13&lt;&gt;"Yes","Disabled",$I13)</x:f>
        <x:v>Disabled</x:v>
      </x:c>
      <x:c r="U13" t="str">
        <x:f>IFERROR(VLOOKUP("NOCINPUT|"&amp;TEXT(ROW()-4,"000"),NOCs!$S$5:$T$44,2,FALSE),"")</x:f>
      </x:c>
      <x:c r="V13" t="str">
        <x:f>IF(AND($A13="Yes",$B13&lt;&gt;"",$C13&lt;&gt;"",$D13&lt;&gt;"",COUNTIF(NOCs!$T$5:$T$44,$B13)=1,COUNTIF($C$5:$C$64,$C13)=1),COUNT($V$4:V12)+1,"")</x:f>
      </x:c>
      <x:c r="W13" t="str">
        <x:f>IF($V13="","","LOCINPUT|"&amp;TEXT($V13,"000"))</x:f>
      </x:c>
      <x:c r="X13" t="str">
        <x:f>IF($V13="","",$C13)</x:f>
      </x:c>
    </x:row>
    <x:row r="14">
      <x:c r="A14" s="178" t="str">
        <x:v>No</x:v>
      </x:c>
      <x:c r="B14" s="178" t="str"/>
      <x:c r="C14" s="178" t="str">
        <x:v>LOC_010</x:v>
      </x:c>
      <x:c r="D14" s="178" t="str">
        <x:v>Location 010</x:v>
      </x:c>
      <x:c r="E14" s="178" t="n">
        <x:v>100</x:v>
      </x:c>
      <x:c r="F14" s="179" t="str">
        <x:f>IF(A14&lt;&gt;"Yes","",IF(H14=0,"","("&amp;IFERROR(VLOOKUP(C14&amp;"|"&amp;TEXT(H14,"000"),'Scope Rules'!$J$5:$K$104,2,FALSE),"")&amp;")"))</x:f>
      </x:c>
      <x:c r="G14" s="179" t="str">
        <x:f>IF(OR(A14&lt;&gt;"Yes",F14=""),"","{""label"":"""&amp;D14&amp;""",""value"":"""&amp;SUBSTITUTE(F14,CHAR(34),"\"&amp;CHAR(34))&amp;"""}")</x:f>
      </x:c>
      <x:c r="H14" s="179" t="n">
        <x:f>IF($C14="","",COUNTIFS('Scope Rules'!$H$5:$H$104,"OK",'Scope Rules'!$B$5:$B$104,$C14))</x:f>
        <x:v>0</x:v>
      </x:c>
      <x:c r="I14" s="179" t="str">
        <x:f>IF($A14&lt;&gt;"Yes","Disabled",IF($B14="","Missing NOC ID",IF(COUNTIFS(NOCs!$B$5:$B$44,$B14,NOCs!$A$5:$A$44,"Yes")=0,"NOC not enabled",IF($C14="","Missing Location ID",IF(COUNTIF($C$5:$C$64,$C14)&gt;1,"Duplicate Location ID",IF($D14="","Missing display name",IF(COUNTIFS($B$5:$B$64,$B14,$D$5:$D$64,$D14)&gt;1,"Duplicate display name in NOC",IF($H14=0,"No enabled rules",IF($F14="","No usable scope","OK")))))))))</x:f>
        <x:v>Disabled</x:v>
      </x:c>
      <x:c r="J14" s="178" t="str"/>
      <x:c r="K14" s="118" t="str">
        <x:f>IF($I14="OK",COUNTIFS($B$5:$B14,$B14,$I$5:$I14,"OK"),"")</x:f>
      </x:c>
      <x:c r="L14" s="118" t="str">
        <x:f>IF($K14="","",$B14&amp;"|"&amp;TEXT($K14,"000"))</x:f>
      </x:c>
      <x:c r="M14" s="24" t="str">
        <x:f>IF($I14&lt;&gt;"OK","",IF($K14=1,$F14,IFERROR(VLOOKUP($B14&amp;"|"&amp;TEXT($K14-1,"000"),$L$5:M13,2,FALSE),"")&amp;" OR "&amp;$F14))</x:f>
      </x:c>
      <x:c r="N14" s="24" t="str">
        <x:f>IF($K14="","",$B14&amp;"|"&amp;TEXT($K14,"000"))</x:f>
      </x:c>
      <x:c r="O14" s="24" t="str">
        <x:f>IF($I14="OK",$D14,"")</x:f>
      </x:c>
      <x:c r="P14" s="24" t="str">
        <x:f>IF(Generator!$E$6="","",IFERROR(VLOOKUP(Generator!$E$6&amp;"|010",$N$5:$O$64,2,FALSE),""))</x:f>
      </x:c>
      <x:c r="Q14" t="str">
        <x:f>IF($I14="OK",$B14&amp;"|"&amp;$D14,"")</x:f>
      </x:c>
      <x:c r="R14" t="str">
        <x:f>IF($I14="OK",$C14,"")</x:f>
      </x:c>
      <x:c r="S14" t="str">
        <x:f>IF($I14="OK",$F14,"")</x:f>
      </x:c>
      <x:c r="T14" t="str">
        <x:f>IF($A14&lt;&gt;"Yes","Disabled",$I14)</x:f>
        <x:v>Disabled</x:v>
      </x:c>
      <x:c r="U14" t="str">
        <x:f>IFERROR(VLOOKUP("NOCINPUT|"&amp;TEXT(ROW()-4,"000"),NOCs!$S$5:$T$44,2,FALSE),"")</x:f>
      </x:c>
      <x:c r="V14" t="str">
        <x:f>IF(AND($A14="Yes",$B14&lt;&gt;"",$C14&lt;&gt;"",$D14&lt;&gt;"",COUNTIF(NOCs!$T$5:$T$44,$B14)=1,COUNTIF($C$5:$C$64,$C14)=1),COUNT($V$4:V13)+1,"")</x:f>
      </x:c>
      <x:c r="W14" t="str">
        <x:f>IF($V14="","","LOCINPUT|"&amp;TEXT($V14,"000"))</x:f>
      </x:c>
      <x:c r="X14" t="str">
        <x:f>IF($V14="","",$C14)</x:f>
      </x:c>
    </x:row>
    <x:row r="15">
      <x:c r="A15" s="178" t="str">
        <x:v>No</x:v>
      </x:c>
      <x:c r="B15" s="178" t="str"/>
      <x:c r="C15" s="178" t="str">
        <x:v>LOC_011</x:v>
      </x:c>
      <x:c r="D15" s="178" t="str">
        <x:v>Location 011</x:v>
      </x:c>
      <x:c r="E15" s="178" t="n">
        <x:v>110</x:v>
      </x:c>
      <x:c r="F15" s="179" t="str">
        <x:f>IF(A15&lt;&gt;"Yes","",IF(H15=0,"","("&amp;IFERROR(VLOOKUP(C15&amp;"|"&amp;TEXT(H15,"000"),'Scope Rules'!$J$5:$K$104,2,FALSE),"")&amp;")"))</x:f>
      </x:c>
      <x:c r="G15" s="179" t="str">
        <x:f>IF(OR(A15&lt;&gt;"Yes",F15=""),"","{""label"":"""&amp;D15&amp;""",""value"":"""&amp;SUBSTITUTE(F15,CHAR(34),"\"&amp;CHAR(34))&amp;"""}")</x:f>
      </x:c>
      <x:c r="H15" s="179" t="n">
        <x:f>IF($C15="","",COUNTIFS('Scope Rules'!$H$5:$H$104,"OK",'Scope Rules'!$B$5:$B$104,$C15))</x:f>
        <x:v>0</x:v>
      </x:c>
      <x:c r="I15" s="179" t="str">
        <x:f>IF($A15&lt;&gt;"Yes","Disabled",IF($B15="","Missing NOC ID",IF(COUNTIFS(NOCs!$B$5:$B$44,$B15,NOCs!$A$5:$A$44,"Yes")=0,"NOC not enabled",IF($C15="","Missing Location ID",IF(COUNTIF($C$5:$C$64,$C15)&gt;1,"Duplicate Location ID",IF($D15="","Missing display name",IF(COUNTIFS($B$5:$B$64,$B15,$D$5:$D$64,$D15)&gt;1,"Duplicate display name in NOC",IF($H15=0,"No enabled rules",IF($F15="","No usable scope","OK")))))))))</x:f>
        <x:v>Disabled</x:v>
      </x:c>
      <x:c r="J15" s="178" t="str"/>
      <x:c r="K15" s="118" t="str">
        <x:f>IF($I15="OK",COUNTIFS($B$5:$B15,$B15,$I$5:$I15,"OK"),"")</x:f>
      </x:c>
      <x:c r="L15" s="118" t="str">
        <x:f>IF($K15="","",$B15&amp;"|"&amp;TEXT($K15,"000"))</x:f>
      </x:c>
      <x:c r="M15" s="24" t="str">
        <x:f>IF($I15&lt;&gt;"OK","",IF($K15=1,$F15,IFERROR(VLOOKUP($B15&amp;"|"&amp;TEXT($K15-1,"000"),$L$5:M14,2,FALSE),"")&amp;" OR "&amp;$F15))</x:f>
      </x:c>
      <x:c r="N15" s="24" t="str">
        <x:f>IF($K15="","",$B15&amp;"|"&amp;TEXT($K15,"000"))</x:f>
      </x:c>
      <x:c r="O15" s="24" t="str">
        <x:f>IF($I15="OK",$D15,"")</x:f>
      </x:c>
      <x:c r="P15" s="24" t="str">
        <x:f>IF(Generator!$E$6="","",IFERROR(VLOOKUP(Generator!$E$6&amp;"|011",$N$5:$O$64,2,FALSE),""))</x:f>
      </x:c>
      <x:c r="Q15" t="str">
        <x:f>IF($I15="OK",$B15&amp;"|"&amp;$D15,"")</x:f>
      </x:c>
      <x:c r="R15" t="str">
        <x:f>IF($I15="OK",$C15,"")</x:f>
      </x:c>
      <x:c r="S15" t="str">
        <x:f>IF($I15="OK",$F15,"")</x:f>
      </x:c>
      <x:c r="T15" t="str">
        <x:f>IF($A15&lt;&gt;"Yes","Disabled",$I15)</x:f>
        <x:v>Disabled</x:v>
      </x:c>
      <x:c r="U15" t="str">
        <x:f>IFERROR(VLOOKUP("NOCINPUT|"&amp;TEXT(ROW()-4,"000"),NOCs!$S$5:$T$44,2,FALSE),"")</x:f>
      </x:c>
      <x:c r="V15" t="str">
        <x:f>IF(AND($A15="Yes",$B15&lt;&gt;"",$C15&lt;&gt;"",$D15&lt;&gt;"",COUNTIF(NOCs!$T$5:$T$44,$B15)=1,COUNTIF($C$5:$C$64,$C15)=1),COUNT($V$4:V14)+1,"")</x:f>
      </x:c>
      <x:c r="W15" t="str">
        <x:f>IF($V15="","","LOCINPUT|"&amp;TEXT($V15,"000"))</x:f>
      </x:c>
      <x:c r="X15" t="str">
        <x:f>IF($V15="","",$C15)</x:f>
      </x:c>
    </x:row>
    <x:row r="16">
      <x:c r="A16" s="178" t="str">
        <x:v>No</x:v>
      </x:c>
      <x:c r="B16" s="178" t="str"/>
      <x:c r="C16" s="178" t="str">
        <x:v>LOC_012</x:v>
      </x:c>
      <x:c r="D16" s="178" t="str">
        <x:v>Location 012</x:v>
      </x:c>
      <x:c r="E16" s="178" t="n">
        <x:v>120</x:v>
      </x:c>
      <x:c r="F16" s="179" t="str">
        <x:f>IF(A16&lt;&gt;"Yes","",IF(H16=0,"","("&amp;IFERROR(VLOOKUP(C16&amp;"|"&amp;TEXT(H16,"000"),'Scope Rules'!$J$5:$K$104,2,FALSE),"")&amp;")"))</x:f>
      </x:c>
      <x:c r="G16" s="179" t="str">
        <x:f>IF(OR(A16&lt;&gt;"Yes",F16=""),"","{""label"":"""&amp;D16&amp;""",""value"":"""&amp;SUBSTITUTE(F16,CHAR(34),"\"&amp;CHAR(34))&amp;"""}")</x:f>
      </x:c>
      <x:c r="H16" s="179" t="n">
        <x:f>IF($C16="","",COUNTIFS('Scope Rules'!$H$5:$H$104,"OK",'Scope Rules'!$B$5:$B$104,$C16))</x:f>
        <x:v>0</x:v>
      </x:c>
      <x:c r="I16" s="179" t="str">
        <x:f>IF($A16&lt;&gt;"Yes","Disabled",IF($B16="","Missing NOC ID",IF(COUNTIFS(NOCs!$B$5:$B$44,$B16,NOCs!$A$5:$A$44,"Yes")=0,"NOC not enabled",IF($C16="","Missing Location ID",IF(COUNTIF($C$5:$C$64,$C16)&gt;1,"Duplicate Location ID",IF($D16="","Missing display name",IF(COUNTIFS($B$5:$B$64,$B16,$D$5:$D$64,$D16)&gt;1,"Duplicate display name in NOC",IF($H16=0,"No enabled rules",IF($F16="","No usable scope","OK")))))))))</x:f>
        <x:v>Disabled</x:v>
      </x:c>
      <x:c r="J16" s="178" t="str"/>
      <x:c r="K16" s="118" t="str">
        <x:f>IF($I16="OK",COUNTIFS($B$5:$B16,$B16,$I$5:$I16,"OK"),"")</x:f>
      </x:c>
      <x:c r="L16" s="118" t="str">
        <x:f>IF($K16="","",$B16&amp;"|"&amp;TEXT($K16,"000"))</x:f>
      </x:c>
      <x:c r="M16" s="24" t="str">
        <x:f>IF($I16&lt;&gt;"OK","",IF($K16=1,$F16,IFERROR(VLOOKUP($B16&amp;"|"&amp;TEXT($K16-1,"000"),$L$5:M15,2,FALSE),"")&amp;" OR "&amp;$F16))</x:f>
      </x:c>
      <x:c r="N16" s="24" t="str">
        <x:f>IF($K16="","",$B16&amp;"|"&amp;TEXT($K16,"000"))</x:f>
      </x:c>
      <x:c r="O16" s="24" t="str">
        <x:f>IF($I16="OK",$D16,"")</x:f>
      </x:c>
      <x:c r="P16" s="24" t="str">
        <x:f>IF(Generator!$E$6="","",IFERROR(VLOOKUP(Generator!$E$6&amp;"|012",$N$5:$O$64,2,FALSE),""))</x:f>
      </x:c>
      <x:c r="Q16" t="str">
        <x:f>IF($I16="OK",$B16&amp;"|"&amp;$D16,"")</x:f>
      </x:c>
      <x:c r="R16" t="str">
        <x:f>IF($I16="OK",$C16,"")</x:f>
      </x:c>
      <x:c r="S16" t="str">
        <x:f>IF($I16="OK",$F16,"")</x:f>
      </x:c>
      <x:c r="T16" t="str">
        <x:f>IF($A16&lt;&gt;"Yes","Disabled",$I16)</x:f>
        <x:v>Disabled</x:v>
      </x:c>
      <x:c r="U16" t="str">
        <x:f>IFERROR(VLOOKUP("NOCINPUT|"&amp;TEXT(ROW()-4,"000"),NOCs!$S$5:$T$44,2,FALSE),"")</x:f>
      </x:c>
      <x:c r="V16" t="str">
        <x:f>IF(AND($A16="Yes",$B16&lt;&gt;"",$C16&lt;&gt;"",$D16&lt;&gt;"",COUNTIF(NOCs!$T$5:$T$44,$B16)=1,COUNTIF($C$5:$C$64,$C16)=1),COUNT($V$4:V15)+1,"")</x:f>
      </x:c>
      <x:c r="W16" t="str">
        <x:f>IF($V16="","","LOCINPUT|"&amp;TEXT($V16,"000"))</x:f>
      </x:c>
      <x:c r="X16" t="str">
        <x:f>IF($V16="","",$C16)</x:f>
      </x:c>
    </x:row>
    <x:row r="17">
      <x:c r="A17" s="178" t="str">
        <x:v>No</x:v>
      </x:c>
      <x:c r="B17" s="178" t="str"/>
      <x:c r="C17" s="178" t="str">
        <x:v>LOC_013</x:v>
      </x:c>
      <x:c r="D17" s="178" t="str">
        <x:v>Location 013</x:v>
      </x:c>
      <x:c r="E17" s="178" t="n">
        <x:v>130</x:v>
      </x:c>
      <x:c r="F17" s="179" t="str">
        <x:f>IF(A17&lt;&gt;"Yes","",IF(H17=0,"","("&amp;IFERROR(VLOOKUP(C17&amp;"|"&amp;TEXT(H17,"000"),'Scope Rules'!$J$5:$K$104,2,FALSE),"")&amp;")"))</x:f>
      </x:c>
      <x:c r="G17" s="179" t="str">
        <x:f>IF(OR(A17&lt;&gt;"Yes",F17=""),"","{""label"":"""&amp;D17&amp;""",""value"":"""&amp;SUBSTITUTE(F17,CHAR(34),"\"&amp;CHAR(34))&amp;"""}")</x:f>
      </x:c>
      <x:c r="H17" s="179" t="n">
        <x:f>IF($C17="","",COUNTIFS('Scope Rules'!$H$5:$H$104,"OK",'Scope Rules'!$B$5:$B$104,$C17))</x:f>
        <x:v>0</x:v>
      </x:c>
      <x:c r="I17" s="179" t="str">
        <x:f>IF($A17&lt;&gt;"Yes","Disabled",IF($B17="","Missing NOC ID",IF(COUNTIFS(NOCs!$B$5:$B$44,$B17,NOCs!$A$5:$A$44,"Yes")=0,"NOC not enabled",IF($C17="","Missing Location ID",IF(COUNTIF($C$5:$C$64,$C17)&gt;1,"Duplicate Location ID",IF($D17="","Missing display name",IF(COUNTIFS($B$5:$B$64,$B17,$D$5:$D$64,$D17)&gt;1,"Duplicate display name in NOC",IF($H17=0,"No enabled rules",IF($F17="","No usable scope","OK")))))))))</x:f>
        <x:v>Disabled</x:v>
      </x:c>
      <x:c r="J17" s="178" t="str"/>
      <x:c r="K17" s="118" t="str">
        <x:f>IF($I17="OK",COUNTIFS($B$5:$B17,$B17,$I$5:$I17,"OK"),"")</x:f>
      </x:c>
      <x:c r="L17" s="118" t="str">
        <x:f>IF($K17="","",$B17&amp;"|"&amp;TEXT($K17,"000"))</x:f>
      </x:c>
      <x:c r="M17" s="24" t="str">
        <x:f>IF($I17&lt;&gt;"OK","",IF($K17=1,$F17,IFERROR(VLOOKUP($B17&amp;"|"&amp;TEXT($K17-1,"000"),$L$5:M16,2,FALSE),"")&amp;" OR "&amp;$F17))</x:f>
      </x:c>
      <x:c r="N17" s="24" t="str">
        <x:f>IF($K17="","",$B17&amp;"|"&amp;TEXT($K17,"000"))</x:f>
      </x:c>
      <x:c r="O17" s="24" t="str">
        <x:f>IF($I17="OK",$D17,"")</x:f>
      </x:c>
      <x:c r="P17" s="24" t="str">
        <x:f>IF(Generator!$E$6="","",IFERROR(VLOOKUP(Generator!$E$6&amp;"|013",$N$5:$O$64,2,FALSE),""))</x:f>
      </x:c>
      <x:c r="Q17" t="str">
        <x:f>IF($I17="OK",$B17&amp;"|"&amp;$D17,"")</x:f>
      </x:c>
      <x:c r="R17" t="str">
        <x:f>IF($I17="OK",$C17,"")</x:f>
      </x:c>
      <x:c r="S17" t="str">
        <x:f>IF($I17="OK",$F17,"")</x:f>
      </x:c>
      <x:c r="T17" t="str">
        <x:f>IF($A17&lt;&gt;"Yes","Disabled",$I17)</x:f>
        <x:v>Disabled</x:v>
      </x:c>
      <x:c r="U17" t="str">
        <x:f>IFERROR(VLOOKUP("NOCINPUT|"&amp;TEXT(ROW()-4,"000"),NOCs!$S$5:$T$44,2,FALSE),"")</x:f>
      </x:c>
      <x:c r="V17" t="str">
        <x:f>IF(AND($A17="Yes",$B17&lt;&gt;"",$C17&lt;&gt;"",$D17&lt;&gt;"",COUNTIF(NOCs!$T$5:$T$44,$B17)=1,COUNTIF($C$5:$C$64,$C17)=1),COUNT($V$4:V16)+1,"")</x:f>
      </x:c>
      <x:c r="W17" t="str">
        <x:f>IF($V17="","","LOCINPUT|"&amp;TEXT($V17,"000"))</x:f>
      </x:c>
      <x:c r="X17" t="str">
        <x:f>IF($V17="","",$C17)</x:f>
      </x:c>
    </x:row>
    <x:row r="18">
      <x:c r="A18" s="178" t="str">
        <x:v>No</x:v>
      </x:c>
      <x:c r="B18" s="178" t="str"/>
      <x:c r="C18" s="178" t="str">
        <x:v>LOC_014</x:v>
      </x:c>
      <x:c r="D18" s="178" t="str">
        <x:v>Location 014</x:v>
      </x:c>
      <x:c r="E18" s="178" t="n">
        <x:v>140</x:v>
      </x:c>
      <x:c r="F18" s="179" t="str">
        <x:f>IF(A18&lt;&gt;"Yes","",IF(H18=0,"","("&amp;IFERROR(VLOOKUP(C18&amp;"|"&amp;TEXT(H18,"000"),'Scope Rules'!$J$5:$K$104,2,FALSE),"")&amp;")"))</x:f>
      </x:c>
      <x:c r="G18" s="179" t="str">
        <x:f>IF(OR(A18&lt;&gt;"Yes",F18=""),"","{""label"":"""&amp;D18&amp;""",""value"":"""&amp;SUBSTITUTE(F18,CHAR(34),"\"&amp;CHAR(34))&amp;"""}")</x:f>
      </x:c>
      <x:c r="H18" s="179" t="n">
        <x:f>IF($C18="","",COUNTIFS('Scope Rules'!$H$5:$H$104,"OK",'Scope Rules'!$B$5:$B$104,$C18))</x:f>
        <x:v>0</x:v>
      </x:c>
      <x:c r="I18" s="179" t="str">
        <x:f>IF($A18&lt;&gt;"Yes","Disabled",IF($B18="","Missing NOC ID",IF(COUNTIFS(NOCs!$B$5:$B$44,$B18,NOCs!$A$5:$A$44,"Yes")=0,"NOC not enabled",IF($C18="","Missing Location ID",IF(COUNTIF($C$5:$C$64,$C18)&gt;1,"Duplicate Location ID",IF($D18="","Missing display name",IF(COUNTIFS($B$5:$B$64,$B18,$D$5:$D$64,$D18)&gt;1,"Duplicate display name in NOC",IF($H18=0,"No enabled rules",IF($F18="","No usable scope","OK")))))))))</x:f>
        <x:v>Disabled</x:v>
      </x:c>
      <x:c r="J18" s="178" t="str"/>
      <x:c r="K18" s="118" t="str">
        <x:f>IF($I18="OK",COUNTIFS($B$5:$B18,$B18,$I$5:$I18,"OK"),"")</x:f>
      </x:c>
      <x:c r="L18" s="118" t="str">
        <x:f>IF($K18="","",$B18&amp;"|"&amp;TEXT($K18,"000"))</x:f>
      </x:c>
      <x:c r="M18" s="24" t="str">
        <x:f>IF($I18&lt;&gt;"OK","",IF($K18=1,$F18,IFERROR(VLOOKUP($B18&amp;"|"&amp;TEXT($K18-1,"000"),$L$5:M17,2,FALSE),"")&amp;" OR "&amp;$F18))</x:f>
      </x:c>
      <x:c r="N18" s="24" t="str">
        <x:f>IF($K18="","",$B18&amp;"|"&amp;TEXT($K18,"000"))</x:f>
      </x:c>
      <x:c r="O18" s="24" t="str">
        <x:f>IF($I18="OK",$D18,"")</x:f>
      </x:c>
      <x:c r="P18" s="24" t="str">
        <x:f>IF(Generator!$E$6="","",IFERROR(VLOOKUP(Generator!$E$6&amp;"|014",$N$5:$O$64,2,FALSE),""))</x:f>
      </x:c>
      <x:c r="Q18" t="str">
        <x:f>IF($I18="OK",$B18&amp;"|"&amp;$D18,"")</x:f>
      </x:c>
      <x:c r="R18" t="str">
        <x:f>IF($I18="OK",$C18,"")</x:f>
      </x:c>
      <x:c r="S18" t="str">
        <x:f>IF($I18="OK",$F18,"")</x:f>
      </x:c>
      <x:c r="T18" t="str">
        <x:f>IF($A18&lt;&gt;"Yes","Disabled",$I18)</x:f>
        <x:v>Disabled</x:v>
      </x:c>
      <x:c r="U18" t="str">
        <x:f>IFERROR(VLOOKUP("NOCINPUT|"&amp;TEXT(ROW()-4,"000"),NOCs!$S$5:$T$44,2,FALSE),"")</x:f>
      </x:c>
      <x:c r="V18" t="str">
        <x:f>IF(AND($A18="Yes",$B18&lt;&gt;"",$C18&lt;&gt;"",$D18&lt;&gt;"",COUNTIF(NOCs!$T$5:$T$44,$B18)=1,COUNTIF($C$5:$C$64,$C18)=1),COUNT($V$4:V17)+1,"")</x:f>
      </x:c>
      <x:c r="W18" t="str">
        <x:f>IF($V18="","","LOCINPUT|"&amp;TEXT($V18,"000"))</x:f>
      </x:c>
      <x:c r="X18" t="str">
        <x:f>IF($V18="","",$C18)</x:f>
      </x:c>
    </x:row>
    <x:row r="19">
      <x:c r="A19" s="178" t="str">
        <x:v>No</x:v>
      </x:c>
      <x:c r="B19" s="178" t="str"/>
      <x:c r="C19" s="178" t="str">
        <x:v>LOC_015</x:v>
      </x:c>
      <x:c r="D19" s="178" t="str">
        <x:v>Location 015</x:v>
      </x:c>
      <x:c r="E19" s="178" t="n">
        <x:v>150</x:v>
      </x:c>
      <x:c r="F19" s="179" t="str">
        <x:f>IF(A19&lt;&gt;"Yes","",IF(H19=0,"","("&amp;IFERROR(VLOOKUP(C19&amp;"|"&amp;TEXT(H19,"000"),'Scope Rules'!$J$5:$K$104,2,FALSE),"")&amp;")"))</x:f>
      </x:c>
      <x:c r="G19" s="179" t="str">
        <x:f>IF(OR(A19&lt;&gt;"Yes",F19=""),"","{""label"":"""&amp;D19&amp;""",""value"":"""&amp;SUBSTITUTE(F19,CHAR(34),"\"&amp;CHAR(34))&amp;"""}")</x:f>
      </x:c>
      <x:c r="H19" s="179" t="n">
        <x:f>IF($C19="","",COUNTIFS('Scope Rules'!$H$5:$H$104,"OK",'Scope Rules'!$B$5:$B$104,$C19))</x:f>
        <x:v>0</x:v>
      </x:c>
      <x:c r="I19" s="179" t="str">
        <x:f>IF($A19&lt;&gt;"Yes","Disabled",IF($B19="","Missing NOC ID",IF(COUNTIFS(NOCs!$B$5:$B$44,$B19,NOCs!$A$5:$A$44,"Yes")=0,"NOC not enabled",IF($C19="","Missing Location ID",IF(COUNTIF($C$5:$C$64,$C19)&gt;1,"Duplicate Location ID",IF($D19="","Missing display name",IF(COUNTIFS($B$5:$B$64,$B19,$D$5:$D$64,$D19)&gt;1,"Duplicate display name in NOC",IF($H19=0,"No enabled rules",IF($F19="","No usable scope","OK")))))))))</x:f>
        <x:v>Disabled</x:v>
      </x:c>
      <x:c r="J19" s="178" t="str"/>
      <x:c r="K19" s="118" t="str">
        <x:f>IF($I19="OK",COUNTIFS($B$5:$B19,$B19,$I$5:$I19,"OK"),"")</x:f>
      </x:c>
      <x:c r="L19" s="118" t="str">
        <x:f>IF($K19="","",$B19&amp;"|"&amp;TEXT($K19,"000"))</x:f>
      </x:c>
      <x:c r="M19" s="24" t="str">
        <x:f>IF($I19&lt;&gt;"OK","",IF($K19=1,$F19,IFERROR(VLOOKUP($B19&amp;"|"&amp;TEXT($K19-1,"000"),$L$5:M18,2,FALSE),"")&amp;" OR "&amp;$F19))</x:f>
      </x:c>
      <x:c r="N19" s="24" t="str">
        <x:f>IF($K19="","",$B19&amp;"|"&amp;TEXT($K19,"000"))</x:f>
      </x:c>
      <x:c r="O19" s="24" t="str">
        <x:f>IF($I19="OK",$D19,"")</x:f>
      </x:c>
      <x:c r="P19" s="24" t="str">
        <x:f>IF(Generator!$E$6="","",IFERROR(VLOOKUP(Generator!$E$6&amp;"|015",$N$5:$O$64,2,FALSE),""))</x:f>
      </x:c>
      <x:c r="Q19" t="str">
        <x:f>IF($I19="OK",$B19&amp;"|"&amp;$D19,"")</x:f>
      </x:c>
      <x:c r="R19" t="str">
        <x:f>IF($I19="OK",$C19,"")</x:f>
      </x:c>
      <x:c r="S19" t="str">
        <x:f>IF($I19="OK",$F19,"")</x:f>
      </x:c>
      <x:c r="T19" t="str">
        <x:f>IF($A19&lt;&gt;"Yes","Disabled",$I19)</x:f>
        <x:v>Disabled</x:v>
      </x:c>
      <x:c r="U19" t="str">
        <x:f>IFERROR(VLOOKUP("NOCINPUT|"&amp;TEXT(ROW()-4,"000"),NOCs!$S$5:$T$44,2,FALSE),"")</x:f>
      </x:c>
      <x:c r="V19" t="str">
        <x:f>IF(AND($A19="Yes",$B19&lt;&gt;"",$C19&lt;&gt;"",$D19&lt;&gt;"",COUNTIF(NOCs!$T$5:$T$44,$B19)=1,COUNTIF($C$5:$C$64,$C19)=1),COUNT($V$4:V18)+1,"")</x:f>
      </x:c>
      <x:c r="W19" t="str">
        <x:f>IF($V19="","","LOCINPUT|"&amp;TEXT($V19,"000"))</x:f>
      </x:c>
      <x:c r="X19" t="str">
        <x:f>IF($V19="","",$C19)</x:f>
      </x:c>
    </x:row>
    <x:row r="20">
      <x:c r="A20" s="178" t="str">
        <x:v>No</x:v>
      </x:c>
      <x:c r="B20" s="178" t="str"/>
      <x:c r="C20" s="178" t="str">
        <x:v>LOC_016</x:v>
      </x:c>
      <x:c r="D20" s="178" t="str">
        <x:v>Location 016</x:v>
      </x:c>
      <x:c r="E20" s="178" t="n">
        <x:v>160</x:v>
      </x:c>
      <x:c r="F20" s="179" t="str">
        <x:f>IF(A20&lt;&gt;"Yes","",IF(H20=0,"","("&amp;IFERROR(VLOOKUP(C20&amp;"|"&amp;TEXT(H20,"000"),'Scope Rules'!$J$5:$K$104,2,FALSE),"")&amp;")"))</x:f>
      </x:c>
      <x:c r="G20" s="179" t="str">
        <x:f>IF(OR(A20&lt;&gt;"Yes",F20=""),"","{""label"":"""&amp;D20&amp;""",""value"":"""&amp;SUBSTITUTE(F20,CHAR(34),"\"&amp;CHAR(34))&amp;"""}")</x:f>
      </x:c>
      <x:c r="H20" s="179" t="n">
        <x:f>IF($C20="","",COUNTIFS('Scope Rules'!$H$5:$H$104,"OK",'Scope Rules'!$B$5:$B$104,$C20))</x:f>
        <x:v>0</x:v>
      </x:c>
      <x:c r="I20" s="179" t="str">
        <x:f>IF($A20&lt;&gt;"Yes","Disabled",IF($B20="","Missing NOC ID",IF(COUNTIFS(NOCs!$B$5:$B$44,$B20,NOCs!$A$5:$A$44,"Yes")=0,"NOC not enabled",IF($C20="","Missing Location ID",IF(COUNTIF($C$5:$C$64,$C20)&gt;1,"Duplicate Location ID",IF($D20="","Missing display name",IF(COUNTIFS($B$5:$B$64,$B20,$D$5:$D$64,$D20)&gt;1,"Duplicate display name in NOC",IF($H20=0,"No enabled rules",IF($F20="","No usable scope","OK")))))))))</x:f>
        <x:v>Disabled</x:v>
      </x:c>
      <x:c r="J20" s="178" t="str"/>
      <x:c r="K20" s="118" t="str">
        <x:f>IF($I20="OK",COUNTIFS($B$5:$B20,$B20,$I$5:$I20,"OK"),"")</x:f>
      </x:c>
      <x:c r="L20" s="118" t="str">
        <x:f>IF($K20="","",$B20&amp;"|"&amp;TEXT($K20,"000"))</x:f>
      </x:c>
      <x:c r="M20" s="24" t="str">
        <x:f>IF($I20&lt;&gt;"OK","",IF($K20=1,$F20,IFERROR(VLOOKUP($B20&amp;"|"&amp;TEXT($K20-1,"000"),$L$5:M19,2,FALSE),"")&amp;" OR "&amp;$F20))</x:f>
      </x:c>
      <x:c r="N20" s="24" t="str">
        <x:f>IF($K20="","",$B20&amp;"|"&amp;TEXT($K20,"000"))</x:f>
      </x:c>
      <x:c r="O20" s="24" t="str">
        <x:f>IF($I20="OK",$D20,"")</x:f>
      </x:c>
      <x:c r="P20" s="24" t="str">
        <x:f>IF(Generator!$E$6="","",IFERROR(VLOOKUP(Generator!$E$6&amp;"|016",$N$5:$O$64,2,FALSE),""))</x:f>
      </x:c>
      <x:c r="Q20" t="str">
        <x:f>IF($I20="OK",$B20&amp;"|"&amp;$D20,"")</x:f>
      </x:c>
      <x:c r="R20" t="str">
        <x:f>IF($I20="OK",$C20,"")</x:f>
      </x:c>
      <x:c r="S20" t="str">
        <x:f>IF($I20="OK",$F20,"")</x:f>
      </x:c>
      <x:c r="T20" t="str">
        <x:f>IF($A20&lt;&gt;"Yes","Disabled",$I20)</x:f>
        <x:v>Disabled</x:v>
      </x:c>
      <x:c r="U20" t="str">
        <x:f>IFERROR(VLOOKUP("NOCINPUT|"&amp;TEXT(ROW()-4,"000"),NOCs!$S$5:$T$44,2,FALSE),"")</x:f>
      </x:c>
      <x:c r="V20" t="str">
        <x:f>IF(AND($A20="Yes",$B20&lt;&gt;"",$C20&lt;&gt;"",$D20&lt;&gt;"",COUNTIF(NOCs!$T$5:$T$44,$B20)=1,COUNTIF($C$5:$C$64,$C20)=1),COUNT($V$4:V19)+1,"")</x:f>
      </x:c>
      <x:c r="W20" t="str">
        <x:f>IF($V20="","","LOCINPUT|"&amp;TEXT($V20,"000"))</x:f>
      </x:c>
      <x:c r="X20" t="str">
        <x:f>IF($V20="","",$C20)</x:f>
      </x:c>
    </x:row>
    <x:row r="21">
      <x:c r="A21" s="178" t="str">
        <x:v>No</x:v>
      </x:c>
      <x:c r="B21" s="178" t="str"/>
      <x:c r="C21" s="178" t="str">
        <x:v>LOC_017</x:v>
      </x:c>
      <x:c r="D21" s="178" t="str">
        <x:v>Location 017</x:v>
      </x:c>
      <x:c r="E21" s="178" t="n">
        <x:v>170</x:v>
      </x:c>
      <x:c r="F21" s="179" t="str">
        <x:f>IF(A21&lt;&gt;"Yes","",IF(H21=0,"","("&amp;IFERROR(VLOOKUP(C21&amp;"|"&amp;TEXT(H21,"000"),'Scope Rules'!$J$5:$K$104,2,FALSE),"")&amp;")"))</x:f>
      </x:c>
      <x:c r="G21" s="179" t="str">
        <x:f>IF(OR(A21&lt;&gt;"Yes",F21=""),"","{""label"":"""&amp;D21&amp;""",""value"":"""&amp;SUBSTITUTE(F21,CHAR(34),"\"&amp;CHAR(34))&amp;"""}")</x:f>
      </x:c>
      <x:c r="H21" s="179" t="n">
        <x:f>IF($C21="","",COUNTIFS('Scope Rules'!$H$5:$H$104,"OK",'Scope Rules'!$B$5:$B$104,$C21))</x:f>
        <x:v>0</x:v>
      </x:c>
      <x:c r="I21" s="179" t="str">
        <x:f>IF($A21&lt;&gt;"Yes","Disabled",IF($B21="","Missing NOC ID",IF(COUNTIFS(NOCs!$B$5:$B$44,$B21,NOCs!$A$5:$A$44,"Yes")=0,"NOC not enabled",IF($C21="","Missing Location ID",IF(COUNTIF($C$5:$C$64,$C21)&gt;1,"Duplicate Location ID",IF($D21="","Missing display name",IF(COUNTIFS($B$5:$B$64,$B21,$D$5:$D$64,$D21)&gt;1,"Duplicate display name in NOC",IF($H21=0,"No enabled rules",IF($F21="","No usable scope","OK")))))))))</x:f>
        <x:v>Disabled</x:v>
      </x:c>
      <x:c r="J21" s="178" t="str"/>
      <x:c r="K21" s="118" t="str">
        <x:f>IF($I21="OK",COUNTIFS($B$5:$B21,$B21,$I$5:$I21,"OK"),"")</x:f>
      </x:c>
      <x:c r="L21" s="118" t="str">
        <x:f>IF($K21="","",$B21&amp;"|"&amp;TEXT($K21,"000"))</x:f>
      </x:c>
      <x:c r="M21" s="24" t="str">
        <x:f>IF($I21&lt;&gt;"OK","",IF($K21=1,$F21,IFERROR(VLOOKUP($B21&amp;"|"&amp;TEXT($K21-1,"000"),$L$5:M20,2,FALSE),"")&amp;" OR "&amp;$F21))</x:f>
      </x:c>
      <x:c r="N21" s="24" t="str">
        <x:f>IF($K21="","",$B21&amp;"|"&amp;TEXT($K21,"000"))</x:f>
      </x:c>
      <x:c r="O21" s="24" t="str">
        <x:f>IF($I21="OK",$D21,"")</x:f>
      </x:c>
      <x:c r="P21" s="24" t="str">
        <x:f>IF(Generator!$E$6="","",IFERROR(VLOOKUP(Generator!$E$6&amp;"|017",$N$5:$O$64,2,FALSE),""))</x:f>
      </x:c>
      <x:c r="Q21" t="str">
        <x:f>IF($I21="OK",$B21&amp;"|"&amp;$D21,"")</x:f>
      </x:c>
      <x:c r="R21" t="str">
        <x:f>IF($I21="OK",$C21,"")</x:f>
      </x:c>
      <x:c r="S21" t="str">
        <x:f>IF($I21="OK",$F21,"")</x:f>
      </x:c>
      <x:c r="T21" t="str">
        <x:f>IF($A21&lt;&gt;"Yes","Disabled",$I21)</x:f>
        <x:v>Disabled</x:v>
      </x:c>
      <x:c r="U21" t="str">
        <x:f>IFERROR(VLOOKUP("NOCINPUT|"&amp;TEXT(ROW()-4,"000"),NOCs!$S$5:$T$44,2,FALSE),"")</x:f>
      </x:c>
      <x:c r="V21" t="str">
        <x:f>IF(AND($A21="Yes",$B21&lt;&gt;"",$C21&lt;&gt;"",$D21&lt;&gt;"",COUNTIF(NOCs!$T$5:$T$44,$B21)=1,COUNTIF($C$5:$C$64,$C21)=1),COUNT($V$4:V20)+1,"")</x:f>
      </x:c>
      <x:c r="W21" t="str">
        <x:f>IF($V21="","","LOCINPUT|"&amp;TEXT($V21,"000"))</x:f>
      </x:c>
      <x:c r="X21" t="str">
        <x:f>IF($V21="","",$C21)</x:f>
      </x:c>
    </x:row>
    <x:row r="22">
      <x:c r="A22" s="178" t="str">
        <x:v>No</x:v>
      </x:c>
      <x:c r="B22" s="178" t="str"/>
      <x:c r="C22" s="178" t="str">
        <x:v>LOC_018</x:v>
      </x:c>
      <x:c r="D22" s="178" t="str">
        <x:v>Location 018</x:v>
      </x:c>
      <x:c r="E22" s="178" t="n">
        <x:v>180</x:v>
      </x:c>
      <x:c r="F22" s="179" t="str">
        <x:f>IF(A22&lt;&gt;"Yes","",IF(H22=0,"","("&amp;IFERROR(VLOOKUP(C22&amp;"|"&amp;TEXT(H22,"000"),'Scope Rules'!$J$5:$K$104,2,FALSE),"")&amp;")"))</x:f>
      </x:c>
      <x:c r="G22" s="179" t="str">
        <x:f>IF(OR(A22&lt;&gt;"Yes",F22=""),"","{""label"":"""&amp;D22&amp;""",""value"":"""&amp;SUBSTITUTE(F22,CHAR(34),"\"&amp;CHAR(34))&amp;"""}")</x:f>
      </x:c>
      <x:c r="H22" s="179" t="n">
        <x:f>IF($C22="","",COUNTIFS('Scope Rules'!$H$5:$H$104,"OK",'Scope Rules'!$B$5:$B$104,$C22))</x:f>
        <x:v>0</x:v>
      </x:c>
      <x:c r="I22" s="179" t="str">
        <x:f>IF($A22&lt;&gt;"Yes","Disabled",IF($B22="","Missing NOC ID",IF(COUNTIFS(NOCs!$B$5:$B$44,$B22,NOCs!$A$5:$A$44,"Yes")=0,"NOC not enabled",IF($C22="","Missing Location ID",IF(COUNTIF($C$5:$C$64,$C22)&gt;1,"Duplicate Location ID",IF($D22="","Missing display name",IF(COUNTIFS($B$5:$B$64,$B22,$D$5:$D$64,$D22)&gt;1,"Duplicate display name in NOC",IF($H22=0,"No enabled rules",IF($F22="","No usable scope","OK")))))))))</x:f>
        <x:v>Disabled</x:v>
      </x:c>
      <x:c r="J22" s="178" t="str"/>
      <x:c r="K22" s="118" t="str">
        <x:f>IF($I22="OK",COUNTIFS($B$5:$B22,$B22,$I$5:$I22,"OK"),"")</x:f>
      </x:c>
      <x:c r="L22" s="118" t="str">
        <x:f>IF($K22="","",$B22&amp;"|"&amp;TEXT($K22,"000"))</x:f>
      </x:c>
      <x:c r="M22" s="24" t="str">
        <x:f>IF($I22&lt;&gt;"OK","",IF($K22=1,$F22,IFERROR(VLOOKUP($B22&amp;"|"&amp;TEXT($K22-1,"000"),$L$5:M21,2,FALSE),"")&amp;" OR "&amp;$F22))</x:f>
      </x:c>
      <x:c r="N22" s="24" t="str">
        <x:f>IF($K22="","",$B22&amp;"|"&amp;TEXT($K22,"000"))</x:f>
      </x:c>
      <x:c r="O22" s="24" t="str">
        <x:f>IF($I22="OK",$D22,"")</x:f>
      </x:c>
      <x:c r="P22" s="24" t="str">
        <x:f>IF(Generator!$E$6="","",IFERROR(VLOOKUP(Generator!$E$6&amp;"|018",$N$5:$O$64,2,FALSE),""))</x:f>
      </x:c>
      <x:c r="Q22" t="str">
        <x:f>IF($I22="OK",$B22&amp;"|"&amp;$D22,"")</x:f>
      </x:c>
      <x:c r="R22" t="str">
        <x:f>IF($I22="OK",$C22,"")</x:f>
      </x:c>
      <x:c r="S22" t="str">
        <x:f>IF($I22="OK",$F22,"")</x:f>
      </x:c>
      <x:c r="T22" t="str">
        <x:f>IF($A22&lt;&gt;"Yes","Disabled",$I22)</x:f>
        <x:v>Disabled</x:v>
      </x:c>
      <x:c r="U22" t="str">
        <x:f>IFERROR(VLOOKUP("NOCINPUT|"&amp;TEXT(ROW()-4,"000"),NOCs!$S$5:$T$44,2,FALSE),"")</x:f>
      </x:c>
      <x:c r="V22" t="str">
        <x:f>IF(AND($A22="Yes",$B22&lt;&gt;"",$C22&lt;&gt;"",$D22&lt;&gt;"",COUNTIF(NOCs!$T$5:$T$44,$B22)=1,COUNTIF($C$5:$C$64,$C22)=1),COUNT($V$4:V21)+1,"")</x:f>
      </x:c>
      <x:c r="W22" t="str">
        <x:f>IF($V22="","","LOCINPUT|"&amp;TEXT($V22,"000"))</x:f>
      </x:c>
      <x:c r="X22" t="str">
        <x:f>IF($V22="","",$C22)</x:f>
      </x:c>
    </x:row>
    <x:row r="23">
      <x:c r="A23" s="178" t="str">
        <x:v>No</x:v>
      </x:c>
      <x:c r="B23" s="178" t="str"/>
      <x:c r="C23" s="178" t="str">
        <x:v>LOC_019</x:v>
      </x:c>
      <x:c r="D23" s="178" t="str">
        <x:v>Location 019</x:v>
      </x:c>
      <x:c r="E23" s="178" t="n">
        <x:v>190</x:v>
      </x:c>
      <x:c r="F23" s="179" t="str">
        <x:f>IF(A23&lt;&gt;"Yes","",IF(H23=0,"","("&amp;IFERROR(VLOOKUP(C23&amp;"|"&amp;TEXT(H23,"000"),'Scope Rules'!$J$5:$K$104,2,FALSE),"")&amp;")"))</x:f>
      </x:c>
      <x:c r="G23" s="179" t="str">
        <x:f>IF(OR(A23&lt;&gt;"Yes",F23=""),"","{""label"":"""&amp;D23&amp;""",""value"":"""&amp;SUBSTITUTE(F23,CHAR(34),"\"&amp;CHAR(34))&amp;"""}")</x:f>
      </x:c>
      <x:c r="H23" s="179" t="n">
        <x:f>IF($C23="","",COUNTIFS('Scope Rules'!$H$5:$H$104,"OK",'Scope Rules'!$B$5:$B$104,$C23))</x:f>
        <x:v>0</x:v>
      </x:c>
      <x:c r="I23" s="179" t="str">
        <x:f>IF($A23&lt;&gt;"Yes","Disabled",IF($B23="","Missing NOC ID",IF(COUNTIFS(NOCs!$B$5:$B$44,$B23,NOCs!$A$5:$A$44,"Yes")=0,"NOC not enabled",IF($C23="","Missing Location ID",IF(COUNTIF($C$5:$C$64,$C23)&gt;1,"Duplicate Location ID",IF($D23="","Missing display name",IF(COUNTIFS($B$5:$B$64,$B23,$D$5:$D$64,$D23)&gt;1,"Duplicate display name in NOC",IF($H23=0,"No enabled rules",IF($F23="","No usable scope","OK")))))))))</x:f>
        <x:v>Disabled</x:v>
      </x:c>
      <x:c r="J23" s="178" t="str"/>
      <x:c r="K23" s="118" t="str">
        <x:f>IF($I23="OK",COUNTIFS($B$5:$B23,$B23,$I$5:$I23,"OK"),"")</x:f>
      </x:c>
      <x:c r="L23" s="118" t="str">
        <x:f>IF($K23="","",$B23&amp;"|"&amp;TEXT($K23,"000"))</x:f>
      </x:c>
      <x:c r="M23" s="24" t="str">
        <x:f>IF($I23&lt;&gt;"OK","",IF($K23=1,$F23,IFERROR(VLOOKUP($B23&amp;"|"&amp;TEXT($K23-1,"000"),$L$5:M22,2,FALSE),"")&amp;" OR "&amp;$F23))</x:f>
      </x:c>
      <x:c r="N23" s="24" t="str">
        <x:f>IF($K23="","",$B23&amp;"|"&amp;TEXT($K23,"000"))</x:f>
      </x:c>
      <x:c r="O23" s="24" t="str">
        <x:f>IF($I23="OK",$D23,"")</x:f>
      </x:c>
      <x:c r="P23" s="24" t="str">
        <x:f>IF(Generator!$E$6="","",IFERROR(VLOOKUP(Generator!$E$6&amp;"|019",$N$5:$O$64,2,FALSE),""))</x:f>
      </x:c>
      <x:c r="Q23" t="str">
        <x:f>IF($I23="OK",$B23&amp;"|"&amp;$D23,"")</x:f>
      </x:c>
      <x:c r="R23" t="str">
        <x:f>IF($I23="OK",$C23,"")</x:f>
      </x:c>
      <x:c r="S23" t="str">
        <x:f>IF($I23="OK",$F23,"")</x:f>
      </x:c>
      <x:c r="T23" t="str">
        <x:f>IF($A23&lt;&gt;"Yes","Disabled",$I23)</x:f>
        <x:v>Disabled</x:v>
      </x:c>
      <x:c r="U23" t="str">
        <x:f>IFERROR(VLOOKUP("NOCINPUT|"&amp;TEXT(ROW()-4,"000"),NOCs!$S$5:$T$44,2,FALSE),"")</x:f>
      </x:c>
      <x:c r="V23" t="str">
        <x:f>IF(AND($A23="Yes",$B23&lt;&gt;"",$C23&lt;&gt;"",$D23&lt;&gt;"",COUNTIF(NOCs!$T$5:$T$44,$B23)=1,COUNTIF($C$5:$C$64,$C23)=1),COUNT($V$4:V22)+1,"")</x:f>
      </x:c>
      <x:c r="W23" t="str">
        <x:f>IF($V23="","","LOCINPUT|"&amp;TEXT($V23,"000"))</x:f>
      </x:c>
      <x:c r="X23" t="str">
        <x:f>IF($V23="","",$C23)</x:f>
      </x:c>
    </x:row>
    <x:row r="24">
      <x:c r="A24" s="178" t="str">
        <x:v>No</x:v>
      </x:c>
      <x:c r="B24" s="178" t="str"/>
      <x:c r="C24" s="178" t="str">
        <x:v>LOC_020</x:v>
      </x:c>
      <x:c r="D24" s="178" t="str">
        <x:v>Location 020</x:v>
      </x:c>
      <x:c r="E24" s="178" t="n">
        <x:v>200</x:v>
      </x:c>
      <x:c r="F24" s="179" t="str">
        <x:f>IF(A24&lt;&gt;"Yes","",IF(H24=0,"","("&amp;IFERROR(VLOOKUP(C24&amp;"|"&amp;TEXT(H24,"000"),'Scope Rules'!$J$5:$K$104,2,FALSE),"")&amp;")"))</x:f>
      </x:c>
      <x:c r="G24" s="179" t="str">
        <x:f>IF(OR(A24&lt;&gt;"Yes",F24=""),"","{""label"":"""&amp;D24&amp;""",""value"":"""&amp;SUBSTITUTE(F24,CHAR(34),"\"&amp;CHAR(34))&amp;"""}")</x:f>
      </x:c>
      <x:c r="H24" s="179" t="n">
        <x:f>IF($C24="","",COUNTIFS('Scope Rules'!$H$5:$H$104,"OK",'Scope Rules'!$B$5:$B$104,$C24))</x:f>
        <x:v>0</x:v>
      </x:c>
      <x:c r="I24" s="179" t="str">
        <x:f>IF($A24&lt;&gt;"Yes","Disabled",IF($B24="","Missing NOC ID",IF(COUNTIFS(NOCs!$B$5:$B$44,$B24,NOCs!$A$5:$A$44,"Yes")=0,"NOC not enabled",IF($C24="","Missing Location ID",IF(COUNTIF($C$5:$C$64,$C24)&gt;1,"Duplicate Location ID",IF($D24="","Missing display name",IF(COUNTIFS($B$5:$B$64,$B24,$D$5:$D$64,$D24)&gt;1,"Duplicate display name in NOC",IF($H24=0,"No enabled rules",IF($F24="","No usable scope","OK")))))))))</x:f>
        <x:v>Disabled</x:v>
      </x:c>
      <x:c r="J24" s="178" t="str"/>
      <x:c r="K24" s="118" t="str">
        <x:f>IF($I24="OK",COUNTIFS($B$5:$B24,$B24,$I$5:$I24,"OK"),"")</x:f>
      </x:c>
      <x:c r="L24" s="118" t="str">
        <x:f>IF($K24="","",$B24&amp;"|"&amp;TEXT($K24,"000"))</x:f>
      </x:c>
      <x:c r="M24" s="24" t="str">
        <x:f>IF($I24&lt;&gt;"OK","",IF($K24=1,$F24,IFERROR(VLOOKUP($B24&amp;"|"&amp;TEXT($K24-1,"000"),$L$5:M23,2,FALSE),"")&amp;" OR "&amp;$F24))</x:f>
      </x:c>
      <x:c r="N24" s="24" t="str">
        <x:f>IF($K24="","",$B24&amp;"|"&amp;TEXT($K24,"000"))</x:f>
      </x:c>
      <x:c r="O24" s="24" t="str">
        <x:f>IF($I24="OK",$D24,"")</x:f>
      </x:c>
      <x:c r="P24" s="24" t="str">
        <x:f>IF(Generator!$E$6="","",IFERROR(VLOOKUP(Generator!$E$6&amp;"|020",$N$5:$O$64,2,FALSE),""))</x:f>
      </x:c>
      <x:c r="Q24" t="str">
        <x:f>IF($I24="OK",$B24&amp;"|"&amp;$D24,"")</x:f>
      </x:c>
      <x:c r="R24" t="str">
        <x:f>IF($I24="OK",$C24,"")</x:f>
      </x:c>
      <x:c r="S24" t="str">
        <x:f>IF($I24="OK",$F24,"")</x:f>
      </x:c>
      <x:c r="T24" t="str">
        <x:f>IF($A24&lt;&gt;"Yes","Disabled",$I24)</x:f>
        <x:v>Disabled</x:v>
      </x:c>
      <x:c r="U24" t="str">
        <x:f>IFERROR(VLOOKUP("NOCINPUT|"&amp;TEXT(ROW()-4,"000"),NOCs!$S$5:$T$44,2,FALSE),"")</x:f>
      </x:c>
      <x:c r="V24" t="str">
        <x:f>IF(AND($A24="Yes",$B24&lt;&gt;"",$C24&lt;&gt;"",$D24&lt;&gt;"",COUNTIF(NOCs!$T$5:$T$44,$B24)=1,COUNTIF($C$5:$C$64,$C24)=1),COUNT($V$4:V23)+1,"")</x:f>
      </x:c>
      <x:c r="W24" t="str">
        <x:f>IF($V24="","","LOCINPUT|"&amp;TEXT($V24,"000"))</x:f>
      </x:c>
      <x:c r="X24" t="str">
        <x:f>IF($V24="","",$C24)</x:f>
      </x:c>
    </x:row>
    <x:row r="25">
      <x:c r="A25" s="178" t="str">
        <x:v>No</x:v>
      </x:c>
      <x:c r="B25" s="178" t="str"/>
      <x:c r="C25" s="178" t="str">
        <x:v>LOC_021</x:v>
      </x:c>
      <x:c r="D25" s="178" t="str">
        <x:v>Location 021</x:v>
      </x:c>
      <x:c r="E25" s="178" t="n">
        <x:v>210</x:v>
      </x:c>
      <x:c r="F25" s="179" t="str">
        <x:f>IF(A25&lt;&gt;"Yes","",IF(H25=0,"","("&amp;IFERROR(VLOOKUP(C25&amp;"|"&amp;TEXT(H25,"000"),'Scope Rules'!$J$5:$K$104,2,FALSE),"")&amp;")"))</x:f>
      </x:c>
      <x:c r="G25" s="179" t="str">
        <x:f>IF(OR(A25&lt;&gt;"Yes",F25=""),"","{""label"":"""&amp;D25&amp;""",""value"":"""&amp;SUBSTITUTE(F25,CHAR(34),"\"&amp;CHAR(34))&amp;"""}")</x:f>
      </x:c>
      <x:c r="H25" s="179" t="n">
        <x:f>IF($C25="","",COUNTIFS('Scope Rules'!$H$5:$H$104,"OK",'Scope Rules'!$B$5:$B$104,$C25))</x:f>
        <x:v>0</x:v>
      </x:c>
      <x:c r="I25" s="179" t="str">
        <x:f>IF($A25&lt;&gt;"Yes","Disabled",IF($B25="","Missing NOC ID",IF(COUNTIFS(NOCs!$B$5:$B$44,$B25,NOCs!$A$5:$A$44,"Yes")=0,"NOC not enabled",IF($C25="","Missing Location ID",IF(COUNTIF($C$5:$C$64,$C25)&gt;1,"Duplicate Location ID",IF($D25="","Missing display name",IF(COUNTIFS($B$5:$B$64,$B25,$D$5:$D$64,$D25)&gt;1,"Duplicate display name in NOC",IF($H25=0,"No enabled rules",IF($F25="","No usable scope","OK")))))))))</x:f>
        <x:v>Disabled</x:v>
      </x:c>
      <x:c r="J25" s="178" t="str"/>
      <x:c r="K25" s="118" t="str">
        <x:f>IF($I25="OK",COUNTIFS($B$5:$B25,$B25,$I$5:$I25,"OK"),"")</x:f>
      </x:c>
      <x:c r="L25" s="118" t="str">
        <x:f>IF($K25="","",$B25&amp;"|"&amp;TEXT($K25,"000"))</x:f>
      </x:c>
      <x:c r="M25" s="24" t="str">
        <x:f>IF($I25&lt;&gt;"OK","",IF($K25=1,$F25,IFERROR(VLOOKUP($B25&amp;"|"&amp;TEXT($K25-1,"000"),$L$5:M24,2,FALSE),"")&amp;" OR "&amp;$F25))</x:f>
      </x:c>
      <x:c r="N25" s="24" t="str">
        <x:f>IF($K25="","",$B25&amp;"|"&amp;TEXT($K25,"000"))</x:f>
      </x:c>
      <x:c r="O25" s="24" t="str">
        <x:f>IF($I25="OK",$D25,"")</x:f>
      </x:c>
      <x:c r="P25" s="24" t="str">
        <x:f>IF(Generator!$E$6="","",IFERROR(VLOOKUP(Generator!$E$6&amp;"|021",$N$5:$O$64,2,FALSE),""))</x:f>
      </x:c>
      <x:c r="Q25" t="str">
        <x:f>IF($I25="OK",$B25&amp;"|"&amp;$D25,"")</x:f>
      </x:c>
      <x:c r="R25" t="str">
        <x:f>IF($I25="OK",$C25,"")</x:f>
      </x:c>
      <x:c r="S25" t="str">
        <x:f>IF($I25="OK",$F25,"")</x:f>
      </x:c>
      <x:c r="T25" t="str">
        <x:f>IF($A25&lt;&gt;"Yes","Disabled",$I25)</x:f>
        <x:v>Disabled</x:v>
      </x:c>
      <x:c r="U25" t="str">
        <x:f>IFERROR(VLOOKUP("NOCINPUT|"&amp;TEXT(ROW()-4,"000"),NOCs!$S$5:$T$44,2,FALSE),"")</x:f>
      </x:c>
      <x:c r="V25" t="str">
        <x:f>IF(AND($A25="Yes",$B25&lt;&gt;"",$C25&lt;&gt;"",$D25&lt;&gt;"",COUNTIF(NOCs!$T$5:$T$44,$B25)=1,COUNTIF($C$5:$C$64,$C25)=1),COUNT($V$4:V24)+1,"")</x:f>
      </x:c>
      <x:c r="W25" t="str">
        <x:f>IF($V25="","","LOCINPUT|"&amp;TEXT($V25,"000"))</x:f>
      </x:c>
      <x:c r="X25" t="str">
        <x:f>IF($V25="","",$C25)</x:f>
      </x:c>
    </x:row>
    <x:row r="26">
      <x:c r="A26" s="178" t="str">
        <x:v>No</x:v>
      </x:c>
      <x:c r="B26" s="178" t="str"/>
      <x:c r="C26" s="178" t="str">
        <x:v>LOC_022</x:v>
      </x:c>
      <x:c r="D26" s="178" t="str">
        <x:v>Location 022</x:v>
      </x:c>
      <x:c r="E26" s="178" t="n">
        <x:v>220</x:v>
      </x:c>
      <x:c r="F26" s="179" t="str">
        <x:f>IF(A26&lt;&gt;"Yes","",IF(H26=0,"","("&amp;IFERROR(VLOOKUP(C26&amp;"|"&amp;TEXT(H26,"000"),'Scope Rules'!$J$5:$K$104,2,FALSE),"")&amp;")"))</x:f>
      </x:c>
      <x:c r="G26" s="179" t="str">
        <x:f>IF(OR(A26&lt;&gt;"Yes",F26=""),"","{""label"":"""&amp;D26&amp;""",""value"":"""&amp;SUBSTITUTE(F26,CHAR(34),"\"&amp;CHAR(34))&amp;"""}")</x:f>
      </x:c>
      <x:c r="H26" s="179" t="n">
        <x:f>IF($C26="","",COUNTIFS('Scope Rules'!$H$5:$H$104,"OK",'Scope Rules'!$B$5:$B$104,$C26))</x:f>
        <x:v>0</x:v>
      </x:c>
      <x:c r="I26" s="179" t="str">
        <x:f>IF($A26&lt;&gt;"Yes","Disabled",IF($B26="","Missing NOC ID",IF(COUNTIFS(NOCs!$B$5:$B$44,$B26,NOCs!$A$5:$A$44,"Yes")=0,"NOC not enabled",IF($C26="","Missing Location ID",IF(COUNTIF($C$5:$C$64,$C26)&gt;1,"Duplicate Location ID",IF($D26="","Missing display name",IF(COUNTIFS($B$5:$B$64,$B26,$D$5:$D$64,$D26)&gt;1,"Duplicate display name in NOC",IF($H26=0,"No enabled rules",IF($F26="","No usable scope","OK")))))))))</x:f>
        <x:v>Disabled</x:v>
      </x:c>
      <x:c r="J26" s="178" t="str"/>
      <x:c r="K26" s="118" t="str">
        <x:f>IF($I26="OK",COUNTIFS($B$5:$B26,$B26,$I$5:$I26,"OK"),"")</x:f>
      </x:c>
      <x:c r="L26" s="118" t="str">
        <x:f>IF($K26="","",$B26&amp;"|"&amp;TEXT($K26,"000"))</x:f>
      </x:c>
      <x:c r="M26" s="24" t="str">
        <x:f>IF($I26&lt;&gt;"OK","",IF($K26=1,$F26,IFERROR(VLOOKUP($B26&amp;"|"&amp;TEXT($K26-1,"000"),$L$5:M25,2,FALSE),"")&amp;" OR "&amp;$F26))</x:f>
      </x:c>
      <x:c r="N26" s="24" t="str">
        <x:f>IF($K26="","",$B26&amp;"|"&amp;TEXT($K26,"000"))</x:f>
      </x:c>
      <x:c r="O26" s="24" t="str">
        <x:f>IF($I26="OK",$D26,"")</x:f>
      </x:c>
      <x:c r="P26" s="24" t="str">
        <x:f>IF(Generator!$E$6="","",IFERROR(VLOOKUP(Generator!$E$6&amp;"|022",$N$5:$O$64,2,FALSE),""))</x:f>
      </x:c>
      <x:c r="Q26" t="str">
        <x:f>IF($I26="OK",$B26&amp;"|"&amp;$D26,"")</x:f>
      </x:c>
      <x:c r="R26" t="str">
        <x:f>IF($I26="OK",$C26,"")</x:f>
      </x:c>
      <x:c r="S26" t="str">
        <x:f>IF($I26="OK",$F26,"")</x:f>
      </x:c>
      <x:c r="T26" t="str">
        <x:f>IF($A26&lt;&gt;"Yes","Disabled",$I26)</x:f>
        <x:v>Disabled</x:v>
      </x:c>
      <x:c r="U26" t="str">
        <x:f>IFERROR(VLOOKUP("NOCINPUT|"&amp;TEXT(ROW()-4,"000"),NOCs!$S$5:$T$44,2,FALSE),"")</x:f>
      </x:c>
      <x:c r="V26" t="str">
        <x:f>IF(AND($A26="Yes",$B26&lt;&gt;"",$C26&lt;&gt;"",$D26&lt;&gt;"",COUNTIF(NOCs!$T$5:$T$44,$B26)=1,COUNTIF($C$5:$C$64,$C26)=1),COUNT($V$4:V25)+1,"")</x:f>
      </x:c>
      <x:c r="W26" t="str">
        <x:f>IF($V26="","","LOCINPUT|"&amp;TEXT($V26,"000"))</x:f>
      </x:c>
      <x:c r="X26" t="str">
        <x:f>IF($V26="","",$C26)</x:f>
      </x:c>
    </x:row>
    <x:row r="27">
      <x:c r="A27" s="178" t="str">
        <x:v>No</x:v>
      </x:c>
      <x:c r="B27" s="178" t="str"/>
      <x:c r="C27" s="178" t="str">
        <x:v>LOC_023</x:v>
      </x:c>
      <x:c r="D27" s="178" t="str">
        <x:v>Location 023</x:v>
      </x:c>
      <x:c r="E27" s="178" t="n">
        <x:v>230</x:v>
      </x:c>
      <x:c r="F27" s="179" t="str">
        <x:f>IF(A27&lt;&gt;"Yes","",IF(H27=0,"","("&amp;IFERROR(VLOOKUP(C27&amp;"|"&amp;TEXT(H27,"000"),'Scope Rules'!$J$5:$K$104,2,FALSE),"")&amp;")"))</x:f>
      </x:c>
      <x:c r="G27" s="179" t="str">
        <x:f>IF(OR(A27&lt;&gt;"Yes",F27=""),"","{""label"":"""&amp;D27&amp;""",""value"":"""&amp;SUBSTITUTE(F27,CHAR(34),"\"&amp;CHAR(34))&amp;"""}")</x:f>
      </x:c>
      <x:c r="H27" s="179" t="n">
        <x:f>IF($C27="","",COUNTIFS('Scope Rules'!$H$5:$H$104,"OK",'Scope Rules'!$B$5:$B$104,$C27))</x:f>
        <x:v>0</x:v>
      </x:c>
      <x:c r="I27" s="179" t="str">
        <x:f>IF($A27&lt;&gt;"Yes","Disabled",IF($B27="","Missing NOC ID",IF(COUNTIFS(NOCs!$B$5:$B$44,$B27,NOCs!$A$5:$A$44,"Yes")=0,"NOC not enabled",IF($C27="","Missing Location ID",IF(COUNTIF($C$5:$C$64,$C27)&gt;1,"Duplicate Location ID",IF($D27="","Missing display name",IF(COUNTIFS($B$5:$B$64,$B27,$D$5:$D$64,$D27)&gt;1,"Duplicate display name in NOC",IF($H27=0,"No enabled rules",IF($F27="","No usable scope","OK")))))))))</x:f>
        <x:v>Disabled</x:v>
      </x:c>
      <x:c r="J27" s="178" t="str"/>
      <x:c r="K27" s="118" t="str">
        <x:f>IF($I27="OK",COUNTIFS($B$5:$B27,$B27,$I$5:$I27,"OK"),"")</x:f>
      </x:c>
      <x:c r="L27" s="118" t="str">
        <x:f>IF($K27="","",$B27&amp;"|"&amp;TEXT($K27,"000"))</x:f>
      </x:c>
      <x:c r="M27" s="24" t="str">
        <x:f>IF($I27&lt;&gt;"OK","",IF($K27=1,$F27,IFERROR(VLOOKUP($B27&amp;"|"&amp;TEXT($K27-1,"000"),$L$5:M26,2,FALSE),"")&amp;" OR "&amp;$F27))</x:f>
      </x:c>
      <x:c r="N27" s="24" t="str">
        <x:f>IF($K27="","",$B27&amp;"|"&amp;TEXT($K27,"000"))</x:f>
      </x:c>
      <x:c r="O27" s="24" t="str">
        <x:f>IF($I27="OK",$D27,"")</x:f>
      </x:c>
      <x:c r="P27" s="24" t="str">
        <x:f>IF(Generator!$E$6="","",IFERROR(VLOOKUP(Generator!$E$6&amp;"|023",$N$5:$O$64,2,FALSE),""))</x:f>
      </x:c>
      <x:c r="Q27" t="str">
        <x:f>IF($I27="OK",$B27&amp;"|"&amp;$D27,"")</x:f>
      </x:c>
      <x:c r="R27" t="str">
        <x:f>IF($I27="OK",$C27,"")</x:f>
      </x:c>
      <x:c r="S27" t="str">
        <x:f>IF($I27="OK",$F27,"")</x:f>
      </x:c>
      <x:c r="T27" t="str">
        <x:f>IF($A27&lt;&gt;"Yes","Disabled",$I27)</x:f>
        <x:v>Disabled</x:v>
      </x:c>
      <x:c r="U27" t="str">
        <x:f>IFERROR(VLOOKUP("NOCINPUT|"&amp;TEXT(ROW()-4,"000"),NOCs!$S$5:$T$44,2,FALSE),"")</x:f>
      </x:c>
      <x:c r="V27" t="str">
        <x:f>IF(AND($A27="Yes",$B27&lt;&gt;"",$C27&lt;&gt;"",$D27&lt;&gt;"",COUNTIF(NOCs!$T$5:$T$44,$B27)=1,COUNTIF($C$5:$C$64,$C27)=1),COUNT($V$4:V26)+1,"")</x:f>
      </x:c>
      <x:c r="W27" t="str">
        <x:f>IF($V27="","","LOCINPUT|"&amp;TEXT($V27,"000"))</x:f>
      </x:c>
      <x:c r="X27" t="str">
        <x:f>IF($V27="","",$C27)</x:f>
      </x:c>
    </x:row>
    <x:row r="28">
      <x:c r="A28" s="178" t="str">
        <x:v>No</x:v>
      </x:c>
      <x:c r="B28" s="178" t="str"/>
      <x:c r="C28" s="178" t="str">
        <x:v>LOC_024</x:v>
      </x:c>
      <x:c r="D28" s="178" t="str">
        <x:v>Location 024</x:v>
      </x:c>
      <x:c r="E28" s="178" t="n">
        <x:v>240</x:v>
      </x:c>
      <x:c r="F28" s="179" t="str">
        <x:f>IF(A28&lt;&gt;"Yes","",IF(H28=0,"","("&amp;IFERROR(VLOOKUP(C28&amp;"|"&amp;TEXT(H28,"000"),'Scope Rules'!$J$5:$K$104,2,FALSE),"")&amp;")"))</x:f>
      </x:c>
      <x:c r="G28" s="179" t="str">
        <x:f>IF(OR(A28&lt;&gt;"Yes",F28=""),"","{""label"":"""&amp;D28&amp;""",""value"":"""&amp;SUBSTITUTE(F28,CHAR(34),"\"&amp;CHAR(34))&amp;"""}")</x:f>
      </x:c>
      <x:c r="H28" s="179" t="n">
        <x:f>IF($C28="","",COUNTIFS('Scope Rules'!$H$5:$H$104,"OK",'Scope Rules'!$B$5:$B$104,$C28))</x:f>
        <x:v>0</x:v>
      </x:c>
      <x:c r="I28" s="179" t="str">
        <x:f>IF($A28&lt;&gt;"Yes","Disabled",IF($B28="","Missing NOC ID",IF(COUNTIFS(NOCs!$B$5:$B$44,$B28,NOCs!$A$5:$A$44,"Yes")=0,"NOC not enabled",IF($C28="","Missing Location ID",IF(COUNTIF($C$5:$C$64,$C28)&gt;1,"Duplicate Location ID",IF($D28="","Missing display name",IF(COUNTIFS($B$5:$B$64,$B28,$D$5:$D$64,$D28)&gt;1,"Duplicate display name in NOC",IF($H28=0,"No enabled rules",IF($F28="","No usable scope","OK")))))))))</x:f>
        <x:v>Disabled</x:v>
      </x:c>
      <x:c r="J28" s="178" t="str"/>
      <x:c r="K28" s="118" t="str">
        <x:f>IF($I28="OK",COUNTIFS($B$5:$B28,$B28,$I$5:$I28,"OK"),"")</x:f>
      </x:c>
      <x:c r="L28" s="118" t="str">
        <x:f>IF($K28="","",$B28&amp;"|"&amp;TEXT($K28,"000"))</x:f>
      </x:c>
      <x:c r="M28" s="24" t="str">
        <x:f>IF($I28&lt;&gt;"OK","",IF($K28=1,$F28,IFERROR(VLOOKUP($B28&amp;"|"&amp;TEXT($K28-1,"000"),$L$5:M27,2,FALSE),"")&amp;" OR "&amp;$F28))</x:f>
      </x:c>
      <x:c r="N28" s="24" t="str">
        <x:f>IF($K28="","",$B28&amp;"|"&amp;TEXT($K28,"000"))</x:f>
      </x:c>
      <x:c r="O28" s="24" t="str">
        <x:f>IF($I28="OK",$D28,"")</x:f>
      </x:c>
      <x:c r="P28" s="24" t="str">
        <x:f>IF(Generator!$E$6="","",IFERROR(VLOOKUP(Generator!$E$6&amp;"|024",$N$5:$O$64,2,FALSE),""))</x:f>
      </x:c>
      <x:c r="Q28" t="str">
        <x:f>IF($I28="OK",$B28&amp;"|"&amp;$D28,"")</x:f>
      </x:c>
      <x:c r="R28" t="str">
        <x:f>IF($I28="OK",$C28,"")</x:f>
      </x:c>
      <x:c r="S28" t="str">
        <x:f>IF($I28="OK",$F28,"")</x:f>
      </x:c>
      <x:c r="T28" t="str">
        <x:f>IF($A28&lt;&gt;"Yes","Disabled",$I28)</x:f>
        <x:v>Disabled</x:v>
      </x:c>
      <x:c r="U28" t="str">
        <x:f>IFERROR(VLOOKUP("NOCINPUT|"&amp;TEXT(ROW()-4,"000"),NOCs!$S$5:$T$44,2,FALSE),"")</x:f>
      </x:c>
      <x:c r="V28" t="str">
        <x:f>IF(AND($A28="Yes",$B28&lt;&gt;"",$C28&lt;&gt;"",$D28&lt;&gt;"",COUNTIF(NOCs!$T$5:$T$44,$B28)=1,COUNTIF($C$5:$C$64,$C28)=1),COUNT($V$4:V27)+1,"")</x:f>
      </x:c>
      <x:c r="W28" t="str">
        <x:f>IF($V28="","","LOCINPUT|"&amp;TEXT($V28,"000"))</x:f>
      </x:c>
      <x:c r="X28" t="str">
        <x:f>IF($V28="","",$C28)</x:f>
      </x:c>
    </x:row>
    <x:row r="29">
      <x:c r="A29" s="178" t="str">
        <x:v>No</x:v>
      </x:c>
      <x:c r="B29" s="178" t="str"/>
      <x:c r="C29" s="178" t="str">
        <x:v>LOC_025</x:v>
      </x:c>
      <x:c r="D29" s="178" t="str">
        <x:v>Location 025</x:v>
      </x:c>
      <x:c r="E29" s="178" t="n">
        <x:v>250</x:v>
      </x:c>
      <x:c r="F29" s="179" t="str">
        <x:f>IF(A29&lt;&gt;"Yes","",IF(H29=0,"","("&amp;IFERROR(VLOOKUP(C29&amp;"|"&amp;TEXT(H29,"000"),'Scope Rules'!$J$5:$K$104,2,FALSE),"")&amp;")"))</x:f>
      </x:c>
      <x:c r="G29" s="179" t="str">
        <x:f>IF(OR(A29&lt;&gt;"Yes",F29=""),"","{""label"":"""&amp;D29&amp;""",""value"":"""&amp;SUBSTITUTE(F29,CHAR(34),"\"&amp;CHAR(34))&amp;"""}")</x:f>
      </x:c>
      <x:c r="H29" s="179" t="n">
        <x:f>IF($C29="","",COUNTIFS('Scope Rules'!$H$5:$H$104,"OK",'Scope Rules'!$B$5:$B$104,$C29))</x:f>
        <x:v>0</x:v>
      </x:c>
      <x:c r="I29" s="179" t="str">
        <x:f>IF($A29&lt;&gt;"Yes","Disabled",IF($B29="","Missing NOC ID",IF(COUNTIFS(NOCs!$B$5:$B$44,$B29,NOCs!$A$5:$A$44,"Yes")=0,"NOC not enabled",IF($C29="","Missing Location ID",IF(COUNTIF($C$5:$C$64,$C29)&gt;1,"Duplicate Location ID",IF($D29="","Missing display name",IF(COUNTIFS($B$5:$B$64,$B29,$D$5:$D$64,$D29)&gt;1,"Duplicate display name in NOC",IF($H29=0,"No enabled rules",IF($F29="","No usable scope","OK")))))))))</x:f>
        <x:v>Disabled</x:v>
      </x:c>
      <x:c r="J29" s="178" t="str"/>
      <x:c r="K29" s="118" t="str">
        <x:f>IF($I29="OK",COUNTIFS($B$5:$B29,$B29,$I$5:$I29,"OK"),"")</x:f>
      </x:c>
      <x:c r="L29" s="118" t="str">
        <x:f>IF($K29="","",$B29&amp;"|"&amp;TEXT($K29,"000"))</x:f>
      </x:c>
      <x:c r="M29" s="24" t="str">
        <x:f>IF($I29&lt;&gt;"OK","",IF($K29=1,$F29,IFERROR(VLOOKUP($B29&amp;"|"&amp;TEXT($K29-1,"000"),$L$5:M28,2,FALSE),"")&amp;" OR "&amp;$F29))</x:f>
      </x:c>
      <x:c r="N29" s="24" t="str">
        <x:f>IF($K29="","",$B29&amp;"|"&amp;TEXT($K29,"000"))</x:f>
      </x:c>
      <x:c r="O29" s="24" t="str">
        <x:f>IF($I29="OK",$D29,"")</x:f>
      </x:c>
      <x:c r="P29" s="24" t="str">
        <x:f>IF(Generator!$E$6="","",IFERROR(VLOOKUP(Generator!$E$6&amp;"|025",$N$5:$O$64,2,FALSE),""))</x:f>
      </x:c>
      <x:c r="Q29" t="str">
        <x:f>IF($I29="OK",$B29&amp;"|"&amp;$D29,"")</x:f>
      </x:c>
      <x:c r="R29" t="str">
        <x:f>IF($I29="OK",$C29,"")</x:f>
      </x:c>
      <x:c r="S29" t="str">
        <x:f>IF($I29="OK",$F29,"")</x:f>
      </x:c>
      <x:c r="T29" t="str">
        <x:f>IF($A29&lt;&gt;"Yes","Disabled",$I29)</x:f>
        <x:v>Disabled</x:v>
      </x:c>
      <x:c r="U29" t="str">
        <x:f>IFERROR(VLOOKUP("NOCINPUT|"&amp;TEXT(ROW()-4,"000"),NOCs!$S$5:$T$44,2,FALSE),"")</x:f>
      </x:c>
      <x:c r="V29" t="str">
        <x:f>IF(AND($A29="Yes",$B29&lt;&gt;"",$C29&lt;&gt;"",$D29&lt;&gt;"",COUNTIF(NOCs!$T$5:$T$44,$B29)=1,COUNTIF($C$5:$C$64,$C29)=1),COUNT($V$4:V28)+1,"")</x:f>
      </x:c>
      <x:c r="W29" t="str">
        <x:f>IF($V29="","","LOCINPUT|"&amp;TEXT($V29,"000"))</x:f>
      </x:c>
      <x:c r="X29" t="str">
        <x:f>IF($V29="","",$C29)</x:f>
      </x:c>
    </x:row>
    <x:row r="30">
      <x:c r="A30" s="178" t="str">
        <x:v>No</x:v>
      </x:c>
      <x:c r="B30" s="178" t="str"/>
      <x:c r="C30" s="178" t="str">
        <x:v>LOC_026</x:v>
      </x:c>
      <x:c r="D30" s="178" t="str">
        <x:v>Location 026</x:v>
      </x:c>
      <x:c r="E30" s="178" t="n">
        <x:v>260</x:v>
      </x:c>
      <x:c r="F30" s="179" t="str">
        <x:f>IF(A30&lt;&gt;"Yes","",IF(H30=0,"","("&amp;IFERROR(VLOOKUP(C30&amp;"|"&amp;TEXT(H30,"000"),'Scope Rules'!$J$5:$K$104,2,FALSE),"")&amp;")"))</x:f>
      </x:c>
      <x:c r="G30" s="179" t="str">
        <x:f>IF(OR(A30&lt;&gt;"Yes",F30=""),"","{""label"":"""&amp;D30&amp;""",""value"":"""&amp;SUBSTITUTE(F30,CHAR(34),"\"&amp;CHAR(34))&amp;"""}")</x:f>
      </x:c>
      <x:c r="H30" s="179" t="n">
        <x:f>IF($C30="","",COUNTIFS('Scope Rules'!$H$5:$H$104,"OK",'Scope Rules'!$B$5:$B$104,$C30))</x:f>
        <x:v>0</x:v>
      </x:c>
      <x:c r="I30" s="179" t="str">
        <x:f>IF($A30&lt;&gt;"Yes","Disabled",IF($B30="","Missing NOC ID",IF(COUNTIFS(NOCs!$B$5:$B$44,$B30,NOCs!$A$5:$A$44,"Yes")=0,"NOC not enabled",IF($C30="","Missing Location ID",IF(COUNTIF($C$5:$C$64,$C30)&gt;1,"Duplicate Location ID",IF($D30="","Missing display name",IF(COUNTIFS($B$5:$B$64,$B30,$D$5:$D$64,$D30)&gt;1,"Duplicate display name in NOC",IF($H30=0,"No enabled rules",IF($F30="","No usable scope","OK")))))))))</x:f>
        <x:v>Disabled</x:v>
      </x:c>
      <x:c r="J30" s="178" t="str"/>
      <x:c r="K30" s="118" t="str">
        <x:f>IF($I30="OK",COUNTIFS($B$5:$B30,$B30,$I$5:$I30,"OK"),"")</x:f>
      </x:c>
      <x:c r="L30" s="118" t="str">
        <x:f>IF($K30="","",$B30&amp;"|"&amp;TEXT($K30,"000"))</x:f>
      </x:c>
      <x:c r="M30" s="24" t="str">
        <x:f>IF($I30&lt;&gt;"OK","",IF($K30=1,$F30,IFERROR(VLOOKUP($B30&amp;"|"&amp;TEXT($K30-1,"000"),$L$5:M29,2,FALSE),"")&amp;" OR "&amp;$F30))</x:f>
      </x:c>
      <x:c r="N30" s="24" t="str">
        <x:f>IF($K30="","",$B30&amp;"|"&amp;TEXT($K30,"000"))</x:f>
      </x:c>
      <x:c r="O30" s="24" t="str">
        <x:f>IF($I30="OK",$D30,"")</x:f>
      </x:c>
      <x:c r="P30" s="24" t="str">
        <x:f>IF(Generator!$E$6="","",IFERROR(VLOOKUP(Generator!$E$6&amp;"|026",$N$5:$O$64,2,FALSE),""))</x:f>
      </x:c>
      <x:c r="Q30" t="str">
        <x:f>IF($I30="OK",$B30&amp;"|"&amp;$D30,"")</x:f>
      </x:c>
      <x:c r="R30" t="str">
        <x:f>IF($I30="OK",$C30,"")</x:f>
      </x:c>
      <x:c r="S30" t="str">
        <x:f>IF($I30="OK",$F30,"")</x:f>
      </x:c>
      <x:c r="T30" t="str">
        <x:f>IF($A30&lt;&gt;"Yes","Disabled",$I30)</x:f>
        <x:v>Disabled</x:v>
      </x:c>
      <x:c r="U30" t="str">
        <x:f>IFERROR(VLOOKUP("NOCINPUT|"&amp;TEXT(ROW()-4,"000"),NOCs!$S$5:$T$44,2,FALSE),"")</x:f>
      </x:c>
      <x:c r="V30" t="str">
        <x:f>IF(AND($A30="Yes",$B30&lt;&gt;"",$C30&lt;&gt;"",$D30&lt;&gt;"",COUNTIF(NOCs!$T$5:$T$44,$B30)=1,COUNTIF($C$5:$C$64,$C30)=1),COUNT($V$4:V29)+1,"")</x:f>
      </x:c>
      <x:c r="W30" t="str">
        <x:f>IF($V30="","","LOCINPUT|"&amp;TEXT($V30,"000"))</x:f>
      </x:c>
      <x:c r="X30" t="str">
        <x:f>IF($V30="","",$C30)</x:f>
      </x:c>
    </x:row>
    <x:row r="31">
      <x:c r="A31" s="178" t="str">
        <x:v>No</x:v>
      </x:c>
      <x:c r="B31" s="178" t="str"/>
      <x:c r="C31" s="178" t="str">
        <x:v>LOC_027</x:v>
      </x:c>
      <x:c r="D31" s="178" t="str">
        <x:v>Location 027</x:v>
      </x:c>
      <x:c r="E31" s="178" t="n">
        <x:v>270</x:v>
      </x:c>
      <x:c r="F31" s="179" t="str">
        <x:f>IF(A31&lt;&gt;"Yes","",IF(H31=0,"","("&amp;IFERROR(VLOOKUP(C31&amp;"|"&amp;TEXT(H31,"000"),'Scope Rules'!$J$5:$K$104,2,FALSE),"")&amp;")"))</x:f>
      </x:c>
      <x:c r="G31" s="179" t="str">
        <x:f>IF(OR(A31&lt;&gt;"Yes",F31=""),"","{""label"":"""&amp;D31&amp;""",""value"":"""&amp;SUBSTITUTE(F31,CHAR(34),"\"&amp;CHAR(34))&amp;"""}")</x:f>
      </x:c>
      <x:c r="H31" s="179" t="n">
        <x:f>IF($C31="","",COUNTIFS('Scope Rules'!$H$5:$H$104,"OK",'Scope Rules'!$B$5:$B$104,$C31))</x:f>
        <x:v>0</x:v>
      </x:c>
      <x:c r="I31" s="179" t="str">
        <x:f>IF($A31&lt;&gt;"Yes","Disabled",IF($B31="","Missing NOC ID",IF(COUNTIFS(NOCs!$B$5:$B$44,$B31,NOCs!$A$5:$A$44,"Yes")=0,"NOC not enabled",IF($C31="","Missing Location ID",IF(COUNTIF($C$5:$C$64,$C31)&gt;1,"Duplicate Location ID",IF($D31="","Missing display name",IF(COUNTIFS($B$5:$B$64,$B31,$D$5:$D$64,$D31)&gt;1,"Duplicate display name in NOC",IF($H31=0,"No enabled rules",IF($F31="","No usable scope","OK")))))))))</x:f>
        <x:v>Disabled</x:v>
      </x:c>
      <x:c r="J31" s="178" t="str"/>
      <x:c r="K31" s="118" t="str">
        <x:f>IF($I31="OK",COUNTIFS($B$5:$B31,$B31,$I$5:$I31,"OK"),"")</x:f>
      </x:c>
      <x:c r="L31" s="118" t="str">
        <x:f>IF($K31="","",$B31&amp;"|"&amp;TEXT($K31,"000"))</x:f>
      </x:c>
      <x:c r="M31" s="24" t="str">
        <x:f>IF($I31&lt;&gt;"OK","",IF($K31=1,$F31,IFERROR(VLOOKUP($B31&amp;"|"&amp;TEXT($K31-1,"000"),$L$5:M30,2,FALSE),"")&amp;" OR "&amp;$F31))</x:f>
      </x:c>
      <x:c r="N31" s="24" t="str">
        <x:f>IF($K31="","",$B31&amp;"|"&amp;TEXT($K31,"000"))</x:f>
      </x:c>
      <x:c r="O31" s="24" t="str">
        <x:f>IF($I31="OK",$D31,"")</x:f>
      </x:c>
      <x:c r="P31" s="24" t="str">
        <x:f>IF(Generator!$E$6="","",IFERROR(VLOOKUP(Generator!$E$6&amp;"|027",$N$5:$O$64,2,FALSE),""))</x:f>
      </x:c>
      <x:c r="Q31" t="str">
        <x:f>IF($I31="OK",$B31&amp;"|"&amp;$D31,"")</x:f>
      </x:c>
      <x:c r="R31" t="str">
        <x:f>IF($I31="OK",$C31,"")</x:f>
      </x:c>
      <x:c r="S31" t="str">
        <x:f>IF($I31="OK",$F31,"")</x:f>
      </x:c>
      <x:c r="T31" t="str">
        <x:f>IF($A31&lt;&gt;"Yes","Disabled",$I31)</x:f>
        <x:v>Disabled</x:v>
      </x:c>
      <x:c r="U31" t="str">
        <x:f>IFERROR(VLOOKUP("NOCINPUT|"&amp;TEXT(ROW()-4,"000"),NOCs!$S$5:$T$44,2,FALSE),"")</x:f>
      </x:c>
      <x:c r="V31" t="str">
        <x:f>IF(AND($A31="Yes",$B31&lt;&gt;"",$C31&lt;&gt;"",$D31&lt;&gt;"",COUNTIF(NOCs!$T$5:$T$44,$B31)=1,COUNTIF($C$5:$C$64,$C31)=1),COUNT($V$4:V30)+1,"")</x:f>
      </x:c>
      <x:c r="W31" t="str">
        <x:f>IF($V31="","","LOCINPUT|"&amp;TEXT($V31,"000"))</x:f>
      </x:c>
      <x:c r="X31" t="str">
        <x:f>IF($V31="","",$C31)</x:f>
      </x:c>
    </x:row>
    <x:row r="32">
      <x:c r="A32" s="178" t="str">
        <x:v>No</x:v>
      </x:c>
      <x:c r="B32" s="178" t="str"/>
      <x:c r="C32" s="178" t="str">
        <x:v>LOC_028</x:v>
      </x:c>
      <x:c r="D32" s="178" t="str">
        <x:v>Location 028</x:v>
      </x:c>
      <x:c r="E32" s="178" t="n">
        <x:v>280</x:v>
      </x:c>
      <x:c r="F32" s="179" t="str">
        <x:f>IF(A32&lt;&gt;"Yes","",IF(H32=0,"","("&amp;IFERROR(VLOOKUP(C32&amp;"|"&amp;TEXT(H32,"000"),'Scope Rules'!$J$5:$K$104,2,FALSE),"")&amp;")"))</x:f>
      </x:c>
      <x:c r="G32" s="179" t="str">
        <x:f>IF(OR(A32&lt;&gt;"Yes",F32=""),"","{""label"":"""&amp;D32&amp;""",""value"":"""&amp;SUBSTITUTE(F32,CHAR(34),"\"&amp;CHAR(34))&amp;"""}")</x:f>
      </x:c>
      <x:c r="H32" s="179" t="n">
        <x:f>IF($C32="","",COUNTIFS('Scope Rules'!$H$5:$H$104,"OK",'Scope Rules'!$B$5:$B$104,$C32))</x:f>
        <x:v>0</x:v>
      </x:c>
      <x:c r="I32" s="179" t="str">
        <x:f>IF($A32&lt;&gt;"Yes","Disabled",IF($B32="","Missing NOC ID",IF(COUNTIFS(NOCs!$B$5:$B$44,$B32,NOCs!$A$5:$A$44,"Yes")=0,"NOC not enabled",IF($C32="","Missing Location ID",IF(COUNTIF($C$5:$C$64,$C32)&gt;1,"Duplicate Location ID",IF($D32="","Missing display name",IF(COUNTIFS($B$5:$B$64,$B32,$D$5:$D$64,$D32)&gt;1,"Duplicate display name in NOC",IF($H32=0,"No enabled rules",IF($F32="","No usable scope","OK")))))))))</x:f>
        <x:v>Disabled</x:v>
      </x:c>
      <x:c r="J32" s="178" t="str"/>
      <x:c r="K32" s="118" t="str">
        <x:f>IF($I32="OK",COUNTIFS($B$5:$B32,$B32,$I$5:$I32,"OK"),"")</x:f>
      </x:c>
      <x:c r="L32" s="118" t="str">
        <x:f>IF($K32="","",$B32&amp;"|"&amp;TEXT($K32,"000"))</x:f>
      </x:c>
      <x:c r="M32" s="24" t="str">
        <x:f>IF($I32&lt;&gt;"OK","",IF($K32=1,$F32,IFERROR(VLOOKUP($B32&amp;"|"&amp;TEXT($K32-1,"000"),$L$5:M31,2,FALSE),"")&amp;" OR "&amp;$F32))</x:f>
      </x:c>
      <x:c r="N32" s="24" t="str">
        <x:f>IF($K32="","",$B32&amp;"|"&amp;TEXT($K32,"000"))</x:f>
      </x:c>
      <x:c r="O32" s="24" t="str">
        <x:f>IF($I32="OK",$D32,"")</x:f>
      </x:c>
      <x:c r="P32" s="24" t="str">
        <x:f>IF(Generator!$E$6="","",IFERROR(VLOOKUP(Generator!$E$6&amp;"|028",$N$5:$O$64,2,FALSE),""))</x:f>
      </x:c>
      <x:c r="Q32" t="str">
        <x:f>IF($I32="OK",$B32&amp;"|"&amp;$D32,"")</x:f>
      </x:c>
      <x:c r="R32" t="str">
        <x:f>IF($I32="OK",$C32,"")</x:f>
      </x:c>
      <x:c r="S32" t="str">
        <x:f>IF($I32="OK",$F32,"")</x:f>
      </x:c>
      <x:c r="T32" t="str">
        <x:f>IF($A32&lt;&gt;"Yes","Disabled",$I32)</x:f>
        <x:v>Disabled</x:v>
      </x:c>
      <x:c r="U32" t="str">
        <x:f>IFERROR(VLOOKUP("NOCINPUT|"&amp;TEXT(ROW()-4,"000"),NOCs!$S$5:$T$44,2,FALSE),"")</x:f>
      </x:c>
      <x:c r="V32" t="str">
        <x:f>IF(AND($A32="Yes",$B32&lt;&gt;"",$C32&lt;&gt;"",$D32&lt;&gt;"",COUNTIF(NOCs!$T$5:$T$44,$B32)=1,COUNTIF($C$5:$C$64,$C32)=1),COUNT($V$4:V31)+1,"")</x:f>
      </x:c>
      <x:c r="W32" t="str">
        <x:f>IF($V32="","","LOCINPUT|"&amp;TEXT($V32,"000"))</x:f>
      </x:c>
      <x:c r="X32" t="str">
        <x:f>IF($V32="","",$C32)</x:f>
      </x:c>
    </x:row>
    <x:row r="33">
      <x:c r="A33" s="178" t="str">
        <x:v>No</x:v>
      </x:c>
      <x:c r="B33" s="178" t="str"/>
      <x:c r="C33" s="178" t="str">
        <x:v>LOC_029</x:v>
      </x:c>
      <x:c r="D33" s="178" t="str">
        <x:v>Location 029</x:v>
      </x:c>
      <x:c r="E33" s="178" t="n">
        <x:v>290</x:v>
      </x:c>
      <x:c r="F33" s="179" t="str">
        <x:f>IF(A33&lt;&gt;"Yes","",IF(H33=0,"","("&amp;IFERROR(VLOOKUP(C33&amp;"|"&amp;TEXT(H33,"000"),'Scope Rules'!$J$5:$K$104,2,FALSE),"")&amp;")"))</x:f>
      </x:c>
      <x:c r="G33" s="179" t="str">
        <x:f>IF(OR(A33&lt;&gt;"Yes",F33=""),"","{""label"":"""&amp;D33&amp;""",""value"":"""&amp;SUBSTITUTE(F33,CHAR(34),"\"&amp;CHAR(34))&amp;"""}")</x:f>
      </x:c>
      <x:c r="H33" s="179" t="n">
        <x:f>IF($C33="","",COUNTIFS('Scope Rules'!$H$5:$H$104,"OK",'Scope Rules'!$B$5:$B$104,$C33))</x:f>
        <x:v>0</x:v>
      </x:c>
      <x:c r="I33" s="179" t="str">
        <x:f>IF($A33&lt;&gt;"Yes","Disabled",IF($B33="","Missing NOC ID",IF(COUNTIFS(NOCs!$B$5:$B$44,$B33,NOCs!$A$5:$A$44,"Yes")=0,"NOC not enabled",IF($C33="","Missing Location ID",IF(COUNTIF($C$5:$C$64,$C33)&gt;1,"Duplicate Location ID",IF($D33="","Missing display name",IF(COUNTIFS($B$5:$B$64,$B33,$D$5:$D$64,$D33)&gt;1,"Duplicate display name in NOC",IF($H33=0,"No enabled rules",IF($F33="","No usable scope","OK")))))))))</x:f>
        <x:v>Disabled</x:v>
      </x:c>
      <x:c r="J33" s="178" t="str"/>
      <x:c r="K33" s="118" t="str">
        <x:f>IF($I33="OK",COUNTIFS($B$5:$B33,$B33,$I$5:$I33,"OK"),"")</x:f>
      </x:c>
      <x:c r="L33" s="118" t="str">
        <x:f>IF($K33="","",$B33&amp;"|"&amp;TEXT($K33,"000"))</x:f>
      </x:c>
      <x:c r="M33" s="24" t="str">
        <x:f>IF($I33&lt;&gt;"OK","",IF($K33=1,$F33,IFERROR(VLOOKUP($B33&amp;"|"&amp;TEXT($K33-1,"000"),$L$5:M32,2,FALSE),"")&amp;" OR "&amp;$F33))</x:f>
      </x:c>
      <x:c r="N33" s="24" t="str">
        <x:f>IF($K33="","",$B33&amp;"|"&amp;TEXT($K33,"000"))</x:f>
      </x:c>
      <x:c r="O33" s="24" t="str">
        <x:f>IF($I33="OK",$D33,"")</x:f>
      </x:c>
      <x:c r="P33" s="24" t="str">
        <x:f>IF(Generator!$E$6="","",IFERROR(VLOOKUP(Generator!$E$6&amp;"|029",$N$5:$O$64,2,FALSE),""))</x:f>
      </x:c>
      <x:c r="Q33" t="str">
        <x:f>IF($I33="OK",$B33&amp;"|"&amp;$D33,"")</x:f>
      </x:c>
      <x:c r="R33" t="str">
        <x:f>IF($I33="OK",$C33,"")</x:f>
      </x:c>
      <x:c r="S33" t="str">
        <x:f>IF($I33="OK",$F33,"")</x:f>
      </x:c>
      <x:c r="T33" t="str">
        <x:f>IF($A33&lt;&gt;"Yes","Disabled",$I33)</x:f>
        <x:v>Disabled</x:v>
      </x:c>
      <x:c r="U33" t="str">
        <x:f>IFERROR(VLOOKUP("NOCINPUT|"&amp;TEXT(ROW()-4,"000"),NOCs!$S$5:$T$44,2,FALSE),"")</x:f>
      </x:c>
      <x:c r="V33" t="str">
        <x:f>IF(AND($A33="Yes",$B33&lt;&gt;"",$C33&lt;&gt;"",$D33&lt;&gt;"",COUNTIF(NOCs!$T$5:$T$44,$B33)=1,COUNTIF($C$5:$C$64,$C33)=1),COUNT($V$4:V32)+1,"")</x:f>
      </x:c>
      <x:c r="W33" t="str">
        <x:f>IF($V33="","","LOCINPUT|"&amp;TEXT($V33,"000"))</x:f>
      </x:c>
      <x:c r="X33" t="str">
        <x:f>IF($V33="","",$C33)</x:f>
      </x:c>
    </x:row>
    <x:row r="34">
      <x:c r="A34" s="178" t="str">
        <x:v>No</x:v>
      </x:c>
      <x:c r="B34" s="178" t="str"/>
      <x:c r="C34" s="178" t="str">
        <x:v>LOC_030</x:v>
      </x:c>
      <x:c r="D34" s="178" t="str">
        <x:v>Location 030</x:v>
      </x:c>
      <x:c r="E34" s="178" t="n">
        <x:v>300</x:v>
      </x:c>
      <x:c r="F34" s="179" t="str">
        <x:f>IF(A34&lt;&gt;"Yes","",IF(H34=0,"","("&amp;IFERROR(VLOOKUP(C34&amp;"|"&amp;TEXT(H34,"000"),'Scope Rules'!$J$5:$K$104,2,FALSE),"")&amp;")"))</x:f>
      </x:c>
      <x:c r="G34" s="179" t="str">
        <x:f>IF(OR(A34&lt;&gt;"Yes",F34=""),"","{""label"":"""&amp;D34&amp;""",""value"":"""&amp;SUBSTITUTE(F34,CHAR(34),"\"&amp;CHAR(34))&amp;"""}")</x:f>
      </x:c>
      <x:c r="H34" s="179" t="n">
        <x:f>IF($C34="","",COUNTIFS('Scope Rules'!$H$5:$H$104,"OK",'Scope Rules'!$B$5:$B$104,$C34))</x:f>
        <x:v>0</x:v>
      </x:c>
      <x:c r="I34" s="179" t="str">
        <x:f>IF($A34&lt;&gt;"Yes","Disabled",IF($B34="","Missing NOC ID",IF(COUNTIFS(NOCs!$B$5:$B$44,$B34,NOCs!$A$5:$A$44,"Yes")=0,"NOC not enabled",IF($C34="","Missing Location ID",IF(COUNTIF($C$5:$C$64,$C34)&gt;1,"Duplicate Location ID",IF($D34="","Missing display name",IF(COUNTIFS($B$5:$B$64,$B34,$D$5:$D$64,$D34)&gt;1,"Duplicate display name in NOC",IF($H34=0,"No enabled rules",IF($F34="","No usable scope","OK")))))))))</x:f>
        <x:v>Disabled</x:v>
      </x:c>
      <x:c r="J34" s="178" t="str"/>
      <x:c r="K34" s="118" t="str">
        <x:f>IF($I34="OK",COUNTIFS($B$5:$B34,$B34,$I$5:$I34,"OK"),"")</x:f>
      </x:c>
      <x:c r="L34" s="118" t="str">
        <x:f>IF($K34="","",$B34&amp;"|"&amp;TEXT($K34,"000"))</x:f>
      </x:c>
      <x:c r="M34" s="24" t="str">
        <x:f>IF($I34&lt;&gt;"OK","",IF($K34=1,$F34,IFERROR(VLOOKUP($B34&amp;"|"&amp;TEXT($K34-1,"000"),$L$5:M33,2,FALSE),"")&amp;" OR "&amp;$F34))</x:f>
      </x:c>
      <x:c r="N34" s="24" t="str">
        <x:f>IF($K34="","",$B34&amp;"|"&amp;TEXT($K34,"000"))</x:f>
      </x:c>
      <x:c r="O34" s="24" t="str">
        <x:f>IF($I34="OK",$D34,"")</x:f>
      </x:c>
      <x:c r="P34" s="24" t="str">
        <x:f>IF(Generator!$E$6="","",IFERROR(VLOOKUP(Generator!$E$6&amp;"|030",$N$5:$O$64,2,FALSE),""))</x:f>
      </x:c>
      <x:c r="Q34" t="str">
        <x:f>IF($I34="OK",$B34&amp;"|"&amp;$D34,"")</x:f>
      </x:c>
      <x:c r="R34" t="str">
        <x:f>IF($I34="OK",$C34,"")</x:f>
      </x:c>
      <x:c r="S34" t="str">
        <x:f>IF($I34="OK",$F34,"")</x:f>
      </x:c>
      <x:c r="T34" t="str">
        <x:f>IF($A34&lt;&gt;"Yes","Disabled",$I34)</x:f>
        <x:v>Disabled</x:v>
      </x:c>
      <x:c r="U34" t="str">
        <x:f>IFERROR(VLOOKUP("NOCINPUT|"&amp;TEXT(ROW()-4,"000"),NOCs!$S$5:$T$44,2,FALSE),"")</x:f>
      </x:c>
      <x:c r="V34" t="str">
        <x:f>IF(AND($A34="Yes",$B34&lt;&gt;"",$C34&lt;&gt;"",$D34&lt;&gt;"",COUNTIF(NOCs!$T$5:$T$44,$B34)=1,COUNTIF($C$5:$C$64,$C34)=1),COUNT($V$4:V33)+1,"")</x:f>
      </x:c>
      <x:c r="W34" t="str">
        <x:f>IF($V34="","","LOCINPUT|"&amp;TEXT($V34,"000"))</x:f>
      </x:c>
      <x:c r="X34" t="str">
        <x:f>IF($V34="","",$C34)</x:f>
      </x:c>
    </x:row>
    <x:row r="35">
      <x:c r="A35" s="178" t="str">
        <x:v>No</x:v>
      </x:c>
      <x:c r="B35" s="178" t="str"/>
      <x:c r="C35" s="178" t="str">
        <x:v>LOC_031</x:v>
      </x:c>
      <x:c r="D35" s="178" t="str">
        <x:v>Location 031</x:v>
      </x:c>
      <x:c r="E35" s="178" t="n">
        <x:v>310</x:v>
      </x:c>
      <x:c r="F35" s="179" t="str">
        <x:f>IF(A35&lt;&gt;"Yes","",IF(H35=0,"","("&amp;IFERROR(VLOOKUP(C35&amp;"|"&amp;TEXT(H35,"000"),'Scope Rules'!$J$5:$K$104,2,FALSE),"")&amp;")"))</x:f>
      </x:c>
      <x:c r="G35" s="179" t="str">
        <x:f>IF(OR(A35&lt;&gt;"Yes",F35=""),"","{""label"":"""&amp;D35&amp;""",""value"":"""&amp;SUBSTITUTE(F35,CHAR(34),"\"&amp;CHAR(34))&amp;"""}")</x:f>
      </x:c>
      <x:c r="H35" s="179" t="n">
        <x:f>IF($C35="","",COUNTIFS('Scope Rules'!$H$5:$H$104,"OK",'Scope Rules'!$B$5:$B$104,$C35))</x:f>
        <x:v>0</x:v>
      </x:c>
      <x:c r="I35" s="179" t="str">
        <x:f>IF($A35&lt;&gt;"Yes","Disabled",IF($B35="","Missing NOC ID",IF(COUNTIFS(NOCs!$B$5:$B$44,$B35,NOCs!$A$5:$A$44,"Yes")=0,"NOC not enabled",IF($C35="","Missing Location ID",IF(COUNTIF($C$5:$C$64,$C35)&gt;1,"Duplicate Location ID",IF($D35="","Missing display name",IF(COUNTIFS($B$5:$B$64,$B35,$D$5:$D$64,$D35)&gt;1,"Duplicate display name in NOC",IF($H35=0,"No enabled rules",IF($F35="","No usable scope","OK")))))))))</x:f>
        <x:v>Disabled</x:v>
      </x:c>
      <x:c r="J35" s="178" t="str"/>
      <x:c r="K35" s="118" t="str">
        <x:f>IF($I35="OK",COUNTIFS($B$5:$B35,$B35,$I$5:$I35,"OK"),"")</x:f>
      </x:c>
      <x:c r="L35" s="118" t="str">
        <x:f>IF($K35="","",$B35&amp;"|"&amp;TEXT($K35,"000"))</x:f>
      </x:c>
      <x:c r="M35" s="24" t="str">
        <x:f>IF($I35&lt;&gt;"OK","",IF($K35=1,$F35,IFERROR(VLOOKUP($B35&amp;"|"&amp;TEXT($K35-1,"000"),$L$5:M34,2,FALSE),"")&amp;" OR "&amp;$F35))</x:f>
      </x:c>
      <x:c r="N35" s="24" t="str">
        <x:f>IF($K35="","",$B35&amp;"|"&amp;TEXT($K35,"000"))</x:f>
      </x:c>
      <x:c r="O35" s="24" t="str">
        <x:f>IF($I35="OK",$D35,"")</x:f>
      </x:c>
      <x:c r="P35" s="24" t="str">
        <x:f>IF(Generator!$E$6="","",IFERROR(VLOOKUP(Generator!$E$6&amp;"|031",$N$5:$O$64,2,FALSE),""))</x:f>
      </x:c>
      <x:c r="Q35" t="str">
        <x:f>IF($I35="OK",$B35&amp;"|"&amp;$D35,"")</x:f>
      </x:c>
      <x:c r="R35" t="str">
        <x:f>IF($I35="OK",$C35,"")</x:f>
      </x:c>
      <x:c r="S35" t="str">
        <x:f>IF($I35="OK",$F35,"")</x:f>
      </x:c>
      <x:c r="T35" t="str">
        <x:f>IF($A35&lt;&gt;"Yes","Disabled",$I35)</x:f>
        <x:v>Disabled</x:v>
      </x:c>
      <x:c r="U35" t="str">
        <x:f>IFERROR(VLOOKUP("NOCINPUT|"&amp;TEXT(ROW()-4,"000"),NOCs!$S$5:$T$44,2,FALSE),"")</x:f>
      </x:c>
      <x:c r="V35" t="str">
        <x:f>IF(AND($A35="Yes",$B35&lt;&gt;"",$C35&lt;&gt;"",$D35&lt;&gt;"",COUNTIF(NOCs!$T$5:$T$44,$B35)=1,COUNTIF($C$5:$C$64,$C35)=1),COUNT($V$4:V34)+1,"")</x:f>
      </x:c>
      <x:c r="W35" t="str">
        <x:f>IF($V35="","","LOCINPUT|"&amp;TEXT($V35,"000"))</x:f>
      </x:c>
      <x:c r="X35" t="str">
        <x:f>IF($V35="","",$C35)</x:f>
      </x:c>
    </x:row>
    <x:row r="36">
      <x:c r="A36" s="178" t="str">
        <x:v>No</x:v>
      </x:c>
      <x:c r="B36" s="178" t="str"/>
      <x:c r="C36" s="178" t="str">
        <x:v>LOC_032</x:v>
      </x:c>
      <x:c r="D36" s="178" t="str">
        <x:v>Location 032</x:v>
      </x:c>
      <x:c r="E36" s="178" t="n">
        <x:v>320</x:v>
      </x:c>
      <x:c r="F36" s="179" t="str">
        <x:f>IF(A36&lt;&gt;"Yes","",IF(H36=0,"","("&amp;IFERROR(VLOOKUP(C36&amp;"|"&amp;TEXT(H36,"000"),'Scope Rules'!$J$5:$K$104,2,FALSE),"")&amp;")"))</x:f>
      </x:c>
      <x:c r="G36" s="179" t="str">
        <x:f>IF(OR(A36&lt;&gt;"Yes",F36=""),"","{""label"":"""&amp;D36&amp;""",""value"":"""&amp;SUBSTITUTE(F36,CHAR(34),"\"&amp;CHAR(34))&amp;"""}")</x:f>
      </x:c>
      <x:c r="H36" s="179" t="n">
        <x:f>IF($C36="","",COUNTIFS('Scope Rules'!$H$5:$H$104,"OK",'Scope Rules'!$B$5:$B$104,$C36))</x:f>
        <x:v>0</x:v>
      </x:c>
      <x:c r="I36" s="179" t="str">
        <x:f>IF($A36&lt;&gt;"Yes","Disabled",IF($B36="","Missing NOC ID",IF(COUNTIFS(NOCs!$B$5:$B$44,$B36,NOCs!$A$5:$A$44,"Yes")=0,"NOC not enabled",IF($C36="","Missing Location ID",IF(COUNTIF($C$5:$C$64,$C36)&gt;1,"Duplicate Location ID",IF($D36="","Missing display name",IF(COUNTIFS($B$5:$B$64,$B36,$D$5:$D$64,$D36)&gt;1,"Duplicate display name in NOC",IF($H36=0,"No enabled rules",IF($F36="","No usable scope","OK")))))))))</x:f>
        <x:v>Disabled</x:v>
      </x:c>
      <x:c r="J36" s="178" t="str"/>
      <x:c r="K36" s="118" t="str">
        <x:f>IF($I36="OK",COUNTIFS($B$5:$B36,$B36,$I$5:$I36,"OK"),"")</x:f>
      </x:c>
      <x:c r="L36" s="118" t="str">
        <x:f>IF($K36="","",$B36&amp;"|"&amp;TEXT($K36,"000"))</x:f>
      </x:c>
      <x:c r="M36" s="24" t="str">
        <x:f>IF($I36&lt;&gt;"OK","",IF($K36=1,$F36,IFERROR(VLOOKUP($B36&amp;"|"&amp;TEXT($K36-1,"000"),$L$5:M35,2,FALSE),"")&amp;" OR "&amp;$F36))</x:f>
      </x:c>
      <x:c r="N36" s="24" t="str">
        <x:f>IF($K36="","",$B36&amp;"|"&amp;TEXT($K36,"000"))</x:f>
      </x:c>
      <x:c r="O36" s="24" t="str">
        <x:f>IF($I36="OK",$D36,"")</x:f>
      </x:c>
      <x:c r="P36" s="24" t="str">
        <x:f>IF(Generator!$E$6="","",IFERROR(VLOOKUP(Generator!$E$6&amp;"|032",$N$5:$O$64,2,FALSE),""))</x:f>
      </x:c>
      <x:c r="Q36" t="str">
        <x:f>IF($I36="OK",$B36&amp;"|"&amp;$D36,"")</x:f>
      </x:c>
      <x:c r="R36" t="str">
        <x:f>IF($I36="OK",$C36,"")</x:f>
      </x:c>
      <x:c r="S36" t="str">
        <x:f>IF($I36="OK",$F36,"")</x:f>
      </x:c>
      <x:c r="T36" t="str">
        <x:f>IF($A36&lt;&gt;"Yes","Disabled",$I36)</x:f>
        <x:v>Disabled</x:v>
      </x:c>
      <x:c r="U36" t="str">
        <x:f>IFERROR(VLOOKUP("NOCINPUT|"&amp;TEXT(ROW()-4,"000"),NOCs!$S$5:$T$44,2,FALSE),"")</x:f>
      </x:c>
      <x:c r="V36" t="str">
        <x:f>IF(AND($A36="Yes",$B36&lt;&gt;"",$C36&lt;&gt;"",$D36&lt;&gt;"",COUNTIF(NOCs!$T$5:$T$44,$B36)=1,COUNTIF($C$5:$C$64,$C36)=1),COUNT($V$4:V35)+1,"")</x:f>
      </x:c>
      <x:c r="W36" t="str">
        <x:f>IF($V36="","","LOCINPUT|"&amp;TEXT($V36,"000"))</x:f>
      </x:c>
      <x:c r="X36" t="str">
        <x:f>IF($V36="","",$C36)</x:f>
      </x:c>
    </x:row>
    <x:row r="37">
      <x:c r="A37" s="178" t="str">
        <x:v>No</x:v>
      </x:c>
      <x:c r="B37" s="178" t="str"/>
      <x:c r="C37" s="178" t="str">
        <x:v>LOC_033</x:v>
      </x:c>
      <x:c r="D37" s="178" t="str">
        <x:v>Location 033</x:v>
      </x:c>
      <x:c r="E37" s="178" t="n">
        <x:v>330</x:v>
      </x:c>
      <x:c r="F37" s="179" t="str">
        <x:f>IF(A37&lt;&gt;"Yes","",IF(H37=0,"","("&amp;IFERROR(VLOOKUP(C37&amp;"|"&amp;TEXT(H37,"000"),'Scope Rules'!$J$5:$K$104,2,FALSE),"")&amp;")"))</x:f>
      </x:c>
      <x:c r="G37" s="179" t="str">
        <x:f>IF(OR(A37&lt;&gt;"Yes",F37=""),"","{""label"":"""&amp;D37&amp;""",""value"":"""&amp;SUBSTITUTE(F37,CHAR(34),"\"&amp;CHAR(34))&amp;"""}")</x:f>
      </x:c>
      <x:c r="H37" s="179" t="n">
        <x:f>IF($C37="","",COUNTIFS('Scope Rules'!$H$5:$H$104,"OK",'Scope Rules'!$B$5:$B$104,$C37))</x:f>
        <x:v>0</x:v>
      </x:c>
      <x:c r="I37" s="179" t="str">
        <x:f>IF($A37&lt;&gt;"Yes","Disabled",IF($B37="","Missing NOC ID",IF(COUNTIFS(NOCs!$B$5:$B$44,$B37,NOCs!$A$5:$A$44,"Yes")=0,"NOC not enabled",IF($C37="","Missing Location ID",IF(COUNTIF($C$5:$C$64,$C37)&gt;1,"Duplicate Location ID",IF($D37="","Missing display name",IF(COUNTIFS($B$5:$B$64,$B37,$D$5:$D$64,$D37)&gt;1,"Duplicate display name in NOC",IF($H37=0,"No enabled rules",IF($F37="","No usable scope","OK")))))))))</x:f>
        <x:v>Disabled</x:v>
      </x:c>
      <x:c r="J37" s="178" t="str"/>
      <x:c r="K37" s="118" t="str">
        <x:f>IF($I37="OK",COUNTIFS($B$5:$B37,$B37,$I$5:$I37,"OK"),"")</x:f>
      </x:c>
      <x:c r="L37" s="118" t="str">
        <x:f>IF($K37="","",$B37&amp;"|"&amp;TEXT($K37,"000"))</x:f>
      </x:c>
      <x:c r="M37" s="24" t="str">
        <x:f>IF($I37&lt;&gt;"OK","",IF($K37=1,$F37,IFERROR(VLOOKUP($B37&amp;"|"&amp;TEXT($K37-1,"000"),$L$5:M36,2,FALSE),"")&amp;" OR "&amp;$F37))</x:f>
      </x:c>
      <x:c r="N37" s="24" t="str">
        <x:f>IF($K37="","",$B37&amp;"|"&amp;TEXT($K37,"000"))</x:f>
      </x:c>
      <x:c r="O37" s="24" t="str">
        <x:f>IF($I37="OK",$D37,"")</x:f>
      </x:c>
      <x:c r="P37" s="24" t="str">
        <x:f>IF(Generator!$E$6="","",IFERROR(VLOOKUP(Generator!$E$6&amp;"|033",$N$5:$O$64,2,FALSE),""))</x:f>
      </x:c>
      <x:c r="Q37" t="str">
        <x:f>IF($I37="OK",$B37&amp;"|"&amp;$D37,"")</x:f>
      </x:c>
      <x:c r="R37" t="str">
        <x:f>IF($I37="OK",$C37,"")</x:f>
      </x:c>
      <x:c r="S37" t="str">
        <x:f>IF($I37="OK",$F37,"")</x:f>
      </x:c>
      <x:c r="T37" t="str">
        <x:f>IF($A37&lt;&gt;"Yes","Disabled",$I37)</x:f>
        <x:v>Disabled</x:v>
      </x:c>
      <x:c r="U37" t="str">
        <x:f>IFERROR(VLOOKUP("NOCINPUT|"&amp;TEXT(ROW()-4,"000"),NOCs!$S$5:$T$44,2,FALSE),"")</x:f>
      </x:c>
      <x:c r="V37" t="str">
        <x:f>IF(AND($A37="Yes",$B37&lt;&gt;"",$C37&lt;&gt;"",$D37&lt;&gt;"",COUNTIF(NOCs!$T$5:$T$44,$B37)=1,COUNTIF($C$5:$C$64,$C37)=1),COUNT($V$4:V36)+1,"")</x:f>
      </x:c>
      <x:c r="W37" t="str">
        <x:f>IF($V37="","","LOCINPUT|"&amp;TEXT($V37,"000"))</x:f>
      </x:c>
      <x:c r="X37" t="str">
        <x:f>IF($V37="","",$C37)</x:f>
      </x:c>
    </x:row>
    <x:row r="38">
      <x:c r="A38" s="178" t="str">
        <x:v>No</x:v>
      </x:c>
      <x:c r="B38" s="178" t="str"/>
      <x:c r="C38" s="178" t="str">
        <x:v>LOC_034</x:v>
      </x:c>
      <x:c r="D38" s="178" t="str">
        <x:v>Location 034</x:v>
      </x:c>
      <x:c r="E38" s="178" t="n">
        <x:v>340</x:v>
      </x:c>
      <x:c r="F38" s="179" t="str">
        <x:f>IF(A38&lt;&gt;"Yes","",IF(H38=0,"","("&amp;IFERROR(VLOOKUP(C38&amp;"|"&amp;TEXT(H38,"000"),'Scope Rules'!$J$5:$K$104,2,FALSE),"")&amp;")"))</x:f>
      </x:c>
      <x:c r="G38" s="179" t="str">
        <x:f>IF(OR(A38&lt;&gt;"Yes",F38=""),"","{""label"":"""&amp;D38&amp;""",""value"":"""&amp;SUBSTITUTE(F38,CHAR(34),"\"&amp;CHAR(34))&amp;"""}")</x:f>
      </x:c>
      <x:c r="H38" s="179" t="n">
        <x:f>IF($C38="","",COUNTIFS('Scope Rules'!$H$5:$H$104,"OK",'Scope Rules'!$B$5:$B$104,$C38))</x:f>
        <x:v>0</x:v>
      </x:c>
      <x:c r="I38" s="179" t="str">
        <x:f>IF($A38&lt;&gt;"Yes","Disabled",IF($B38="","Missing NOC ID",IF(COUNTIFS(NOCs!$B$5:$B$44,$B38,NOCs!$A$5:$A$44,"Yes")=0,"NOC not enabled",IF($C38="","Missing Location ID",IF(COUNTIF($C$5:$C$64,$C38)&gt;1,"Duplicate Location ID",IF($D38="","Missing display name",IF(COUNTIFS($B$5:$B$64,$B38,$D$5:$D$64,$D38)&gt;1,"Duplicate display name in NOC",IF($H38=0,"No enabled rules",IF($F38="","No usable scope","OK")))))))))</x:f>
        <x:v>Disabled</x:v>
      </x:c>
      <x:c r="J38" s="178" t="str"/>
      <x:c r="K38" s="118" t="str">
        <x:f>IF($I38="OK",COUNTIFS($B$5:$B38,$B38,$I$5:$I38,"OK"),"")</x:f>
      </x:c>
      <x:c r="L38" s="118" t="str">
        <x:f>IF($K38="","",$B38&amp;"|"&amp;TEXT($K38,"000"))</x:f>
      </x:c>
      <x:c r="M38" s="24" t="str">
        <x:f>IF($I38&lt;&gt;"OK","",IF($K38=1,$F38,IFERROR(VLOOKUP($B38&amp;"|"&amp;TEXT($K38-1,"000"),$L$5:M37,2,FALSE),"")&amp;" OR "&amp;$F38))</x:f>
      </x:c>
      <x:c r="N38" s="24" t="str">
        <x:f>IF($K38="","",$B38&amp;"|"&amp;TEXT($K38,"000"))</x:f>
      </x:c>
      <x:c r="O38" s="24" t="str">
        <x:f>IF($I38="OK",$D38,"")</x:f>
      </x:c>
      <x:c r="P38" s="24" t="str">
        <x:f>IF(Generator!$E$6="","",IFERROR(VLOOKUP(Generator!$E$6&amp;"|034",$N$5:$O$64,2,FALSE),""))</x:f>
      </x:c>
      <x:c r="Q38" t="str">
        <x:f>IF($I38="OK",$B38&amp;"|"&amp;$D38,"")</x:f>
      </x:c>
      <x:c r="R38" t="str">
        <x:f>IF($I38="OK",$C38,"")</x:f>
      </x:c>
      <x:c r="S38" t="str">
        <x:f>IF($I38="OK",$F38,"")</x:f>
      </x:c>
      <x:c r="T38" t="str">
        <x:f>IF($A38&lt;&gt;"Yes","Disabled",$I38)</x:f>
        <x:v>Disabled</x:v>
      </x:c>
      <x:c r="U38" t="str">
        <x:f>IFERROR(VLOOKUP("NOCINPUT|"&amp;TEXT(ROW()-4,"000"),NOCs!$S$5:$T$44,2,FALSE),"")</x:f>
      </x:c>
      <x:c r="V38" t="str">
        <x:f>IF(AND($A38="Yes",$B38&lt;&gt;"",$C38&lt;&gt;"",$D38&lt;&gt;"",COUNTIF(NOCs!$T$5:$T$44,$B38)=1,COUNTIF($C$5:$C$64,$C38)=1),COUNT($V$4:V37)+1,"")</x:f>
      </x:c>
      <x:c r="W38" t="str">
        <x:f>IF($V38="","","LOCINPUT|"&amp;TEXT($V38,"000"))</x:f>
      </x:c>
      <x:c r="X38" t="str">
        <x:f>IF($V38="","",$C38)</x:f>
      </x:c>
    </x:row>
    <x:row r="39">
      <x:c r="A39" s="178" t="str">
        <x:v>No</x:v>
      </x:c>
      <x:c r="B39" s="178" t="str"/>
      <x:c r="C39" s="178" t="str">
        <x:v>LOC_035</x:v>
      </x:c>
      <x:c r="D39" s="178" t="str">
        <x:v>Location 035</x:v>
      </x:c>
      <x:c r="E39" s="178" t="n">
        <x:v>350</x:v>
      </x:c>
      <x:c r="F39" s="179" t="str">
        <x:f>IF(A39&lt;&gt;"Yes","",IF(H39=0,"","("&amp;IFERROR(VLOOKUP(C39&amp;"|"&amp;TEXT(H39,"000"),'Scope Rules'!$J$5:$K$104,2,FALSE),"")&amp;")"))</x:f>
      </x:c>
      <x:c r="G39" s="179" t="str">
        <x:f>IF(OR(A39&lt;&gt;"Yes",F39=""),"","{""label"":"""&amp;D39&amp;""",""value"":"""&amp;SUBSTITUTE(F39,CHAR(34),"\"&amp;CHAR(34))&amp;"""}")</x:f>
      </x:c>
      <x:c r="H39" s="179" t="n">
        <x:f>IF($C39="","",COUNTIFS('Scope Rules'!$H$5:$H$104,"OK",'Scope Rules'!$B$5:$B$104,$C39))</x:f>
        <x:v>0</x:v>
      </x:c>
      <x:c r="I39" s="179" t="str">
        <x:f>IF($A39&lt;&gt;"Yes","Disabled",IF($B39="","Missing NOC ID",IF(COUNTIFS(NOCs!$B$5:$B$44,$B39,NOCs!$A$5:$A$44,"Yes")=0,"NOC not enabled",IF($C39="","Missing Location ID",IF(COUNTIF($C$5:$C$64,$C39)&gt;1,"Duplicate Location ID",IF($D39="","Missing display name",IF(COUNTIFS($B$5:$B$64,$B39,$D$5:$D$64,$D39)&gt;1,"Duplicate display name in NOC",IF($H39=0,"No enabled rules",IF($F39="","No usable scope","OK")))))))))</x:f>
        <x:v>Disabled</x:v>
      </x:c>
      <x:c r="J39" s="178" t="str"/>
      <x:c r="K39" s="118" t="str">
        <x:f>IF($I39="OK",COUNTIFS($B$5:$B39,$B39,$I$5:$I39,"OK"),"")</x:f>
      </x:c>
      <x:c r="L39" s="118" t="str">
        <x:f>IF($K39="","",$B39&amp;"|"&amp;TEXT($K39,"000"))</x:f>
      </x:c>
      <x:c r="M39" s="24" t="str">
        <x:f>IF($I39&lt;&gt;"OK","",IF($K39=1,$F39,IFERROR(VLOOKUP($B39&amp;"|"&amp;TEXT($K39-1,"000"),$L$5:M38,2,FALSE),"")&amp;" OR "&amp;$F39))</x:f>
      </x:c>
      <x:c r="N39" s="24" t="str">
        <x:f>IF($K39="","",$B39&amp;"|"&amp;TEXT($K39,"000"))</x:f>
      </x:c>
      <x:c r="O39" s="24" t="str">
        <x:f>IF($I39="OK",$D39,"")</x:f>
      </x:c>
      <x:c r="P39" s="24" t="str">
        <x:f>IF(Generator!$E$6="","",IFERROR(VLOOKUP(Generator!$E$6&amp;"|035",$N$5:$O$64,2,FALSE),""))</x:f>
      </x:c>
      <x:c r="Q39" t="str">
        <x:f>IF($I39="OK",$B39&amp;"|"&amp;$D39,"")</x:f>
      </x:c>
      <x:c r="R39" t="str">
        <x:f>IF($I39="OK",$C39,"")</x:f>
      </x:c>
      <x:c r="S39" t="str">
        <x:f>IF($I39="OK",$F39,"")</x:f>
      </x:c>
      <x:c r="T39" t="str">
        <x:f>IF($A39&lt;&gt;"Yes","Disabled",$I39)</x:f>
        <x:v>Disabled</x:v>
      </x:c>
      <x:c r="U39" t="str">
        <x:f>IFERROR(VLOOKUP("NOCINPUT|"&amp;TEXT(ROW()-4,"000"),NOCs!$S$5:$T$44,2,FALSE),"")</x:f>
      </x:c>
      <x:c r="V39" t="str">
        <x:f>IF(AND($A39="Yes",$B39&lt;&gt;"",$C39&lt;&gt;"",$D39&lt;&gt;"",COUNTIF(NOCs!$T$5:$T$44,$B39)=1,COUNTIF($C$5:$C$64,$C39)=1),COUNT($V$4:V38)+1,"")</x:f>
      </x:c>
      <x:c r="W39" t="str">
        <x:f>IF($V39="","","LOCINPUT|"&amp;TEXT($V39,"000"))</x:f>
      </x:c>
      <x:c r="X39" t="str">
        <x:f>IF($V39="","",$C39)</x:f>
      </x:c>
    </x:row>
    <x:row r="40">
      <x:c r="A40" s="178" t="str">
        <x:v>No</x:v>
      </x:c>
      <x:c r="B40" s="178" t="str"/>
      <x:c r="C40" s="178" t="str">
        <x:v>LOC_036</x:v>
      </x:c>
      <x:c r="D40" s="178" t="str">
        <x:v>Location 036</x:v>
      </x:c>
      <x:c r="E40" s="178" t="n">
        <x:v>360</x:v>
      </x:c>
      <x:c r="F40" s="179" t="str">
        <x:f>IF(A40&lt;&gt;"Yes","",IF(H40=0,"","("&amp;IFERROR(VLOOKUP(C40&amp;"|"&amp;TEXT(H40,"000"),'Scope Rules'!$J$5:$K$104,2,FALSE),"")&amp;")"))</x:f>
      </x:c>
      <x:c r="G40" s="179" t="str">
        <x:f>IF(OR(A40&lt;&gt;"Yes",F40=""),"","{""label"":"""&amp;D40&amp;""",""value"":"""&amp;SUBSTITUTE(F40,CHAR(34),"\"&amp;CHAR(34))&amp;"""}")</x:f>
      </x:c>
      <x:c r="H40" s="179" t="n">
        <x:f>IF($C40="","",COUNTIFS('Scope Rules'!$H$5:$H$104,"OK",'Scope Rules'!$B$5:$B$104,$C40))</x:f>
        <x:v>0</x:v>
      </x:c>
      <x:c r="I40" s="179" t="str">
        <x:f>IF($A40&lt;&gt;"Yes","Disabled",IF($B40="","Missing NOC ID",IF(COUNTIFS(NOCs!$B$5:$B$44,$B40,NOCs!$A$5:$A$44,"Yes")=0,"NOC not enabled",IF($C40="","Missing Location ID",IF(COUNTIF($C$5:$C$64,$C40)&gt;1,"Duplicate Location ID",IF($D40="","Missing display name",IF(COUNTIFS($B$5:$B$64,$B40,$D$5:$D$64,$D40)&gt;1,"Duplicate display name in NOC",IF($H40=0,"No enabled rules",IF($F40="","No usable scope","OK")))))))))</x:f>
        <x:v>Disabled</x:v>
      </x:c>
      <x:c r="J40" s="178" t="str"/>
      <x:c r="K40" s="118" t="str">
        <x:f>IF($I40="OK",COUNTIFS($B$5:$B40,$B40,$I$5:$I40,"OK"),"")</x:f>
      </x:c>
      <x:c r="L40" s="118" t="str">
        <x:f>IF($K40="","",$B40&amp;"|"&amp;TEXT($K40,"000"))</x:f>
      </x:c>
      <x:c r="M40" s="24" t="str">
        <x:f>IF($I40&lt;&gt;"OK","",IF($K40=1,$F40,IFERROR(VLOOKUP($B40&amp;"|"&amp;TEXT($K40-1,"000"),$L$5:M39,2,FALSE),"")&amp;" OR "&amp;$F40))</x:f>
      </x:c>
      <x:c r="N40" s="24" t="str">
        <x:f>IF($K40="","",$B40&amp;"|"&amp;TEXT($K40,"000"))</x:f>
      </x:c>
      <x:c r="O40" s="24" t="str">
        <x:f>IF($I40="OK",$D40,"")</x:f>
      </x:c>
      <x:c r="P40" s="24" t="str">
        <x:f>IF(Generator!$E$6="","",IFERROR(VLOOKUP(Generator!$E$6&amp;"|036",$N$5:$O$64,2,FALSE),""))</x:f>
      </x:c>
      <x:c r="Q40" t="str">
        <x:f>IF($I40="OK",$B40&amp;"|"&amp;$D40,"")</x:f>
      </x:c>
      <x:c r="R40" t="str">
        <x:f>IF($I40="OK",$C40,"")</x:f>
      </x:c>
      <x:c r="S40" t="str">
        <x:f>IF($I40="OK",$F40,"")</x:f>
      </x:c>
      <x:c r="T40" t="str">
        <x:f>IF($A40&lt;&gt;"Yes","Disabled",$I40)</x:f>
        <x:v>Disabled</x:v>
      </x:c>
      <x:c r="U40" t="str">
        <x:f>IFERROR(VLOOKUP("NOCINPUT|"&amp;TEXT(ROW()-4,"000"),NOCs!$S$5:$T$44,2,FALSE),"")</x:f>
      </x:c>
      <x:c r="V40" t="str">
        <x:f>IF(AND($A40="Yes",$B40&lt;&gt;"",$C40&lt;&gt;"",$D40&lt;&gt;"",COUNTIF(NOCs!$T$5:$T$44,$B40)=1,COUNTIF($C$5:$C$64,$C40)=1),COUNT($V$4:V39)+1,"")</x:f>
      </x:c>
      <x:c r="W40" t="str">
        <x:f>IF($V40="","","LOCINPUT|"&amp;TEXT($V40,"000"))</x:f>
      </x:c>
      <x:c r="X40" t="str">
        <x:f>IF($V40="","",$C40)</x:f>
      </x:c>
    </x:row>
    <x:row r="41">
      <x:c r="A41" s="178" t="str">
        <x:v>No</x:v>
      </x:c>
      <x:c r="B41" s="178" t="str"/>
      <x:c r="C41" s="178" t="str">
        <x:v>LOC_037</x:v>
      </x:c>
      <x:c r="D41" s="178" t="str">
        <x:v>Location 037</x:v>
      </x:c>
      <x:c r="E41" s="178" t="n">
        <x:v>370</x:v>
      </x:c>
      <x:c r="F41" s="179" t="str">
        <x:f>IF(A41&lt;&gt;"Yes","",IF(H41=0,"","("&amp;IFERROR(VLOOKUP(C41&amp;"|"&amp;TEXT(H41,"000"),'Scope Rules'!$J$5:$K$104,2,FALSE),"")&amp;")"))</x:f>
      </x:c>
      <x:c r="G41" s="179" t="str">
        <x:f>IF(OR(A41&lt;&gt;"Yes",F41=""),"","{""label"":"""&amp;D41&amp;""",""value"":"""&amp;SUBSTITUTE(F41,CHAR(34),"\"&amp;CHAR(34))&amp;"""}")</x:f>
      </x:c>
      <x:c r="H41" s="179" t="n">
        <x:f>IF($C41="","",COUNTIFS('Scope Rules'!$H$5:$H$104,"OK",'Scope Rules'!$B$5:$B$104,$C41))</x:f>
        <x:v>0</x:v>
      </x:c>
      <x:c r="I41" s="179" t="str">
        <x:f>IF($A41&lt;&gt;"Yes","Disabled",IF($B41="","Missing NOC ID",IF(COUNTIFS(NOCs!$B$5:$B$44,$B41,NOCs!$A$5:$A$44,"Yes")=0,"NOC not enabled",IF($C41="","Missing Location ID",IF(COUNTIF($C$5:$C$64,$C41)&gt;1,"Duplicate Location ID",IF($D41="","Missing display name",IF(COUNTIFS($B$5:$B$64,$B41,$D$5:$D$64,$D41)&gt;1,"Duplicate display name in NOC",IF($H41=0,"No enabled rules",IF($F41="","No usable scope","OK")))))))))</x:f>
        <x:v>Disabled</x:v>
      </x:c>
      <x:c r="J41" s="178" t="str"/>
      <x:c r="K41" s="118" t="str">
        <x:f>IF($I41="OK",COUNTIFS($B$5:$B41,$B41,$I$5:$I41,"OK"),"")</x:f>
      </x:c>
      <x:c r="L41" s="118" t="str">
        <x:f>IF($K41="","",$B41&amp;"|"&amp;TEXT($K41,"000"))</x:f>
      </x:c>
      <x:c r="M41" s="24" t="str">
        <x:f>IF($I41&lt;&gt;"OK","",IF($K41=1,$F41,IFERROR(VLOOKUP($B41&amp;"|"&amp;TEXT($K41-1,"000"),$L$5:M40,2,FALSE),"")&amp;" OR "&amp;$F41))</x:f>
      </x:c>
      <x:c r="N41" s="24" t="str">
        <x:f>IF($K41="","",$B41&amp;"|"&amp;TEXT($K41,"000"))</x:f>
      </x:c>
      <x:c r="O41" s="24" t="str">
        <x:f>IF($I41="OK",$D41,"")</x:f>
      </x:c>
      <x:c r="P41" s="24" t="str">
        <x:f>IF(Generator!$E$6="","",IFERROR(VLOOKUP(Generator!$E$6&amp;"|037",$N$5:$O$64,2,FALSE),""))</x:f>
      </x:c>
      <x:c r="Q41" t="str">
        <x:f>IF($I41="OK",$B41&amp;"|"&amp;$D41,"")</x:f>
      </x:c>
      <x:c r="R41" t="str">
        <x:f>IF($I41="OK",$C41,"")</x:f>
      </x:c>
      <x:c r="S41" t="str">
        <x:f>IF($I41="OK",$F41,"")</x:f>
      </x:c>
      <x:c r="T41" t="str">
        <x:f>IF($A41&lt;&gt;"Yes","Disabled",$I41)</x:f>
        <x:v>Disabled</x:v>
      </x:c>
      <x:c r="U41" t="str">
        <x:f>IFERROR(VLOOKUP("NOCINPUT|"&amp;TEXT(ROW()-4,"000"),NOCs!$S$5:$T$44,2,FALSE),"")</x:f>
      </x:c>
      <x:c r="V41" t="str">
        <x:f>IF(AND($A41="Yes",$B41&lt;&gt;"",$C41&lt;&gt;"",$D41&lt;&gt;"",COUNTIF(NOCs!$T$5:$T$44,$B41)=1,COUNTIF($C$5:$C$64,$C41)=1),COUNT($V$4:V40)+1,"")</x:f>
      </x:c>
      <x:c r="W41" t="str">
        <x:f>IF($V41="","","LOCINPUT|"&amp;TEXT($V41,"000"))</x:f>
      </x:c>
      <x:c r="X41" t="str">
        <x:f>IF($V41="","",$C41)</x:f>
      </x:c>
    </x:row>
    <x:row r="42">
      <x:c r="A42" s="178" t="str">
        <x:v>No</x:v>
      </x:c>
      <x:c r="B42" s="178" t="str"/>
      <x:c r="C42" s="178" t="str">
        <x:v>LOC_038</x:v>
      </x:c>
      <x:c r="D42" s="178" t="str">
        <x:v>Location 038</x:v>
      </x:c>
      <x:c r="E42" s="178" t="n">
        <x:v>380</x:v>
      </x:c>
      <x:c r="F42" s="179" t="str">
        <x:f>IF(A42&lt;&gt;"Yes","",IF(H42=0,"","("&amp;IFERROR(VLOOKUP(C42&amp;"|"&amp;TEXT(H42,"000"),'Scope Rules'!$J$5:$K$104,2,FALSE),"")&amp;")"))</x:f>
      </x:c>
      <x:c r="G42" s="179" t="str">
        <x:f>IF(OR(A42&lt;&gt;"Yes",F42=""),"","{""label"":"""&amp;D42&amp;""",""value"":"""&amp;SUBSTITUTE(F42,CHAR(34),"\"&amp;CHAR(34))&amp;"""}")</x:f>
      </x:c>
      <x:c r="H42" s="179" t="n">
        <x:f>IF($C42="","",COUNTIFS('Scope Rules'!$H$5:$H$104,"OK",'Scope Rules'!$B$5:$B$104,$C42))</x:f>
        <x:v>0</x:v>
      </x:c>
      <x:c r="I42" s="179" t="str">
        <x:f>IF($A42&lt;&gt;"Yes","Disabled",IF($B42="","Missing NOC ID",IF(COUNTIFS(NOCs!$B$5:$B$44,$B42,NOCs!$A$5:$A$44,"Yes")=0,"NOC not enabled",IF($C42="","Missing Location ID",IF(COUNTIF($C$5:$C$64,$C42)&gt;1,"Duplicate Location ID",IF($D42="","Missing display name",IF(COUNTIFS($B$5:$B$64,$B42,$D$5:$D$64,$D42)&gt;1,"Duplicate display name in NOC",IF($H42=0,"No enabled rules",IF($F42="","No usable scope","OK")))))))))</x:f>
        <x:v>Disabled</x:v>
      </x:c>
      <x:c r="J42" s="178" t="str"/>
      <x:c r="K42" s="118" t="str">
        <x:f>IF($I42="OK",COUNTIFS($B$5:$B42,$B42,$I$5:$I42,"OK"),"")</x:f>
      </x:c>
      <x:c r="L42" s="118" t="str">
        <x:f>IF($K42="","",$B42&amp;"|"&amp;TEXT($K42,"000"))</x:f>
      </x:c>
      <x:c r="M42" s="24" t="str">
        <x:f>IF($I42&lt;&gt;"OK","",IF($K42=1,$F42,IFERROR(VLOOKUP($B42&amp;"|"&amp;TEXT($K42-1,"000"),$L$5:M41,2,FALSE),"")&amp;" OR "&amp;$F42))</x:f>
      </x:c>
      <x:c r="N42" s="24" t="str">
        <x:f>IF($K42="","",$B42&amp;"|"&amp;TEXT($K42,"000"))</x:f>
      </x:c>
      <x:c r="O42" s="24" t="str">
        <x:f>IF($I42="OK",$D42,"")</x:f>
      </x:c>
      <x:c r="P42" s="24" t="str">
        <x:f>IF(Generator!$E$6="","",IFERROR(VLOOKUP(Generator!$E$6&amp;"|038",$N$5:$O$64,2,FALSE),""))</x:f>
      </x:c>
      <x:c r="Q42" t="str">
        <x:f>IF($I42="OK",$B42&amp;"|"&amp;$D42,"")</x:f>
      </x:c>
      <x:c r="R42" t="str">
        <x:f>IF($I42="OK",$C42,"")</x:f>
      </x:c>
      <x:c r="S42" t="str">
        <x:f>IF($I42="OK",$F42,"")</x:f>
      </x:c>
      <x:c r="T42" t="str">
        <x:f>IF($A42&lt;&gt;"Yes","Disabled",$I42)</x:f>
        <x:v>Disabled</x:v>
      </x:c>
      <x:c r="U42" t="str">
        <x:f>IFERROR(VLOOKUP("NOCINPUT|"&amp;TEXT(ROW()-4,"000"),NOCs!$S$5:$T$44,2,FALSE),"")</x:f>
      </x:c>
      <x:c r="V42" t="str">
        <x:f>IF(AND($A42="Yes",$B42&lt;&gt;"",$C42&lt;&gt;"",$D42&lt;&gt;"",COUNTIF(NOCs!$T$5:$T$44,$B42)=1,COUNTIF($C$5:$C$64,$C42)=1),COUNT($V$4:V41)+1,"")</x:f>
      </x:c>
      <x:c r="W42" t="str">
        <x:f>IF($V42="","","LOCINPUT|"&amp;TEXT($V42,"000"))</x:f>
      </x:c>
      <x:c r="X42" t="str">
        <x:f>IF($V42="","",$C42)</x:f>
      </x:c>
    </x:row>
    <x:row r="43">
      <x:c r="A43" s="178" t="str">
        <x:v>No</x:v>
      </x:c>
      <x:c r="B43" s="178" t="str"/>
      <x:c r="C43" s="178" t="str">
        <x:v>LOC_039</x:v>
      </x:c>
      <x:c r="D43" s="178" t="str">
        <x:v>Location 039</x:v>
      </x:c>
      <x:c r="E43" s="178" t="n">
        <x:v>390</x:v>
      </x:c>
      <x:c r="F43" s="179" t="str">
        <x:f>IF(A43&lt;&gt;"Yes","",IF(H43=0,"","("&amp;IFERROR(VLOOKUP(C43&amp;"|"&amp;TEXT(H43,"000"),'Scope Rules'!$J$5:$K$104,2,FALSE),"")&amp;")"))</x:f>
      </x:c>
      <x:c r="G43" s="179" t="str">
        <x:f>IF(OR(A43&lt;&gt;"Yes",F43=""),"","{""label"":"""&amp;D43&amp;""",""value"":"""&amp;SUBSTITUTE(F43,CHAR(34),"\"&amp;CHAR(34))&amp;"""}")</x:f>
      </x:c>
      <x:c r="H43" s="179" t="n">
        <x:f>IF($C43="","",COUNTIFS('Scope Rules'!$H$5:$H$104,"OK",'Scope Rules'!$B$5:$B$104,$C43))</x:f>
        <x:v>0</x:v>
      </x:c>
      <x:c r="I43" s="179" t="str">
        <x:f>IF($A43&lt;&gt;"Yes","Disabled",IF($B43="","Missing NOC ID",IF(COUNTIFS(NOCs!$B$5:$B$44,$B43,NOCs!$A$5:$A$44,"Yes")=0,"NOC not enabled",IF($C43="","Missing Location ID",IF(COUNTIF($C$5:$C$64,$C43)&gt;1,"Duplicate Location ID",IF($D43="","Missing display name",IF(COUNTIFS($B$5:$B$64,$B43,$D$5:$D$64,$D43)&gt;1,"Duplicate display name in NOC",IF($H43=0,"No enabled rules",IF($F43="","No usable scope","OK")))))))))</x:f>
        <x:v>Disabled</x:v>
      </x:c>
      <x:c r="J43" s="178" t="str"/>
      <x:c r="K43" s="118" t="str">
        <x:f>IF($I43="OK",COUNTIFS($B$5:$B43,$B43,$I$5:$I43,"OK"),"")</x:f>
      </x:c>
      <x:c r="L43" s="118" t="str">
        <x:f>IF($K43="","",$B43&amp;"|"&amp;TEXT($K43,"000"))</x:f>
      </x:c>
      <x:c r="M43" s="24" t="str">
        <x:f>IF($I43&lt;&gt;"OK","",IF($K43=1,$F43,IFERROR(VLOOKUP($B43&amp;"|"&amp;TEXT($K43-1,"000"),$L$5:M42,2,FALSE),"")&amp;" OR "&amp;$F43))</x:f>
      </x:c>
      <x:c r="N43" s="24" t="str">
        <x:f>IF($K43="","",$B43&amp;"|"&amp;TEXT($K43,"000"))</x:f>
      </x:c>
      <x:c r="O43" s="24" t="str">
        <x:f>IF($I43="OK",$D43,"")</x:f>
      </x:c>
      <x:c r="P43" s="24" t="str">
        <x:f>IF(Generator!$E$6="","",IFERROR(VLOOKUP(Generator!$E$6&amp;"|039",$N$5:$O$64,2,FALSE),""))</x:f>
      </x:c>
      <x:c r="Q43" t="str">
        <x:f>IF($I43="OK",$B43&amp;"|"&amp;$D43,"")</x:f>
      </x:c>
      <x:c r="R43" t="str">
        <x:f>IF($I43="OK",$C43,"")</x:f>
      </x:c>
      <x:c r="S43" t="str">
        <x:f>IF($I43="OK",$F43,"")</x:f>
      </x:c>
      <x:c r="T43" t="str">
        <x:f>IF($A43&lt;&gt;"Yes","Disabled",$I43)</x:f>
        <x:v>Disabled</x:v>
      </x:c>
      <x:c r="U43" t="str">
        <x:f>IFERROR(VLOOKUP("NOCINPUT|"&amp;TEXT(ROW()-4,"000"),NOCs!$S$5:$T$44,2,FALSE),"")</x:f>
      </x:c>
      <x:c r="V43" t="str">
        <x:f>IF(AND($A43="Yes",$B43&lt;&gt;"",$C43&lt;&gt;"",$D43&lt;&gt;"",COUNTIF(NOCs!$T$5:$T$44,$B43)=1,COUNTIF($C$5:$C$64,$C43)=1),COUNT($V$4:V42)+1,"")</x:f>
      </x:c>
      <x:c r="W43" t="str">
        <x:f>IF($V43="","","LOCINPUT|"&amp;TEXT($V43,"000"))</x:f>
      </x:c>
      <x:c r="X43" t="str">
        <x:f>IF($V43="","",$C43)</x:f>
      </x:c>
    </x:row>
    <x:row r="44">
      <x:c r="A44" s="178" t="str">
        <x:v>No</x:v>
      </x:c>
      <x:c r="B44" s="178" t="str"/>
      <x:c r="C44" s="178" t="str">
        <x:v>LOC_040</x:v>
      </x:c>
      <x:c r="D44" s="178" t="str">
        <x:v>Location 040</x:v>
      </x:c>
      <x:c r="E44" s="178" t="n">
        <x:v>400</x:v>
      </x:c>
      <x:c r="F44" s="179" t="str">
        <x:f>IF(A44&lt;&gt;"Yes","",IF(H44=0,"","("&amp;IFERROR(VLOOKUP(C44&amp;"|"&amp;TEXT(H44,"000"),'Scope Rules'!$J$5:$K$104,2,FALSE),"")&amp;")"))</x:f>
      </x:c>
      <x:c r="G44" s="179" t="str">
        <x:f>IF(OR(A44&lt;&gt;"Yes",F44=""),"","{""label"":"""&amp;D44&amp;""",""value"":"""&amp;SUBSTITUTE(F44,CHAR(34),"\"&amp;CHAR(34))&amp;"""}")</x:f>
      </x:c>
      <x:c r="H44" s="179" t="n">
        <x:f>IF($C44="","",COUNTIFS('Scope Rules'!$H$5:$H$104,"OK",'Scope Rules'!$B$5:$B$104,$C44))</x:f>
        <x:v>0</x:v>
      </x:c>
      <x:c r="I44" s="179" t="str">
        <x:f>IF($A44&lt;&gt;"Yes","Disabled",IF($B44="","Missing NOC ID",IF(COUNTIFS(NOCs!$B$5:$B$44,$B44,NOCs!$A$5:$A$44,"Yes")=0,"NOC not enabled",IF($C44="","Missing Location ID",IF(COUNTIF($C$5:$C$64,$C44)&gt;1,"Duplicate Location ID",IF($D44="","Missing display name",IF(COUNTIFS($B$5:$B$64,$B44,$D$5:$D$64,$D44)&gt;1,"Duplicate display name in NOC",IF($H44=0,"No enabled rules",IF($F44="","No usable scope","OK")))))))))</x:f>
        <x:v>Disabled</x:v>
      </x:c>
      <x:c r="J44" s="178" t="str"/>
      <x:c r="K44" s="118" t="str">
        <x:f>IF($I44="OK",COUNTIFS($B$5:$B44,$B44,$I$5:$I44,"OK"),"")</x:f>
      </x:c>
      <x:c r="L44" s="118" t="str">
        <x:f>IF($K44="","",$B44&amp;"|"&amp;TEXT($K44,"000"))</x:f>
      </x:c>
      <x:c r="M44" s="24" t="str">
        <x:f>IF($I44&lt;&gt;"OK","",IF($K44=1,$F44,IFERROR(VLOOKUP($B44&amp;"|"&amp;TEXT($K44-1,"000"),$L$5:M43,2,FALSE),"")&amp;" OR "&amp;$F44))</x:f>
      </x:c>
      <x:c r="N44" s="24" t="str">
        <x:f>IF($K44="","",$B44&amp;"|"&amp;TEXT($K44,"000"))</x:f>
      </x:c>
      <x:c r="O44" s="24" t="str">
        <x:f>IF($I44="OK",$D44,"")</x:f>
      </x:c>
      <x:c r="P44" s="24" t="str">
        <x:f>IF(Generator!$E$6="","",IFERROR(VLOOKUP(Generator!$E$6&amp;"|040",$N$5:$O$64,2,FALSE),""))</x:f>
      </x:c>
      <x:c r="Q44" t="str">
        <x:f>IF($I44="OK",$B44&amp;"|"&amp;$D44,"")</x:f>
      </x:c>
      <x:c r="R44" t="str">
        <x:f>IF($I44="OK",$C44,"")</x:f>
      </x:c>
      <x:c r="S44" t="str">
        <x:f>IF($I44="OK",$F44,"")</x:f>
      </x:c>
      <x:c r="T44" t="str">
        <x:f>IF($A44&lt;&gt;"Yes","Disabled",$I44)</x:f>
        <x:v>Disabled</x:v>
      </x:c>
      <x:c r="U44" t="str">
        <x:f>IFERROR(VLOOKUP("NOCINPUT|"&amp;TEXT(ROW()-4,"000"),NOCs!$S$5:$T$44,2,FALSE),"")</x:f>
      </x:c>
      <x:c r="V44" t="str">
        <x:f>IF(AND($A44="Yes",$B44&lt;&gt;"",$C44&lt;&gt;"",$D44&lt;&gt;"",COUNTIF(NOCs!$T$5:$T$44,$B44)=1,COUNTIF($C$5:$C$64,$C44)=1),COUNT($V$4:V43)+1,"")</x:f>
      </x:c>
      <x:c r="W44" t="str">
        <x:f>IF($V44="","","LOCINPUT|"&amp;TEXT($V44,"000"))</x:f>
      </x:c>
      <x:c r="X44" t="str">
        <x:f>IF($V44="","",$C44)</x:f>
      </x:c>
    </x:row>
    <x:row r="45">
      <x:c r="A45" s="178" t="str">
        <x:v>No</x:v>
      </x:c>
      <x:c r="B45" s="178" t="str"/>
      <x:c r="C45" s="178" t="str">
        <x:v>LOC_041</x:v>
      </x:c>
      <x:c r="D45" s="178" t="str">
        <x:v>Location 041</x:v>
      </x:c>
      <x:c r="E45" s="178" t="n">
        <x:v>410</x:v>
      </x:c>
      <x:c r="F45" s="179" t="str">
        <x:f>IF(A45&lt;&gt;"Yes","",IF(H45=0,"","("&amp;IFERROR(VLOOKUP(C45&amp;"|"&amp;TEXT(H45,"000"),'Scope Rules'!$J$5:$K$104,2,FALSE),"")&amp;")"))</x:f>
      </x:c>
      <x:c r="G45" s="179" t="str">
        <x:f>IF(OR(A45&lt;&gt;"Yes",F45=""),"","{""label"":"""&amp;D45&amp;""",""value"":"""&amp;SUBSTITUTE(F45,CHAR(34),"\"&amp;CHAR(34))&amp;"""}")</x:f>
      </x:c>
      <x:c r="H45" s="179" t="n">
        <x:f>IF($C45="","",COUNTIFS('Scope Rules'!$H$5:$H$104,"OK",'Scope Rules'!$B$5:$B$104,$C45))</x:f>
        <x:v>0</x:v>
      </x:c>
      <x:c r="I45" s="179" t="str">
        <x:f>IF($A45&lt;&gt;"Yes","Disabled",IF($B45="","Missing NOC ID",IF(COUNTIFS(NOCs!$B$5:$B$44,$B45,NOCs!$A$5:$A$44,"Yes")=0,"NOC not enabled",IF($C45="","Missing Location ID",IF(COUNTIF($C$5:$C$64,$C45)&gt;1,"Duplicate Location ID",IF($D45="","Missing display name",IF(COUNTIFS($B$5:$B$64,$B45,$D$5:$D$64,$D45)&gt;1,"Duplicate display name in NOC",IF($H45=0,"No enabled rules",IF($F45="","No usable scope","OK")))))))))</x:f>
        <x:v>Disabled</x:v>
      </x:c>
      <x:c r="J45" s="178" t="str"/>
      <x:c r="K45" s="118" t="str">
        <x:f>IF($I45="OK",COUNTIFS($B$5:$B45,$B45,$I$5:$I45,"OK"),"")</x:f>
      </x:c>
      <x:c r="L45" s="118" t="str">
        <x:f>IF($K45="","",$B45&amp;"|"&amp;TEXT($K45,"000"))</x:f>
      </x:c>
      <x:c r="M45" s="24" t="str">
        <x:f>IF($I45&lt;&gt;"OK","",IF($K45=1,$F45,IFERROR(VLOOKUP($B45&amp;"|"&amp;TEXT($K45-1,"000"),$L$5:M44,2,FALSE),"")&amp;" OR "&amp;$F45))</x:f>
      </x:c>
      <x:c r="N45" s="24" t="str">
        <x:f>IF($K45="","",$B45&amp;"|"&amp;TEXT($K45,"000"))</x:f>
      </x:c>
      <x:c r="O45" s="24" t="str">
        <x:f>IF($I45="OK",$D45,"")</x:f>
      </x:c>
      <x:c r="P45" s="24" t="str">
        <x:f>IF(Generator!$E$6="","",IFERROR(VLOOKUP(Generator!$E$6&amp;"|041",$N$5:$O$64,2,FALSE),""))</x:f>
      </x:c>
      <x:c r="Q45" t="str">
        <x:f>IF($I45="OK",$B45&amp;"|"&amp;$D45,"")</x:f>
      </x:c>
      <x:c r="R45" t="str">
        <x:f>IF($I45="OK",$C45,"")</x:f>
      </x:c>
      <x:c r="S45" t="str">
        <x:f>IF($I45="OK",$F45,"")</x:f>
      </x:c>
      <x:c r="T45" t="str">
        <x:f>IF($A45&lt;&gt;"Yes","Disabled",$I45)</x:f>
        <x:v>Disabled</x:v>
      </x:c>
      <x:c r="U45" t="str">
        <x:f>IFERROR(VLOOKUP("NOCINPUT|"&amp;TEXT(ROW()-4,"000"),NOCs!$S$5:$T$44,2,FALSE),"")</x:f>
      </x:c>
      <x:c r="V45" t="str">
        <x:f>IF(AND($A45="Yes",$B45&lt;&gt;"",$C45&lt;&gt;"",$D45&lt;&gt;"",COUNTIF(NOCs!$T$5:$T$44,$B45)=1,COUNTIF($C$5:$C$64,$C45)=1),COUNT($V$4:V44)+1,"")</x:f>
      </x:c>
      <x:c r="W45" t="str">
        <x:f>IF($V45="","","LOCINPUT|"&amp;TEXT($V45,"000"))</x:f>
      </x:c>
      <x:c r="X45" t="str">
        <x:f>IF($V45="","",$C45)</x:f>
      </x:c>
    </x:row>
    <x:row r="46">
      <x:c r="A46" s="178" t="str">
        <x:v>No</x:v>
      </x:c>
      <x:c r="B46" s="178" t="str"/>
      <x:c r="C46" s="178" t="str">
        <x:v>LOC_042</x:v>
      </x:c>
      <x:c r="D46" s="178" t="str">
        <x:v>Location 042</x:v>
      </x:c>
      <x:c r="E46" s="178" t="n">
        <x:v>420</x:v>
      </x:c>
      <x:c r="F46" s="179" t="str">
        <x:f>IF(A46&lt;&gt;"Yes","",IF(H46=0,"","("&amp;IFERROR(VLOOKUP(C46&amp;"|"&amp;TEXT(H46,"000"),'Scope Rules'!$J$5:$K$104,2,FALSE),"")&amp;")"))</x:f>
      </x:c>
      <x:c r="G46" s="179" t="str">
        <x:f>IF(OR(A46&lt;&gt;"Yes",F46=""),"","{""label"":"""&amp;D46&amp;""",""value"":"""&amp;SUBSTITUTE(F46,CHAR(34),"\"&amp;CHAR(34))&amp;"""}")</x:f>
      </x:c>
      <x:c r="H46" s="179" t="n">
        <x:f>IF($C46="","",COUNTIFS('Scope Rules'!$H$5:$H$104,"OK",'Scope Rules'!$B$5:$B$104,$C46))</x:f>
        <x:v>0</x:v>
      </x:c>
      <x:c r="I46" s="179" t="str">
        <x:f>IF($A46&lt;&gt;"Yes","Disabled",IF($B46="","Missing NOC ID",IF(COUNTIFS(NOCs!$B$5:$B$44,$B46,NOCs!$A$5:$A$44,"Yes")=0,"NOC not enabled",IF($C46="","Missing Location ID",IF(COUNTIF($C$5:$C$64,$C46)&gt;1,"Duplicate Location ID",IF($D46="","Missing display name",IF(COUNTIFS($B$5:$B$64,$B46,$D$5:$D$64,$D46)&gt;1,"Duplicate display name in NOC",IF($H46=0,"No enabled rules",IF($F46="","No usable scope","OK")))))))))</x:f>
        <x:v>Disabled</x:v>
      </x:c>
      <x:c r="J46" s="178" t="str"/>
      <x:c r="K46" s="118" t="str">
        <x:f>IF($I46="OK",COUNTIFS($B$5:$B46,$B46,$I$5:$I46,"OK"),"")</x:f>
      </x:c>
      <x:c r="L46" s="118" t="str">
        <x:f>IF($K46="","",$B46&amp;"|"&amp;TEXT($K46,"000"))</x:f>
      </x:c>
      <x:c r="M46" s="24" t="str">
        <x:f>IF($I46&lt;&gt;"OK","",IF($K46=1,$F46,IFERROR(VLOOKUP($B46&amp;"|"&amp;TEXT($K46-1,"000"),$L$5:M45,2,FALSE),"")&amp;" OR "&amp;$F46))</x:f>
      </x:c>
      <x:c r="N46" s="24" t="str">
        <x:f>IF($K46="","",$B46&amp;"|"&amp;TEXT($K46,"000"))</x:f>
      </x:c>
      <x:c r="O46" s="24" t="str">
        <x:f>IF($I46="OK",$D46,"")</x:f>
      </x:c>
      <x:c r="P46" s="24" t="str">
        <x:f>IF(Generator!$E$6="","",IFERROR(VLOOKUP(Generator!$E$6&amp;"|042",$N$5:$O$64,2,FALSE),""))</x:f>
      </x:c>
      <x:c r="Q46" t="str">
        <x:f>IF($I46="OK",$B46&amp;"|"&amp;$D46,"")</x:f>
      </x:c>
      <x:c r="R46" t="str">
        <x:f>IF($I46="OK",$C46,"")</x:f>
      </x:c>
      <x:c r="S46" t="str">
        <x:f>IF($I46="OK",$F46,"")</x:f>
      </x:c>
      <x:c r="T46" t="str">
        <x:f>IF($A46&lt;&gt;"Yes","Disabled",$I46)</x:f>
        <x:v>Disabled</x:v>
      </x:c>
      <x:c r="U46" t="str">
        <x:f>IFERROR(VLOOKUP("NOCINPUT|"&amp;TEXT(ROW()-4,"000"),NOCs!$S$5:$T$44,2,FALSE),"")</x:f>
      </x:c>
      <x:c r="V46" t="str">
        <x:f>IF(AND($A46="Yes",$B46&lt;&gt;"",$C46&lt;&gt;"",$D46&lt;&gt;"",COUNTIF(NOCs!$T$5:$T$44,$B46)=1,COUNTIF($C$5:$C$64,$C46)=1),COUNT($V$4:V45)+1,"")</x:f>
      </x:c>
      <x:c r="W46" t="str">
        <x:f>IF($V46="","","LOCINPUT|"&amp;TEXT($V46,"000"))</x:f>
      </x:c>
      <x:c r="X46" t="str">
        <x:f>IF($V46="","",$C46)</x:f>
      </x:c>
    </x:row>
    <x:row r="47">
      <x:c r="A47" s="178" t="str">
        <x:v>No</x:v>
      </x:c>
      <x:c r="B47" s="178" t="str"/>
      <x:c r="C47" s="178" t="str">
        <x:v>LOC_043</x:v>
      </x:c>
      <x:c r="D47" s="178" t="str">
        <x:v>Location 043</x:v>
      </x:c>
      <x:c r="E47" s="178" t="n">
        <x:v>430</x:v>
      </x:c>
      <x:c r="F47" s="179" t="str">
        <x:f>IF(A47&lt;&gt;"Yes","",IF(H47=0,"","("&amp;IFERROR(VLOOKUP(C47&amp;"|"&amp;TEXT(H47,"000"),'Scope Rules'!$J$5:$K$104,2,FALSE),"")&amp;")"))</x:f>
      </x:c>
      <x:c r="G47" s="179" t="str">
        <x:f>IF(OR(A47&lt;&gt;"Yes",F47=""),"","{""label"":"""&amp;D47&amp;""",""value"":"""&amp;SUBSTITUTE(F47,CHAR(34),"\"&amp;CHAR(34))&amp;"""}")</x:f>
      </x:c>
      <x:c r="H47" s="179" t="n">
        <x:f>IF($C47="","",COUNTIFS('Scope Rules'!$H$5:$H$104,"OK",'Scope Rules'!$B$5:$B$104,$C47))</x:f>
        <x:v>0</x:v>
      </x:c>
      <x:c r="I47" s="179" t="str">
        <x:f>IF($A47&lt;&gt;"Yes","Disabled",IF($B47="","Missing NOC ID",IF(COUNTIFS(NOCs!$B$5:$B$44,$B47,NOCs!$A$5:$A$44,"Yes")=0,"NOC not enabled",IF($C47="","Missing Location ID",IF(COUNTIF($C$5:$C$64,$C47)&gt;1,"Duplicate Location ID",IF($D47="","Missing display name",IF(COUNTIFS($B$5:$B$64,$B47,$D$5:$D$64,$D47)&gt;1,"Duplicate display name in NOC",IF($H47=0,"No enabled rules",IF($F47="","No usable scope","OK")))))))))</x:f>
        <x:v>Disabled</x:v>
      </x:c>
      <x:c r="J47" s="178" t="str"/>
      <x:c r="K47" s="118" t="str">
        <x:f>IF($I47="OK",COUNTIFS($B$5:$B47,$B47,$I$5:$I47,"OK"),"")</x:f>
      </x:c>
      <x:c r="L47" s="118" t="str">
        <x:f>IF($K47="","",$B47&amp;"|"&amp;TEXT($K47,"000"))</x:f>
      </x:c>
      <x:c r="M47" s="24" t="str">
        <x:f>IF($I47&lt;&gt;"OK","",IF($K47=1,$F47,IFERROR(VLOOKUP($B47&amp;"|"&amp;TEXT($K47-1,"000"),$L$5:M46,2,FALSE),"")&amp;" OR "&amp;$F47))</x:f>
      </x:c>
      <x:c r="N47" s="24" t="str">
        <x:f>IF($K47="","",$B47&amp;"|"&amp;TEXT($K47,"000"))</x:f>
      </x:c>
      <x:c r="O47" s="24" t="str">
        <x:f>IF($I47="OK",$D47,"")</x:f>
      </x:c>
      <x:c r="P47" s="24" t="str">
        <x:f>IF(Generator!$E$6="","",IFERROR(VLOOKUP(Generator!$E$6&amp;"|043",$N$5:$O$64,2,FALSE),""))</x:f>
      </x:c>
      <x:c r="Q47" t="str">
        <x:f>IF($I47="OK",$B47&amp;"|"&amp;$D47,"")</x:f>
      </x:c>
      <x:c r="R47" t="str">
        <x:f>IF($I47="OK",$C47,"")</x:f>
      </x:c>
      <x:c r="S47" t="str">
        <x:f>IF($I47="OK",$F47,"")</x:f>
      </x:c>
      <x:c r="T47" t="str">
        <x:f>IF($A47&lt;&gt;"Yes","Disabled",$I47)</x:f>
        <x:v>Disabled</x:v>
      </x:c>
      <x:c r="U47" t="str">
        <x:f>IFERROR(VLOOKUP("NOCINPUT|"&amp;TEXT(ROW()-4,"000"),NOCs!$S$5:$T$44,2,FALSE),"")</x:f>
      </x:c>
      <x:c r="V47" t="str">
        <x:f>IF(AND($A47="Yes",$B47&lt;&gt;"",$C47&lt;&gt;"",$D47&lt;&gt;"",COUNTIF(NOCs!$T$5:$T$44,$B47)=1,COUNTIF($C$5:$C$64,$C47)=1),COUNT($V$4:V46)+1,"")</x:f>
      </x:c>
      <x:c r="W47" t="str">
        <x:f>IF($V47="","","LOCINPUT|"&amp;TEXT($V47,"000"))</x:f>
      </x:c>
      <x:c r="X47" t="str">
        <x:f>IF($V47="","",$C47)</x:f>
      </x:c>
    </x:row>
    <x:row r="48">
      <x:c r="A48" s="178" t="str">
        <x:v>No</x:v>
      </x:c>
      <x:c r="B48" s="178" t="str"/>
      <x:c r="C48" s="178" t="str">
        <x:v>LOC_044</x:v>
      </x:c>
      <x:c r="D48" s="178" t="str">
        <x:v>Location 044</x:v>
      </x:c>
      <x:c r="E48" s="178" t="n">
        <x:v>440</x:v>
      </x:c>
      <x:c r="F48" s="179" t="str">
        <x:f>IF(A48&lt;&gt;"Yes","",IF(H48=0,"","("&amp;IFERROR(VLOOKUP(C48&amp;"|"&amp;TEXT(H48,"000"),'Scope Rules'!$J$5:$K$104,2,FALSE),"")&amp;")"))</x:f>
      </x:c>
      <x:c r="G48" s="179" t="str">
        <x:f>IF(OR(A48&lt;&gt;"Yes",F48=""),"","{""label"":"""&amp;D48&amp;""",""value"":"""&amp;SUBSTITUTE(F48,CHAR(34),"\"&amp;CHAR(34))&amp;"""}")</x:f>
      </x:c>
      <x:c r="H48" s="179" t="n">
        <x:f>IF($C48="","",COUNTIFS('Scope Rules'!$H$5:$H$104,"OK",'Scope Rules'!$B$5:$B$104,$C48))</x:f>
        <x:v>0</x:v>
      </x:c>
      <x:c r="I48" s="179" t="str">
        <x:f>IF($A48&lt;&gt;"Yes","Disabled",IF($B48="","Missing NOC ID",IF(COUNTIFS(NOCs!$B$5:$B$44,$B48,NOCs!$A$5:$A$44,"Yes")=0,"NOC not enabled",IF($C48="","Missing Location ID",IF(COUNTIF($C$5:$C$64,$C48)&gt;1,"Duplicate Location ID",IF($D48="","Missing display name",IF(COUNTIFS($B$5:$B$64,$B48,$D$5:$D$64,$D48)&gt;1,"Duplicate display name in NOC",IF($H48=0,"No enabled rules",IF($F48="","No usable scope","OK")))))))))</x:f>
        <x:v>Disabled</x:v>
      </x:c>
      <x:c r="J48" s="178" t="str"/>
      <x:c r="K48" s="118" t="str">
        <x:f>IF($I48="OK",COUNTIFS($B$5:$B48,$B48,$I$5:$I48,"OK"),"")</x:f>
      </x:c>
      <x:c r="L48" s="118" t="str">
        <x:f>IF($K48="","",$B48&amp;"|"&amp;TEXT($K48,"000"))</x:f>
      </x:c>
      <x:c r="M48" s="24" t="str">
        <x:f>IF($I48&lt;&gt;"OK","",IF($K48=1,$F48,IFERROR(VLOOKUP($B48&amp;"|"&amp;TEXT($K48-1,"000"),$L$5:M47,2,FALSE),"")&amp;" OR "&amp;$F48))</x:f>
      </x:c>
      <x:c r="N48" s="24" t="str">
        <x:f>IF($K48="","",$B48&amp;"|"&amp;TEXT($K48,"000"))</x:f>
      </x:c>
      <x:c r="O48" s="24" t="str">
        <x:f>IF($I48="OK",$D48,"")</x:f>
      </x:c>
      <x:c r="P48" s="24" t="str">
        <x:f>IF(Generator!$E$6="","",IFERROR(VLOOKUP(Generator!$E$6&amp;"|044",$N$5:$O$64,2,FALSE),""))</x:f>
      </x:c>
      <x:c r="Q48" t="str">
        <x:f>IF($I48="OK",$B48&amp;"|"&amp;$D48,"")</x:f>
      </x:c>
      <x:c r="R48" t="str">
        <x:f>IF($I48="OK",$C48,"")</x:f>
      </x:c>
      <x:c r="S48" t="str">
        <x:f>IF($I48="OK",$F48,"")</x:f>
      </x:c>
      <x:c r="T48" t="str">
        <x:f>IF($A48&lt;&gt;"Yes","Disabled",$I48)</x:f>
        <x:v>Disabled</x:v>
      </x:c>
      <x:c r="U48" t="str">
        <x:f>IFERROR(VLOOKUP("NOCINPUT|"&amp;TEXT(ROW()-4,"000"),NOCs!$S$5:$T$44,2,FALSE),"")</x:f>
      </x:c>
      <x:c r="V48" t="str">
        <x:f>IF(AND($A48="Yes",$B48&lt;&gt;"",$C48&lt;&gt;"",$D48&lt;&gt;"",COUNTIF(NOCs!$T$5:$T$44,$B48)=1,COUNTIF($C$5:$C$64,$C48)=1),COUNT($V$4:V47)+1,"")</x:f>
      </x:c>
      <x:c r="W48" t="str">
        <x:f>IF($V48="","","LOCINPUT|"&amp;TEXT($V48,"000"))</x:f>
      </x:c>
      <x:c r="X48" t="str">
        <x:f>IF($V48="","",$C48)</x:f>
      </x:c>
    </x:row>
    <x:row r="49">
      <x:c r="A49" s="178" t="str">
        <x:v>No</x:v>
      </x:c>
      <x:c r="B49" s="178" t="str"/>
      <x:c r="C49" s="178" t="str">
        <x:v>LOC_045</x:v>
      </x:c>
      <x:c r="D49" s="178" t="str">
        <x:v>Location 045</x:v>
      </x:c>
      <x:c r="E49" s="178" t="n">
        <x:v>450</x:v>
      </x:c>
      <x:c r="F49" s="179" t="str">
        <x:f>IF(A49&lt;&gt;"Yes","",IF(H49=0,"","("&amp;IFERROR(VLOOKUP(C49&amp;"|"&amp;TEXT(H49,"000"),'Scope Rules'!$J$5:$K$104,2,FALSE),"")&amp;")"))</x:f>
      </x:c>
      <x:c r="G49" s="179" t="str">
        <x:f>IF(OR(A49&lt;&gt;"Yes",F49=""),"","{""label"":"""&amp;D49&amp;""",""value"":"""&amp;SUBSTITUTE(F49,CHAR(34),"\"&amp;CHAR(34))&amp;"""}")</x:f>
      </x:c>
      <x:c r="H49" s="179" t="n">
        <x:f>IF($C49="","",COUNTIFS('Scope Rules'!$H$5:$H$104,"OK",'Scope Rules'!$B$5:$B$104,$C49))</x:f>
        <x:v>0</x:v>
      </x:c>
      <x:c r="I49" s="179" t="str">
        <x:f>IF($A49&lt;&gt;"Yes","Disabled",IF($B49="","Missing NOC ID",IF(COUNTIFS(NOCs!$B$5:$B$44,$B49,NOCs!$A$5:$A$44,"Yes")=0,"NOC not enabled",IF($C49="","Missing Location ID",IF(COUNTIF($C$5:$C$64,$C49)&gt;1,"Duplicate Location ID",IF($D49="","Missing display name",IF(COUNTIFS($B$5:$B$64,$B49,$D$5:$D$64,$D49)&gt;1,"Duplicate display name in NOC",IF($H49=0,"No enabled rules",IF($F49="","No usable scope","OK")))))))))</x:f>
        <x:v>Disabled</x:v>
      </x:c>
      <x:c r="J49" s="178" t="str"/>
      <x:c r="K49" s="118" t="str">
        <x:f>IF($I49="OK",COUNTIFS($B$5:$B49,$B49,$I$5:$I49,"OK"),"")</x:f>
      </x:c>
      <x:c r="L49" s="118" t="str">
        <x:f>IF($K49="","",$B49&amp;"|"&amp;TEXT($K49,"000"))</x:f>
      </x:c>
      <x:c r="M49" s="24" t="str">
        <x:f>IF($I49&lt;&gt;"OK","",IF($K49=1,$F49,IFERROR(VLOOKUP($B49&amp;"|"&amp;TEXT($K49-1,"000"),$L$5:M48,2,FALSE),"")&amp;" OR "&amp;$F49))</x:f>
      </x:c>
      <x:c r="N49" s="24" t="str">
        <x:f>IF($K49="","",$B49&amp;"|"&amp;TEXT($K49,"000"))</x:f>
      </x:c>
      <x:c r="O49" s="24" t="str">
        <x:f>IF($I49="OK",$D49,"")</x:f>
      </x:c>
      <x:c r="P49" s="24" t="str">
        <x:f>IF(Generator!$E$6="","",IFERROR(VLOOKUP(Generator!$E$6&amp;"|045",$N$5:$O$64,2,FALSE),""))</x:f>
      </x:c>
      <x:c r="Q49" t="str">
        <x:f>IF($I49="OK",$B49&amp;"|"&amp;$D49,"")</x:f>
      </x:c>
      <x:c r="R49" t="str">
        <x:f>IF($I49="OK",$C49,"")</x:f>
      </x:c>
      <x:c r="S49" t="str">
        <x:f>IF($I49="OK",$F49,"")</x:f>
      </x:c>
      <x:c r="T49" t="str">
        <x:f>IF($A49&lt;&gt;"Yes","Disabled",$I49)</x:f>
        <x:v>Disabled</x:v>
      </x:c>
      <x:c r="U49" t="str">
        <x:f>IFERROR(VLOOKUP("NOCINPUT|"&amp;TEXT(ROW()-4,"000"),NOCs!$S$5:$T$44,2,FALSE),"")</x:f>
      </x:c>
      <x:c r="V49" t="str">
        <x:f>IF(AND($A49="Yes",$B49&lt;&gt;"",$C49&lt;&gt;"",$D49&lt;&gt;"",COUNTIF(NOCs!$T$5:$T$44,$B49)=1,COUNTIF($C$5:$C$64,$C49)=1),COUNT($V$4:V48)+1,"")</x:f>
      </x:c>
      <x:c r="W49" t="str">
        <x:f>IF($V49="","","LOCINPUT|"&amp;TEXT($V49,"000"))</x:f>
      </x:c>
      <x:c r="X49" t="str">
        <x:f>IF($V49="","",$C49)</x:f>
      </x:c>
    </x:row>
    <x:row r="50">
      <x:c r="A50" s="178" t="str">
        <x:v>No</x:v>
      </x:c>
      <x:c r="B50" s="178" t="str"/>
      <x:c r="C50" s="178" t="str">
        <x:v>LOC_046</x:v>
      </x:c>
      <x:c r="D50" s="178" t="str">
        <x:v>Location 046</x:v>
      </x:c>
      <x:c r="E50" s="178" t="n">
        <x:v>460</x:v>
      </x:c>
      <x:c r="F50" s="179" t="str">
        <x:f>IF(A50&lt;&gt;"Yes","",IF(H50=0,"","("&amp;IFERROR(VLOOKUP(C50&amp;"|"&amp;TEXT(H50,"000"),'Scope Rules'!$J$5:$K$104,2,FALSE),"")&amp;")"))</x:f>
      </x:c>
      <x:c r="G50" s="179" t="str">
        <x:f>IF(OR(A50&lt;&gt;"Yes",F50=""),"","{""label"":"""&amp;D50&amp;""",""value"":"""&amp;SUBSTITUTE(F50,CHAR(34),"\"&amp;CHAR(34))&amp;"""}")</x:f>
      </x:c>
      <x:c r="H50" s="179" t="n">
        <x:f>IF($C50="","",COUNTIFS('Scope Rules'!$H$5:$H$104,"OK",'Scope Rules'!$B$5:$B$104,$C50))</x:f>
        <x:v>0</x:v>
      </x:c>
      <x:c r="I50" s="179" t="str">
        <x:f>IF($A50&lt;&gt;"Yes","Disabled",IF($B50="","Missing NOC ID",IF(COUNTIFS(NOCs!$B$5:$B$44,$B50,NOCs!$A$5:$A$44,"Yes")=0,"NOC not enabled",IF($C50="","Missing Location ID",IF(COUNTIF($C$5:$C$64,$C50)&gt;1,"Duplicate Location ID",IF($D50="","Missing display name",IF(COUNTIFS($B$5:$B$64,$B50,$D$5:$D$64,$D50)&gt;1,"Duplicate display name in NOC",IF($H50=0,"No enabled rules",IF($F50="","No usable scope","OK")))))))))</x:f>
        <x:v>Disabled</x:v>
      </x:c>
      <x:c r="J50" s="178" t="str"/>
      <x:c r="K50" s="118" t="str">
        <x:f>IF($I50="OK",COUNTIFS($B$5:$B50,$B50,$I$5:$I50,"OK"),"")</x:f>
      </x:c>
      <x:c r="L50" s="118" t="str">
        <x:f>IF($K50="","",$B50&amp;"|"&amp;TEXT($K50,"000"))</x:f>
      </x:c>
      <x:c r="M50" s="24" t="str">
        <x:f>IF($I50&lt;&gt;"OK","",IF($K50=1,$F50,IFERROR(VLOOKUP($B50&amp;"|"&amp;TEXT($K50-1,"000"),$L$5:M49,2,FALSE),"")&amp;" OR "&amp;$F50))</x:f>
      </x:c>
      <x:c r="N50" s="24" t="str">
        <x:f>IF($K50="","",$B50&amp;"|"&amp;TEXT($K50,"000"))</x:f>
      </x:c>
      <x:c r="O50" s="24" t="str">
        <x:f>IF($I50="OK",$D50,"")</x:f>
      </x:c>
      <x:c r="P50" s="24" t="str">
        <x:f>IF(Generator!$E$6="","",IFERROR(VLOOKUP(Generator!$E$6&amp;"|046",$N$5:$O$64,2,FALSE),""))</x:f>
      </x:c>
      <x:c r="Q50" t="str">
        <x:f>IF($I50="OK",$B50&amp;"|"&amp;$D50,"")</x:f>
      </x:c>
      <x:c r="R50" t="str">
        <x:f>IF($I50="OK",$C50,"")</x:f>
      </x:c>
      <x:c r="S50" t="str">
        <x:f>IF($I50="OK",$F50,"")</x:f>
      </x:c>
      <x:c r="T50" t="str">
        <x:f>IF($A50&lt;&gt;"Yes","Disabled",$I50)</x:f>
        <x:v>Disabled</x:v>
      </x:c>
      <x:c r="U50" t="str">
        <x:f>IFERROR(VLOOKUP("NOCINPUT|"&amp;TEXT(ROW()-4,"000"),NOCs!$S$5:$T$44,2,FALSE),"")</x:f>
      </x:c>
      <x:c r="V50" t="str">
        <x:f>IF(AND($A50="Yes",$B50&lt;&gt;"",$C50&lt;&gt;"",$D50&lt;&gt;"",COUNTIF(NOCs!$T$5:$T$44,$B50)=1,COUNTIF($C$5:$C$64,$C50)=1),COUNT($V$4:V49)+1,"")</x:f>
      </x:c>
      <x:c r="W50" t="str">
        <x:f>IF($V50="","","LOCINPUT|"&amp;TEXT($V50,"000"))</x:f>
      </x:c>
      <x:c r="X50" t="str">
        <x:f>IF($V50="","",$C50)</x:f>
      </x:c>
    </x:row>
    <x:row r="51">
      <x:c r="A51" s="178" t="str">
        <x:v>No</x:v>
      </x:c>
      <x:c r="B51" s="178" t="str"/>
      <x:c r="C51" s="178" t="str">
        <x:v>LOC_047</x:v>
      </x:c>
      <x:c r="D51" s="178" t="str">
        <x:v>Location 047</x:v>
      </x:c>
      <x:c r="E51" s="178" t="n">
        <x:v>470</x:v>
      </x:c>
      <x:c r="F51" s="179" t="str">
        <x:f>IF(A51&lt;&gt;"Yes","",IF(H51=0,"","("&amp;IFERROR(VLOOKUP(C51&amp;"|"&amp;TEXT(H51,"000"),'Scope Rules'!$J$5:$K$104,2,FALSE),"")&amp;")"))</x:f>
      </x:c>
      <x:c r="G51" s="179" t="str">
        <x:f>IF(OR(A51&lt;&gt;"Yes",F51=""),"","{""label"":"""&amp;D51&amp;""",""value"":"""&amp;SUBSTITUTE(F51,CHAR(34),"\"&amp;CHAR(34))&amp;"""}")</x:f>
      </x:c>
      <x:c r="H51" s="179" t="n">
        <x:f>IF($C51="","",COUNTIFS('Scope Rules'!$H$5:$H$104,"OK",'Scope Rules'!$B$5:$B$104,$C51))</x:f>
        <x:v>0</x:v>
      </x:c>
      <x:c r="I51" s="179" t="str">
        <x:f>IF($A51&lt;&gt;"Yes","Disabled",IF($B51="","Missing NOC ID",IF(COUNTIFS(NOCs!$B$5:$B$44,$B51,NOCs!$A$5:$A$44,"Yes")=0,"NOC not enabled",IF($C51="","Missing Location ID",IF(COUNTIF($C$5:$C$64,$C51)&gt;1,"Duplicate Location ID",IF($D51="","Missing display name",IF(COUNTIFS($B$5:$B$64,$B51,$D$5:$D$64,$D51)&gt;1,"Duplicate display name in NOC",IF($H51=0,"No enabled rules",IF($F51="","No usable scope","OK")))))))))</x:f>
        <x:v>Disabled</x:v>
      </x:c>
      <x:c r="J51" s="178" t="str"/>
      <x:c r="K51" s="118" t="str">
        <x:f>IF($I51="OK",COUNTIFS($B$5:$B51,$B51,$I$5:$I51,"OK"),"")</x:f>
      </x:c>
      <x:c r="L51" s="118" t="str">
        <x:f>IF($K51="","",$B51&amp;"|"&amp;TEXT($K51,"000"))</x:f>
      </x:c>
      <x:c r="M51" s="24" t="str">
        <x:f>IF($I51&lt;&gt;"OK","",IF($K51=1,$F51,IFERROR(VLOOKUP($B51&amp;"|"&amp;TEXT($K51-1,"000"),$L$5:M50,2,FALSE),"")&amp;" OR "&amp;$F51))</x:f>
      </x:c>
      <x:c r="N51" s="24" t="str">
        <x:f>IF($K51="","",$B51&amp;"|"&amp;TEXT($K51,"000"))</x:f>
      </x:c>
      <x:c r="O51" s="24" t="str">
        <x:f>IF($I51="OK",$D51,"")</x:f>
      </x:c>
      <x:c r="P51" s="24" t="str">
        <x:f>IF(Generator!$E$6="","",IFERROR(VLOOKUP(Generator!$E$6&amp;"|047",$N$5:$O$64,2,FALSE),""))</x:f>
      </x:c>
      <x:c r="Q51" t="str">
        <x:f>IF($I51="OK",$B51&amp;"|"&amp;$D51,"")</x:f>
      </x:c>
      <x:c r="R51" t="str">
        <x:f>IF($I51="OK",$C51,"")</x:f>
      </x:c>
      <x:c r="S51" t="str">
        <x:f>IF($I51="OK",$F51,"")</x:f>
      </x:c>
      <x:c r="T51" t="str">
        <x:f>IF($A51&lt;&gt;"Yes","Disabled",$I51)</x:f>
        <x:v>Disabled</x:v>
      </x:c>
      <x:c r="U51" t="str">
        <x:f>IFERROR(VLOOKUP("NOCINPUT|"&amp;TEXT(ROW()-4,"000"),NOCs!$S$5:$T$44,2,FALSE),"")</x:f>
      </x:c>
      <x:c r="V51" t="str">
        <x:f>IF(AND($A51="Yes",$B51&lt;&gt;"",$C51&lt;&gt;"",$D51&lt;&gt;"",COUNTIF(NOCs!$T$5:$T$44,$B51)=1,COUNTIF($C$5:$C$64,$C51)=1),COUNT($V$4:V50)+1,"")</x:f>
      </x:c>
      <x:c r="W51" t="str">
        <x:f>IF($V51="","","LOCINPUT|"&amp;TEXT($V51,"000"))</x:f>
      </x:c>
      <x:c r="X51" t="str">
        <x:f>IF($V51="","",$C51)</x:f>
      </x:c>
    </x:row>
    <x:row r="52">
      <x:c r="A52" s="178" t="str">
        <x:v>No</x:v>
      </x:c>
      <x:c r="B52" s="178" t="str"/>
      <x:c r="C52" s="178" t="str">
        <x:v>LOC_048</x:v>
      </x:c>
      <x:c r="D52" s="178" t="str">
        <x:v>Location 048</x:v>
      </x:c>
      <x:c r="E52" s="178" t="n">
        <x:v>480</x:v>
      </x:c>
      <x:c r="F52" s="179" t="str">
        <x:f>IF(A52&lt;&gt;"Yes","",IF(H52=0,"","("&amp;IFERROR(VLOOKUP(C52&amp;"|"&amp;TEXT(H52,"000"),'Scope Rules'!$J$5:$K$104,2,FALSE),"")&amp;")"))</x:f>
      </x:c>
      <x:c r="G52" s="179" t="str">
        <x:f>IF(OR(A52&lt;&gt;"Yes",F52=""),"","{""label"":"""&amp;D52&amp;""",""value"":"""&amp;SUBSTITUTE(F52,CHAR(34),"\"&amp;CHAR(34))&amp;"""}")</x:f>
      </x:c>
      <x:c r="H52" s="179" t="n">
        <x:f>IF($C52="","",COUNTIFS('Scope Rules'!$H$5:$H$104,"OK",'Scope Rules'!$B$5:$B$104,$C52))</x:f>
        <x:v>0</x:v>
      </x:c>
      <x:c r="I52" s="179" t="str">
        <x:f>IF($A52&lt;&gt;"Yes","Disabled",IF($B52="","Missing NOC ID",IF(COUNTIFS(NOCs!$B$5:$B$44,$B52,NOCs!$A$5:$A$44,"Yes")=0,"NOC not enabled",IF($C52="","Missing Location ID",IF(COUNTIF($C$5:$C$64,$C52)&gt;1,"Duplicate Location ID",IF($D52="","Missing display name",IF(COUNTIFS($B$5:$B$64,$B52,$D$5:$D$64,$D52)&gt;1,"Duplicate display name in NOC",IF($H52=0,"No enabled rules",IF($F52="","No usable scope","OK")))))))))</x:f>
        <x:v>Disabled</x:v>
      </x:c>
      <x:c r="J52" s="178" t="str"/>
      <x:c r="K52" s="118" t="str">
        <x:f>IF($I52="OK",COUNTIFS($B$5:$B52,$B52,$I$5:$I52,"OK"),"")</x:f>
      </x:c>
      <x:c r="L52" s="118" t="str">
        <x:f>IF($K52="","",$B52&amp;"|"&amp;TEXT($K52,"000"))</x:f>
      </x:c>
      <x:c r="M52" s="24" t="str">
        <x:f>IF($I52&lt;&gt;"OK","",IF($K52=1,$F52,IFERROR(VLOOKUP($B52&amp;"|"&amp;TEXT($K52-1,"000"),$L$5:M51,2,FALSE),"")&amp;" OR "&amp;$F52))</x:f>
      </x:c>
      <x:c r="N52" s="24" t="str">
        <x:f>IF($K52="","",$B52&amp;"|"&amp;TEXT($K52,"000"))</x:f>
      </x:c>
      <x:c r="O52" s="24" t="str">
        <x:f>IF($I52="OK",$D52,"")</x:f>
      </x:c>
      <x:c r="P52" s="24" t="str">
        <x:f>IF(Generator!$E$6="","",IFERROR(VLOOKUP(Generator!$E$6&amp;"|048",$N$5:$O$64,2,FALSE),""))</x:f>
      </x:c>
      <x:c r="Q52" t="str">
        <x:f>IF($I52="OK",$B52&amp;"|"&amp;$D52,"")</x:f>
      </x:c>
      <x:c r="R52" t="str">
        <x:f>IF($I52="OK",$C52,"")</x:f>
      </x:c>
      <x:c r="S52" t="str">
        <x:f>IF($I52="OK",$F52,"")</x:f>
      </x:c>
      <x:c r="T52" t="str">
        <x:f>IF($A52&lt;&gt;"Yes","Disabled",$I52)</x:f>
        <x:v>Disabled</x:v>
      </x:c>
      <x:c r="U52" t="str">
        <x:f>IFERROR(VLOOKUP("NOCINPUT|"&amp;TEXT(ROW()-4,"000"),NOCs!$S$5:$T$44,2,FALSE),"")</x:f>
      </x:c>
      <x:c r="V52" t="str">
        <x:f>IF(AND($A52="Yes",$B52&lt;&gt;"",$C52&lt;&gt;"",$D52&lt;&gt;"",COUNTIF(NOCs!$T$5:$T$44,$B52)=1,COUNTIF($C$5:$C$64,$C52)=1),COUNT($V$4:V51)+1,"")</x:f>
      </x:c>
      <x:c r="W52" t="str">
        <x:f>IF($V52="","","LOCINPUT|"&amp;TEXT($V52,"000"))</x:f>
      </x:c>
      <x:c r="X52" t="str">
        <x:f>IF($V52="","",$C52)</x:f>
      </x:c>
    </x:row>
    <x:row r="53">
      <x:c r="A53" s="178" t="str">
        <x:v>No</x:v>
      </x:c>
      <x:c r="B53" s="178" t="str"/>
      <x:c r="C53" s="178" t="str">
        <x:v>LOC_049</x:v>
      </x:c>
      <x:c r="D53" s="178" t="str">
        <x:v>Location 049</x:v>
      </x:c>
      <x:c r="E53" s="178" t="n">
        <x:v>490</x:v>
      </x:c>
      <x:c r="F53" s="179" t="str">
        <x:f>IF(A53&lt;&gt;"Yes","",IF(H53=0,"","("&amp;IFERROR(VLOOKUP(C53&amp;"|"&amp;TEXT(H53,"000"),'Scope Rules'!$J$5:$K$104,2,FALSE),"")&amp;")"))</x:f>
      </x:c>
      <x:c r="G53" s="179" t="str">
        <x:f>IF(OR(A53&lt;&gt;"Yes",F53=""),"","{""label"":"""&amp;D53&amp;""",""value"":"""&amp;SUBSTITUTE(F53,CHAR(34),"\"&amp;CHAR(34))&amp;"""}")</x:f>
      </x:c>
      <x:c r="H53" s="179" t="n">
        <x:f>IF($C53="","",COUNTIFS('Scope Rules'!$H$5:$H$104,"OK",'Scope Rules'!$B$5:$B$104,$C53))</x:f>
        <x:v>0</x:v>
      </x:c>
      <x:c r="I53" s="179" t="str">
        <x:f>IF($A53&lt;&gt;"Yes","Disabled",IF($B53="","Missing NOC ID",IF(COUNTIFS(NOCs!$B$5:$B$44,$B53,NOCs!$A$5:$A$44,"Yes")=0,"NOC not enabled",IF($C53="","Missing Location ID",IF(COUNTIF($C$5:$C$64,$C53)&gt;1,"Duplicate Location ID",IF($D53="","Missing display name",IF(COUNTIFS($B$5:$B$64,$B53,$D$5:$D$64,$D53)&gt;1,"Duplicate display name in NOC",IF($H53=0,"No enabled rules",IF($F53="","No usable scope","OK")))))))))</x:f>
        <x:v>Disabled</x:v>
      </x:c>
      <x:c r="J53" s="178" t="str"/>
      <x:c r="K53" s="118" t="str">
        <x:f>IF($I53="OK",COUNTIFS($B$5:$B53,$B53,$I$5:$I53,"OK"),"")</x:f>
      </x:c>
      <x:c r="L53" s="118" t="str">
        <x:f>IF($K53="","",$B53&amp;"|"&amp;TEXT($K53,"000"))</x:f>
      </x:c>
      <x:c r="M53" s="24" t="str">
        <x:f>IF($I53&lt;&gt;"OK","",IF($K53=1,$F53,IFERROR(VLOOKUP($B53&amp;"|"&amp;TEXT($K53-1,"000"),$L$5:M52,2,FALSE),"")&amp;" OR "&amp;$F53))</x:f>
      </x:c>
      <x:c r="N53" s="24" t="str">
        <x:f>IF($K53="","",$B53&amp;"|"&amp;TEXT($K53,"000"))</x:f>
      </x:c>
      <x:c r="O53" s="24" t="str">
        <x:f>IF($I53="OK",$D53,"")</x:f>
      </x:c>
      <x:c r="P53" s="24" t="str">
        <x:f>IF(Generator!$E$6="","",IFERROR(VLOOKUP(Generator!$E$6&amp;"|049",$N$5:$O$64,2,FALSE),""))</x:f>
      </x:c>
      <x:c r="Q53" t="str">
        <x:f>IF($I53="OK",$B53&amp;"|"&amp;$D53,"")</x:f>
      </x:c>
      <x:c r="R53" t="str">
        <x:f>IF($I53="OK",$C53,"")</x:f>
      </x:c>
      <x:c r="S53" t="str">
        <x:f>IF($I53="OK",$F53,"")</x:f>
      </x:c>
      <x:c r="T53" t="str">
        <x:f>IF($A53&lt;&gt;"Yes","Disabled",$I53)</x:f>
        <x:v>Disabled</x:v>
      </x:c>
      <x:c r="U53" t="str">
        <x:f>IFERROR(VLOOKUP("NOCINPUT|"&amp;TEXT(ROW()-4,"000"),NOCs!$S$5:$T$44,2,FALSE),"")</x:f>
      </x:c>
      <x:c r="V53" t="str">
        <x:f>IF(AND($A53="Yes",$B53&lt;&gt;"",$C53&lt;&gt;"",$D53&lt;&gt;"",COUNTIF(NOCs!$T$5:$T$44,$B53)=1,COUNTIF($C$5:$C$64,$C53)=1),COUNT($V$4:V52)+1,"")</x:f>
      </x:c>
      <x:c r="W53" t="str">
        <x:f>IF($V53="","","LOCINPUT|"&amp;TEXT($V53,"000"))</x:f>
      </x:c>
      <x:c r="X53" t="str">
        <x:f>IF($V53="","",$C53)</x:f>
      </x:c>
    </x:row>
    <x:row r="54">
      <x:c r="A54" s="178" t="str">
        <x:v>No</x:v>
      </x:c>
      <x:c r="B54" s="178" t="str"/>
      <x:c r="C54" s="178" t="str">
        <x:v>LOC_050</x:v>
      </x:c>
      <x:c r="D54" s="178" t="str">
        <x:v>Location 050</x:v>
      </x:c>
      <x:c r="E54" s="178" t="n">
        <x:v>500</x:v>
      </x:c>
      <x:c r="F54" s="179" t="str">
        <x:f>IF(A54&lt;&gt;"Yes","",IF(H54=0,"","("&amp;IFERROR(VLOOKUP(C54&amp;"|"&amp;TEXT(H54,"000"),'Scope Rules'!$J$5:$K$104,2,FALSE),"")&amp;")"))</x:f>
      </x:c>
      <x:c r="G54" s="179" t="str">
        <x:f>IF(OR(A54&lt;&gt;"Yes",F54=""),"","{""label"":"""&amp;D54&amp;""",""value"":"""&amp;SUBSTITUTE(F54,CHAR(34),"\"&amp;CHAR(34))&amp;"""}")</x:f>
      </x:c>
      <x:c r="H54" s="179" t="n">
        <x:f>IF($C54="","",COUNTIFS('Scope Rules'!$H$5:$H$104,"OK",'Scope Rules'!$B$5:$B$104,$C54))</x:f>
        <x:v>0</x:v>
      </x:c>
      <x:c r="I54" s="179" t="str">
        <x:f>IF($A54&lt;&gt;"Yes","Disabled",IF($B54="","Missing NOC ID",IF(COUNTIFS(NOCs!$B$5:$B$44,$B54,NOCs!$A$5:$A$44,"Yes")=0,"NOC not enabled",IF($C54="","Missing Location ID",IF(COUNTIF($C$5:$C$64,$C54)&gt;1,"Duplicate Location ID",IF($D54="","Missing display name",IF(COUNTIFS($B$5:$B$64,$B54,$D$5:$D$64,$D54)&gt;1,"Duplicate display name in NOC",IF($H54=0,"No enabled rules",IF($F54="","No usable scope","OK")))))))))</x:f>
        <x:v>Disabled</x:v>
      </x:c>
      <x:c r="J54" s="178" t="str"/>
      <x:c r="K54" s="118" t="str">
        <x:f>IF($I54="OK",COUNTIFS($B$5:$B54,$B54,$I$5:$I54,"OK"),"")</x:f>
      </x:c>
      <x:c r="L54" s="118" t="str">
        <x:f>IF($K54="","",$B54&amp;"|"&amp;TEXT($K54,"000"))</x:f>
      </x:c>
      <x:c r="M54" s="24" t="str">
        <x:f>IF($I54&lt;&gt;"OK","",IF($K54=1,$F54,IFERROR(VLOOKUP($B54&amp;"|"&amp;TEXT($K54-1,"000"),$L$5:M53,2,FALSE),"")&amp;" OR "&amp;$F54))</x:f>
      </x:c>
      <x:c r="N54" s="24" t="str">
        <x:f>IF($K54="","",$B54&amp;"|"&amp;TEXT($K54,"000"))</x:f>
      </x:c>
      <x:c r="O54" s="24" t="str">
        <x:f>IF($I54="OK",$D54,"")</x:f>
      </x:c>
      <x:c r="P54" s="24" t="str">
        <x:f>IF(Generator!$E$6="","",IFERROR(VLOOKUP(Generator!$E$6&amp;"|050",$N$5:$O$64,2,FALSE),""))</x:f>
      </x:c>
      <x:c r="Q54" t="str">
        <x:f>IF($I54="OK",$B54&amp;"|"&amp;$D54,"")</x:f>
      </x:c>
      <x:c r="R54" t="str">
        <x:f>IF($I54="OK",$C54,"")</x:f>
      </x:c>
      <x:c r="S54" t="str">
        <x:f>IF($I54="OK",$F54,"")</x:f>
      </x:c>
      <x:c r="T54" t="str">
        <x:f>IF($A54&lt;&gt;"Yes","Disabled",$I54)</x:f>
        <x:v>Disabled</x:v>
      </x:c>
      <x:c r="U54" t="str">
        <x:f>IFERROR(VLOOKUP("NOCINPUT|"&amp;TEXT(ROW()-4,"000"),NOCs!$S$5:$T$44,2,FALSE),"")</x:f>
      </x:c>
      <x:c r="V54" t="str">
        <x:f>IF(AND($A54="Yes",$B54&lt;&gt;"",$C54&lt;&gt;"",$D54&lt;&gt;"",COUNTIF(NOCs!$T$5:$T$44,$B54)=1,COUNTIF($C$5:$C$64,$C54)=1),COUNT($V$4:V53)+1,"")</x:f>
      </x:c>
      <x:c r="W54" t="str">
        <x:f>IF($V54="","","LOCINPUT|"&amp;TEXT($V54,"000"))</x:f>
      </x:c>
      <x:c r="X54" t="str">
        <x:f>IF($V54="","",$C54)</x:f>
      </x:c>
    </x:row>
    <x:row r="55">
      <x:c r="A55" s="178" t="str">
        <x:v>No</x:v>
      </x:c>
      <x:c r="B55" s="178" t="str"/>
      <x:c r="C55" s="178" t="str">
        <x:v>LOC_051</x:v>
      </x:c>
      <x:c r="D55" s="178" t="str">
        <x:v>Location 051</x:v>
      </x:c>
      <x:c r="E55" s="178" t="n">
        <x:v>510</x:v>
      </x:c>
      <x:c r="F55" s="179" t="str">
        <x:f>IF(A55&lt;&gt;"Yes","",IF(H55=0,"","("&amp;IFERROR(VLOOKUP(C55&amp;"|"&amp;TEXT(H55,"000"),'Scope Rules'!$J$5:$K$104,2,FALSE),"")&amp;")"))</x:f>
      </x:c>
      <x:c r="G55" s="179" t="str">
        <x:f>IF(OR(A55&lt;&gt;"Yes",F55=""),"","{""label"":"""&amp;D55&amp;""",""value"":"""&amp;SUBSTITUTE(F55,CHAR(34),"\"&amp;CHAR(34))&amp;"""}")</x:f>
      </x:c>
      <x:c r="H55" s="179" t="n">
        <x:f>IF($C55="","",COUNTIFS('Scope Rules'!$H$5:$H$104,"OK",'Scope Rules'!$B$5:$B$104,$C55))</x:f>
        <x:v>0</x:v>
      </x:c>
      <x:c r="I55" s="179" t="str">
        <x:f>IF($A55&lt;&gt;"Yes","Disabled",IF($B55="","Missing NOC ID",IF(COUNTIFS(NOCs!$B$5:$B$44,$B55,NOCs!$A$5:$A$44,"Yes")=0,"NOC not enabled",IF($C55="","Missing Location ID",IF(COUNTIF($C$5:$C$64,$C55)&gt;1,"Duplicate Location ID",IF($D55="","Missing display name",IF(COUNTIFS($B$5:$B$64,$B55,$D$5:$D$64,$D55)&gt;1,"Duplicate display name in NOC",IF($H55=0,"No enabled rules",IF($F55="","No usable scope","OK")))))))))</x:f>
        <x:v>Disabled</x:v>
      </x:c>
      <x:c r="J55" s="178" t="str"/>
      <x:c r="K55" s="118" t="str">
        <x:f>IF($I55="OK",COUNTIFS($B$5:$B55,$B55,$I$5:$I55,"OK"),"")</x:f>
      </x:c>
      <x:c r="L55" s="118" t="str">
        <x:f>IF($K55="","",$B55&amp;"|"&amp;TEXT($K55,"000"))</x:f>
      </x:c>
      <x:c r="M55" s="24" t="str">
        <x:f>IF($I55&lt;&gt;"OK","",IF($K55=1,$F55,IFERROR(VLOOKUP($B55&amp;"|"&amp;TEXT($K55-1,"000"),$L$5:M54,2,FALSE),"")&amp;" OR "&amp;$F55))</x:f>
      </x:c>
      <x:c r="N55" s="24" t="str">
        <x:f>IF($K55="","",$B55&amp;"|"&amp;TEXT($K55,"000"))</x:f>
      </x:c>
      <x:c r="O55" s="24" t="str">
        <x:f>IF($I55="OK",$D55,"")</x:f>
      </x:c>
      <x:c r="P55" s="24" t="str">
        <x:f>IF(Generator!$E$6="","",IFERROR(VLOOKUP(Generator!$E$6&amp;"|051",$N$5:$O$64,2,FALSE),""))</x:f>
      </x:c>
      <x:c r="Q55" t="str">
        <x:f>IF($I55="OK",$B55&amp;"|"&amp;$D55,"")</x:f>
      </x:c>
      <x:c r="R55" t="str">
        <x:f>IF($I55="OK",$C55,"")</x:f>
      </x:c>
      <x:c r="S55" t="str">
        <x:f>IF($I55="OK",$F55,"")</x:f>
      </x:c>
      <x:c r="T55" t="str">
        <x:f>IF($A55&lt;&gt;"Yes","Disabled",$I55)</x:f>
        <x:v>Disabled</x:v>
      </x:c>
      <x:c r="U55" t="str">
        <x:f>IFERROR(VLOOKUP("NOCINPUT|"&amp;TEXT(ROW()-4,"000"),NOCs!$S$5:$T$44,2,FALSE),"")</x:f>
      </x:c>
      <x:c r="V55" t="str">
        <x:f>IF(AND($A55="Yes",$B55&lt;&gt;"",$C55&lt;&gt;"",$D55&lt;&gt;"",COUNTIF(NOCs!$T$5:$T$44,$B55)=1,COUNTIF($C$5:$C$64,$C55)=1),COUNT($V$4:V54)+1,"")</x:f>
      </x:c>
      <x:c r="W55" t="str">
        <x:f>IF($V55="","","LOCINPUT|"&amp;TEXT($V55,"000"))</x:f>
      </x:c>
      <x:c r="X55" t="str">
        <x:f>IF($V55="","",$C55)</x:f>
      </x:c>
    </x:row>
    <x:row r="56">
      <x:c r="A56" s="178" t="str">
        <x:v>No</x:v>
      </x:c>
      <x:c r="B56" s="178" t="str"/>
      <x:c r="C56" s="178" t="str">
        <x:v>LOC_052</x:v>
      </x:c>
      <x:c r="D56" s="178" t="str">
        <x:v>Location 052</x:v>
      </x:c>
      <x:c r="E56" s="178" t="n">
        <x:v>520</x:v>
      </x:c>
      <x:c r="F56" s="179" t="str">
        <x:f>IF(A56&lt;&gt;"Yes","",IF(H56=0,"","("&amp;IFERROR(VLOOKUP(C56&amp;"|"&amp;TEXT(H56,"000"),'Scope Rules'!$J$5:$K$104,2,FALSE),"")&amp;")"))</x:f>
      </x:c>
      <x:c r="G56" s="179" t="str">
        <x:f>IF(OR(A56&lt;&gt;"Yes",F56=""),"","{""label"":"""&amp;D56&amp;""",""value"":"""&amp;SUBSTITUTE(F56,CHAR(34),"\"&amp;CHAR(34))&amp;"""}")</x:f>
      </x:c>
      <x:c r="H56" s="179" t="n">
        <x:f>IF($C56="","",COUNTIFS('Scope Rules'!$H$5:$H$104,"OK",'Scope Rules'!$B$5:$B$104,$C56))</x:f>
        <x:v>0</x:v>
      </x:c>
      <x:c r="I56" s="179" t="str">
        <x:f>IF($A56&lt;&gt;"Yes","Disabled",IF($B56="","Missing NOC ID",IF(COUNTIFS(NOCs!$B$5:$B$44,$B56,NOCs!$A$5:$A$44,"Yes")=0,"NOC not enabled",IF($C56="","Missing Location ID",IF(COUNTIF($C$5:$C$64,$C56)&gt;1,"Duplicate Location ID",IF($D56="","Missing display name",IF(COUNTIFS($B$5:$B$64,$B56,$D$5:$D$64,$D56)&gt;1,"Duplicate display name in NOC",IF($H56=0,"No enabled rules",IF($F56="","No usable scope","OK")))))))))</x:f>
        <x:v>Disabled</x:v>
      </x:c>
      <x:c r="J56" s="178" t="str"/>
      <x:c r="K56" s="118" t="str">
        <x:f>IF($I56="OK",COUNTIFS($B$5:$B56,$B56,$I$5:$I56,"OK"),"")</x:f>
      </x:c>
      <x:c r="L56" s="118" t="str">
        <x:f>IF($K56="","",$B56&amp;"|"&amp;TEXT($K56,"000"))</x:f>
      </x:c>
      <x:c r="M56" s="24" t="str">
        <x:f>IF($I56&lt;&gt;"OK","",IF($K56=1,$F56,IFERROR(VLOOKUP($B56&amp;"|"&amp;TEXT($K56-1,"000"),$L$5:M55,2,FALSE),"")&amp;" OR "&amp;$F56))</x:f>
      </x:c>
      <x:c r="N56" s="24" t="str">
        <x:f>IF($K56="","",$B56&amp;"|"&amp;TEXT($K56,"000"))</x:f>
      </x:c>
      <x:c r="O56" s="24" t="str">
        <x:f>IF($I56="OK",$D56,"")</x:f>
      </x:c>
      <x:c r="P56" s="24" t="str">
        <x:f>IF(Generator!$E$6="","",IFERROR(VLOOKUP(Generator!$E$6&amp;"|052",$N$5:$O$64,2,FALSE),""))</x:f>
      </x:c>
      <x:c r="Q56" t="str">
        <x:f>IF($I56="OK",$B56&amp;"|"&amp;$D56,"")</x:f>
      </x:c>
      <x:c r="R56" t="str">
        <x:f>IF($I56="OK",$C56,"")</x:f>
      </x:c>
      <x:c r="S56" t="str">
        <x:f>IF($I56="OK",$F56,"")</x:f>
      </x:c>
      <x:c r="T56" t="str">
        <x:f>IF($A56&lt;&gt;"Yes","Disabled",$I56)</x:f>
        <x:v>Disabled</x:v>
      </x:c>
      <x:c r="U56" t="str">
        <x:f>IFERROR(VLOOKUP("NOCINPUT|"&amp;TEXT(ROW()-4,"000"),NOCs!$S$5:$T$44,2,FALSE),"")</x:f>
      </x:c>
      <x:c r="V56" t="str">
        <x:f>IF(AND($A56="Yes",$B56&lt;&gt;"",$C56&lt;&gt;"",$D56&lt;&gt;"",COUNTIF(NOCs!$T$5:$T$44,$B56)=1,COUNTIF($C$5:$C$64,$C56)=1),COUNT($V$4:V55)+1,"")</x:f>
      </x:c>
      <x:c r="W56" t="str">
        <x:f>IF($V56="","","LOCINPUT|"&amp;TEXT($V56,"000"))</x:f>
      </x:c>
      <x:c r="X56" t="str">
        <x:f>IF($V56="","",$C56)</x:f>
      </x:c>
    </x:row>
    <x:row r="57">
      <x:c r="A57" s="178" t="str">
        <x:v>No</x:v>
      </x:c>
      <x:c r="B57" s="178" t="str"/>
      <x:c r="C57" s="178" t="str">
        <x:v>LOC_053</x:v>
      </x:c>
      <x:c r="D57" s="178" t="str">
        <x:v>Location 053</x:v>
      </x:c>
      <x:c r="E57" s="178" t="n">
        <x:v>530</x:v>
      </x:c>
      <x:c r="F57" s="179" t="str">
        <x:f>IF(A57&lt;&gt;"Yes","",IF(H57=0,"","("&amp;IFERROR(VLOOKUP(C57&amp;"|"&amp;TEXT(H57,"000"),'Scope Rules'!$J$5:$K$104,2,FALSE),"")&amp;")"))</x:f>
      </x:c>
      <x:c r="G57" s="179" t="str">
        <x:f>IF(OR(A57&lt;&gt;"Yes",F57=""),"","{""label"":"""&amp;D57&amp;""",""value"":"""&amp;SUBSTITUTE(F57,CHAR(34),"\"&amp;CHAR(34))&amp;"""}")</x:f>
      </x:c>
      <x:c r="H57" s="179" t="n">
        <x:f>IF($C57="","",COUNTIFS('Scope Rules'!$H$5:$H$104,"OK",'Scope Rules'!$B$5:$B$104,$C57))</x:f>
        <x:v>0</x:v>
      </x:c>
      <x:c r="I57" s="179" t="str">
        <x:f>IF($A57&lt;&gt;"Yes","Disabled",IF($B57="","Missing NOC ID",IF(COUNTIFS(NOCs!$B$5:$B$44,$B57,NOCs!$A$5:$A$44,"Yes")=0,"NOC not enabled",IF($C57="","Missing Location ID",IF(COUNTIF($C$5:$C$64,$C57)&gt;1,"Duplicate Location ID",IF($D57="","Missing display name",IF(COUNTIFS($B$5:$B$64,$B57,$D$5:$D$64,$D57)&gt;1,"Duplicate display name in NOC",IF($H57=0,"No enabled rules",IF($F57="","No usable scope","OK")))))))))</x:f>
        <x:v>Disabled</x:v>
      </x:c>
      <x:c r="J57" s="178" t="str"/>
      <x:c r="K57" s="118" t="str">
        <x:f>IF($I57="OK",COUNTIFS($B$5:$B57,$B57,$I$5:$I57,"OK"),"")</x:f>
      </x:c>
      <x:c r="L57" s="118" t="str">
        <x:f>IF($K57="","",$B57&amp;"|"&amp;TEXT($K57,"000"))</x:f>
      </x:c>
      <x:c r="M57" s="24" t="str">
        <x:f>IF($I57&lt;&gt;"OK","",IF($K57=1,$F57,IFERROR(VLOOKUP($B57&amp;"|"&amp;TEXT($K57-1,"000"),$L$5:M56,2,FALSE),"")&amp;" OR "&amp;$F57))</x:f>
      </x:c>
      <x:c r="N57" s="24" t="str">
        <x:f>IF($K57="","",$B57&amp;"|"&amp;TEXT($K57,"000"))</x:f>
      </x:c>
      <x:c r="O57" s="24" t="str">
        <x:f>IF($I57="OK",$D57,"")</x:f>
      </x:c>
      <x:c r="P57" s="24" t="str">
        <x:f>IF(Generator!$E$6="","",IFERROR(VLOOKUP(Generator!$E$6&amp;"|053",$N$5:$O$64,2,FALSE),""))</x:f>
      </x:c>
      <x:c r="Q57" t="str">
        <x:f>IF($I57="OK",$B57&amp;"|"&amp;$D57,"")</x:f>
      </x:c>
      <x:c r="R57" t="str">
        <x:f>IF($I57="OK",$C57,"")</x:f>
      </x:c>
      <x:c r="S57" t="str">
        <x:f>IF($I57="OK",$F57,"")</x:f>
      </x:c>
      <x:c r="T57" t="str">
        <x:f>IF($A57&lt;&gt;"Yes","Disabled",$I57)</x:f>
        <x:v>Disabled</x:v>
      </x:c>
      <x:c r="U57" t="str">
        <x:f>IFERROR(VLOOKUP("NOCINPUT|"&amp;TEXT(ROW()-4,"000"),NOCs!$S$5:$T$44,2,FALSE),"")</x:f>
      </x:c>
      <x:c r="V57" t="str">
        <x:f>IF(AND($A57="Yes",$B57&lt;&gt;"",$C57&lt;&gt;"",$D57&lt;&gt;"",COUNTIF(NOCs!$T$5:$T$44,$B57)=1,COUNTIF($C$5:$C$64,$C57)=1),COUNT($V$4:V56)+1,"")</x:f>
      </x:c>
      <x:c r="W57" t="str">
        <x:f>IF($V57="","","LOCINPUT|"&amp;TEXT($V57,"000"))</x:f>
      </x:c>
      <x:c r="X57" t="str">
        <x:f>IF($V57="","",$C57)</x:f>
      </x:c>
    </x:row>
    <x:row r="58">
      <x:c r="A58" s="178" t="str">
        <x:v>No</x:v>
      </x:c>
      <x:c r="B58" s="178" t="str"/>
      <x:c r="C58" s="178" t="str">
        <x:v>LOC_054</x:v>
      </x:c>
      <x:c r="D58" s="178" t="str">
        <x:v>Location 054</x:v>
      </x:c>
      <x:c r="E58" s="178" t="n">
        <x:v>540</x:v>
      </x:c>
      <x:c r="F58" s="179" t="str">
        <x:f>IF(A58&lt;&gt;"Yes","",IF(H58=0,"","("&amp;IFERROR(VLOOKUP(C58&amp;"|"&amp;TEXT(H58,"000"),'Scope Rules'!$J$5:$K$104,2,FALSE),"")&amp;")"))</x:f>
      </x:c>
      <x:c r="G58" s="179" t="str">
        <x:f>IF(OR(A58&lt;&gt;"Yes",F58=""),"","{""label"":"""&amp;D58&amp;""",""value"":"""&amp;SUBSTITUTE(F58,CHAR(34),"\"&amp;CHAR(34))&amp;"""}")</x:f>
      </x:c>
      <x:c r="H58" s="179" t="n">
        <x:f>IF($C58="","",COUNTIFS('Scope Rules'!$H$5:$H$104,"OK",'Scope Rules'!$B$5:$B$104,$C58))</x:f>
        <x:v>0</x:v>
      </x:c>
      <x:c r="I58" s="179" t="str">
        <x:f>IF($A58&lt;&gt;"Yes","Disabled",IF($B58="","Missing NOC ID",IF(COUNTIFS(NOCs!$B$5:$B$44,$B58,NOCs!$A$5:$A$44,"Yes")=0,"NOC not enabled",IF($C58="","Missing Location ID",IF(COUNTIF($C$5:$C$64,$C58)&gt;1,"Duplicate Location ID",IF($D58="","Missing display name",IF(COUNTIFS($B$5:$B$64,$B58,$D$5:$D$64,$D58)&gt;1,"Duplicate display name in NOC",IF($H58=0,"No enabled rules",IF($F58="","No usable scope","OK")))))))))</x:f>
        <x:v>Disabled</x:v>
      </x:c>
      <x:c r="J58" s="178" t="str"/>
      <x:c r="K58" s="118" t="str">
        <x:f>IF($I58="OK",COUNTIFS($B$5:$B58,$B58,$I$5:$I58,"OK"),"")</x:f>
      </x:c>
      <x:c r="L58" s="118" t="str">
        <x:f>IF($K58="","",$B58&amp;"|"&amp;TEXT($K58,"000"))</x:f>
      </x:c>
      <x:c r="M58" s="24" t="str">
        <x:f>IF($I58&lt;&gt;"OK","",IF($K58=1,$F58,IFERROR(VLOOKUP($B58&amp;"|"&amp;TEXT($K58-1,"000"),$L$5:M57,2,FALSE),"")&amp;" OR "&amp;$F58))</x:f>
      </x:c>
      <x:c r="N58" s="24" t="str">
        <x:f>IF($K58="","",$B58&amp;"|"&amp;TEXT($K58,"000"))</x:f>
      </x:c>
      <x:c r="O58" s="24" t="str">
        <x:f>IF($I58="OK",$D58,"")</x:f>
      </x:c>
      <x:c r="P58" s="24" t="str">
        <x:f>IF(Generator!$E$6="","",IFERROR(VLOOKUP(Generator!$E$6&amp;"|054",$N$5:$O$64,2,FALSE),""))</x:f>
      </x:c>
      <x:c r="Q58" t="str">
        <x:f>IF($I58="OK",$B58&amp;"|"&amp;$D58,"")</x:f>
      </x:c>
      <x:c r="R58" t="str">
        <x:f>IF($I58="OK",$C58,"")</x:f>
      </x:c>
      <x:c r="S58" t="str">
        <x:f>IF($I58="OK",$F58,"")</x:f>
      </x:c>
      <x:c r="T58" t="str">
        <x:f>IF($A58&lt;&gt;"Yes","Disabled",$I58)</x:f>
        <x:v>Disabled</x:v>
      </x:c>
      <x:c r="U58" t="str">
        <x:f>IFERROR(VLOOKUP("NOCINPUT|"&amp;TEXT(ROW()-4,"000"),NOCs!$S$5:$T$44,2,FALSE),"")</x:f>
      </x:c>
      <x:c r="V58" t="str">
        <x:f>IF(AND($A58="Yes",$B58&lt;&gt;"",$C58&lt;&gt;"",$D58&lt;&gt;"",COUNTIF(NOCs!$T$5:$T$44,$B58)=1,COUNTIF($C$5:$C$64,$C58)=1),COUNT($V$4:V57)+1,"")</x:f>
      </x:c>
      <x:c r="W58" t="str">
        <x:f>IF($V58="","","LOCINPUT|"&amp;TEXT($V58,"000"))</x:f>
      </x:c>
      <x:c r="X58" t="str">
        <x:f>IF($V58="","",$C58)</x:f>
      </x:c>
    </x:row>
    <x:row r="59">
      <x:c r="A59" s="178" t="str">
        <x:v>No</x:v>
      </x:c>
      <x:c r="B59" s="178" t="str"/>
      <x:c r="C59" s="178" t="str">
        <x:v>LOC_055</x:v>
      </x:c>
      <x:c r="D59" s="178" t="str">
        <x:v>Location 055</x:v>
      </x:c>
      <x:c r="E59" s="178" t="n">
        <x:v>550</x:v>
      </x:c>
      <x:c r="F59" s="179" t="str">
        <x:f>IF(A59&lt;&gt;"Yes","",IF(H59=0,"","("&amp;IFERROR(VLOOKUP(C59&amp;"|"&amp;TEXT(H59,"000"),'Scope Rules'!$J$5:$K$104,2,FALSE),"")&amp;")"))</x:f>
      </x:c>
      <x:c r="G59" s="179" t="str">
        <x:f>IF(OR(A59&lt;&gt;"Yes",F59=""),"","{""label"":"""&amp;D59&amp;""",""value"":"""&amp;SUBSTITUTE(F59,CHAR(34),"\"&amp;CHAR(34))&amp;"""}")</x:f>
      </x:c>
      <x:c r="H59" s="179" t="n">
        <x:f>IF($C59="","",COUNTIFS('Scope Rules'!$H$5:$H$104,"OK",'Scope Rules'!$B$5:$B$104,$C59))</x:f>
        <x:v>0</x:v>
      </x:c>
      <x:c r="I59" s="179" t="str">
        <x:f>IF($A59&lt;&gt;"Yes","Disabled",IF($B59="","Missing NOC ID",IF(COUNTIFS(NOCs!$B$5:$B$44,$B59,NOCs!$A$5:$A$44,"Yes")=0,"NOC not enabled",IF($C59="","Missing Location ID",IF(COUNTIF($C$5:$C$64,$C59)&gt;1,"Duplicate Location ID",IF($D59="","Missing display name",IF(COUNTIFS($B$5:$B$64,$B59,$D$5:$D$64,$D59)&gt;1,"Duplicate display name in NOC",IF($H59=0,"No enabled rules",IF($F59="","No usable scope","OK")))))))))</x:f>
        <x:v>Disabled</x:v>
      </x:c>
      <x:c r="J59" s="178" t="str"/>
      <x:c r="K59" s="118" t="str">
        <x:f>IF($I59="OK",COUNTIFS($B$5:$B59,$B59,$I$5:$I59,"OK"),"")</x:f>
      </x:c>
      <x:c r="L59" s="118" t="str">
        <x:f>IF($K59="","",$B59&amp;"|"&amp;TEXT($K59,"000"))</x:f>
      </x:c>
      <x:c r="M59" s="24" t="str">
        <x:f>IF($I59&lt;&gt;"OK","",IF($K59=1,$F59,IFERROR(VLOOKUP($B59&amp;"|"&amp;TEXT($K59-1,"000"),$L$5:M58,2,FALSE),"")&amp;" OR "&amp;$F59))</x:f>
      </x:c>
      <x:c r="N59" s="24" t="str">
        <x:f>IF($K59="","",$B59&amp;"|"&amp;TEXT($K59,"000"))</x:f>
      </x:c>
      <x:c r="O59" s="24" t="str">
        <x:f>IF($I59="OK",$D59,"")</x:f>
      </x:c>
      <x:c r="P59" s="24" t="str">
        <x:f>IF(Generator!$E$6="","",IFERROR(VLOOKUP(Generator!$E$6&amp;"|055",$N$5:$O$64,2,FALSE),""))</x:f>
      </x:c>
      <x:c r="Q59" t="str">
        <x:f>IF($I59="OK",$B59&amp;"|"&amp;$D59,"")</x:f>
      </x:c>
      <x:c r="R59" t="str">
        <x:f>IF($I59="OK",$C59,"")</x:f>
      </x:c>
      <x:c r="S59" t="str">
        <x:f>IF($I59="OK",$F59,"")</x:f>
      </x:c>
      <x:c r="T59" t="str">
        <x:f>IF($A59&lt;&gt;"Yes","Disabled",$I59)</x:f>
        <x:v>Disabled</x:v>
      </x:c>
      <x:c r="U59" t="str">
        <x:f>IFERROR(VLOOKUP("NOCINPUT|"&amp;TEXT(ROW()-4,"000"),NOCs!$S$5:$T$44,2,FALSE),"")</x:f>
      </x:c>
      <x:c r="V59" t="str">
        <x:f>IF(AND($A59="Yes",$B59&lt;&gt;"",$C59&lt;&gt;"",$D59&lt;&gt;"",COUNTIF(NOCs!$T$5:$T$44,$B59)=1,COUNTIF($C$5:$C$64,$C59)=1),COUNT($V$4:V58)+1,"")</x:f>
      </x:c>
      <x:c r="W59" t="str">
        <x:f>IF($V59="","","LOCINPUT|"&amp;TEXT($V59,"000"))</x:f>
      </x:c>
      <x:c r="X59" t="str">
        <x:f>IF($V59="","",$C59)</x:f>
      </x:c>
    </x:row>
    <x:row r="60">
      <x:c r="A60" s="178" t="str">
        <x:v>No</x:v>
      </x:c>
      <x:c r="B60" s="178" t="str"/>
      <x:c r="C60" s="178" t="str">
        <x:v>LOC_056</x:v>
      </x:c>
      <x:c r="D60" s="178" t="str">
        <x:v>Location 056</x:v>
      </x:c>
      <x:c r="E60" s="178" t="n">
        <x:v>560</x:v>
      </x:c>
      <x:c r="F60" s="179" t="str">
        <x:f>IF(A60&lt;&gt;"Yes","",IF(H60=0,"","("&amp;IFERROR(VLOOKUP(C60&amp;"|"&amp;TEXT(H60,"000"),'Scope Rules'!$J$5:$K$104,2,FALSE),"")&amp;")"))</x:f>
      </x:c>
      <x:c r="G60" s="179" t="str">
        <x:f>IF(OR(A60&lt;&gt;"Yes",F60=""),"","{""label"":"""&amp;D60&amp;""",""value"":"""&amp;SUBSTITUTE(F60,CHAR(34),"\"&amp;CHAR(34))&amp;"""}")</x:f>
      </x:c>
      <x:c r="H60" s="179" t="n">
        <x:f>IF($C60="","",COUNTIFS('Scope Rules'!$H$5:$H$104,"OK",'Scope Rules'!$B$5:$B$104,$C60))</x:f>
        <x:v>0</x:v>
      </x:c>
      <x:c r="I60" s="179" t="str">
        <x:f>IF($A60&lt;&gt;"Yes","Disabled",IF($B60="","Missing NOC ID",IF(COUNTIFS(NOCs!$B$5:$B$44,$B60,NOCs!$A$5:$A$44,"Yes")=0,"NOC not enabled",IF($C60="","Missing Location ID",IF(COUNTIF($C$5:$C$64,$C60)&gt;1,"Duplicate Location ID",IF($D60="","Missing display name",IF(COUNTIFS($B$5:$B$64,$B60,$D$5:$D$64,$D60)&gt;1,"Duplicate display name in NOC",IF($H60=0,"No enabled rules",IF($F60="","No usable scope","OK")))))))))</x:f>
        <x:v>Disabled</x:v>
      </x:c>
      <x:c r="J60" s="178" t="str"/>
      <x:c r="K60" s="118" t="str">
        <x:f>IF($I60="OK",COUNTIFS($B$5:$B60,$B60,$I$5:$I60,"OK"),"")</x:f>
      </x:c>
      <x:c r="L60" s="118" t="str">
        <x:f>IF($K60="","",$B60&amp;"|"&amp;TEXT($K60,"000"))</x:f>
      </x:c>
      <x:c r="M60" s="24" t="str">
        <x:f>IF($I60&lt;&gt;"OK","",IF($K60=1,$F60,IFERROR(VLOOKUP($B60&amp;"|"&amp;TEXT($K60-1,"000"),$L$5:M59,2,FALSE),"")&amp;" OR "&amp;$F60))</x:f>
      </x:c>
      <x:c r="N60" s="24" t="str">
        <x:f>IF($K60="","",$B60&amp;"|"&amp;TEXT($K60,"000"))</x:f>
      </x:c>
      <x:c r="O60" s="24" t="str">
        <x:f>IF($I60="OK",$D60,"")</x:f>
      </x:c>
      <x:c r="P60" s="24" t="str">
        <x:f>IF(Generator!$E$6="","",IFERROR(VLOOKUP(Generator!$E$6&amp;"|056",$N$5:$O$64,2,FALSE),""))</x:f>
      </x:c>
      <x:c r="Q60" t="str">
        <x:f>IF($I60="OK",$B60&amp;"|"&amp;$D60,"")</x:f>
      </x:c>
      <x:c r="R60" t="str">
        <x:f>IF($I60="OK",$C60,"")</x:f>
      </x:c>
      <x:c r="S60" t="str">
        <x:f>IF($I60="OK",$F60,"")</x:f>
      </x:c>
      <x:c r="T60" t="str">
        <x:f>IF($A60&lt;&gt;"Yes","Disabled",$I60)</x:f>
        <x:v>Disabled</x:v>
      </x:c>
      <x:c r="U60" t="str">
        <x:f>IFERROR(VLOOKUP("NOCINPUT|"&amp;TEXT(ROW()-4,"000"),NOCs!$S$5:$T$44,2,FALSE),"")</x:f>
      </x:c>
      <x:c r="V60" t="str">
        <x:f>IF(AND($A60="Yes",$B60&lt;&gt;"",$C60&lt;&gt;"",$D60&lt;&gt;"",COUNTIF(NOCs!$T$5:$T$44,$B60)=1,COUNTIF($C$5:$C$64,$C60)=1),COUNT($V$4:V59)+1,"")</x:f>
      </x:c>
      <x:c r="W60" t="str">
        <x:f>IF($V60="","","LOCINPUT|"&amp;TEXT($V60,"000"))</x:f>
      </x:c>
      <x:c r="X60" t="str">
        <x:f>IF($V60="","",$C60)</x:f>
      </x:c>
    </x:row>
    <x:row r="61">
      <x:c r="A61" s="178" t="str">
        <x:v>No</x:v>
      </x:c>
      <x:c r="B61" s="178" t="str"/>
      <x:c r="C61" s="178" t="str">
        <x:v>LOC_057</x:v>
      </x:c>
      <x:c r="D61" s="178" t="str">
        <x:v>Location 057</x:v>
      </x:c>
      <x:c r="E61" s="178" t="n">
        <x:v>570</x:v>
      </x:c>
      <x:c r="F61" s="179" t="str">
        <x:f>IF(A61&lt;&gt;"Yes","",IF(H61=0,"","("&amp;IFERROR(VLOOKUP(C61&amp;"|"&amp;TEXT(H61,"000"),'Scope Rules'!$J$5:$K$104,2,FALSE),"")&amp;")"))</x:f>
      </x:c>
      <x:c r="G61" s="179" t="str">
        <x:f>IF(OR(A61&lt;&gt;"Yes",F61=""),"","{""label"":"""&amp;D61&amp;""",""value"":"""&amp;SUBSTITUTE(F61,CHAR(34),"\"&amp;CHAR(34))&amp;"""}")</x:f>
      </x:c>
      <x:c r="H61" s="179" t="n">
        <x:f>IF($C61="","",COUNTIFS('Scope Rules'!$H$5:$H$104,"OK",'Scope Rules'!$B$5:$B$104,$C61))</x:f>
        <x:v>0</x:v>
      </x:c>
      <x:c r="I61" s="179" t="str">
        <x:f>IF($A61&lt;&gt;"Yes","Disabled",IF($B61="","Missing NOC ID",IF(COUNTIFS(NOCs!$B$5:$B$44,$B61,NOCs!$A$5:$A$44,"Yes")=0,"NOC not enabled",IF($C61="","Missing Location ID",IF(COUNTIF($C$5:$C$64,$C61)&gt;1,"Duplicate Location ID",IF($D61="","Missing display name",IF(COUNTIFS($B$5:$B$64,$B61,$D$5:$D$64,$D61)&gt;1,"Duplicate display name in NOC",IF($H61=0,"No enabled rules",IF($F61="","No usable scope","OK")))))))))</x:f>
        <x:v>Disabled</x:v>
      </x:c>
      <x:c r="J61" s="178" t="str"/>
      <x:c r="K61" s="118" t="str">
        <x:f>IF($I61="OK",COUNTIFS($B$5:$B61,$B61,$I$5:$I61,"OK"),"")</x:f>
      </x:c>
      <x:c r="L61" s="118" t="str">
        <x:f>IF($K61="","",$B61&amp;"|"&amp;TEXT($K61,"000"))</x:f>
      </x:c>
      <x:c r="M61" s="24" t="str">
        <x:f>IF($I61&lt;&gt;"OK","",IF($K61=1,$F61,IFERROR(VLOOKUP($B61&amp;"|"&amp;TEXT($K61-1,"000"),$L$5:M60,2,FALSE),"")&amp;" OR "&amp;$F61))</x:f>
      </x:c>
      <x:c r="N61" s="24" t="str">
        <x:f>IF($K61="","",$B61&amp;"|"&amp;TEXT($K61,"000"))</x:f>
      </x:c>
      <x:c r="O61" s="24" t="str">
        <x:f>IF($I61="OK",$D61,"")</x:f>
      </x:c>
      <x:c r="P61" s="24" t="str">
        <x:f>IF(Generator!$E$6="","",IFERROR(VLOOKUP(Generator!$E$6&amp;"|057",$N$5:$O$64,2,FALSE),""))</x:f>
      </x:c>
      <x:c r="Q61" t="str">
        <x:f>IF($I61="OK",$B61&amp;"|"&amp;$D61,"")</x:f>
      </x:c>
      <x:c r="R61" t="str">
        <x:f>IF($I61="OK",$C61,"")</x:f>
      </x:c>
      <x:c r="S61" t="str">
        <x:f>IF($I61="OK",$F61,"")</x:f>
      </x:c>
      <x:c r="T61" t="str">
        <x:f>IF($A61&lt;&gt;"Yes","Disabled",$I61)</x:f>
        <x:v>Disabled</x:v>
      </x:c>
      <x:c r="U61" t="str">
        <x:f>IFERROR(VLOOKUP("NOCINPUT|"&amp;TEXT(ROW()-4,"000"),NOCs!$S$5:$T$44,2,FALSE),"")</x:f>
      </x:c>
      <x:c r="V61" t="str">
        <x:f>IF(AND($A61="Yes",$B61&lt;&gt;"",$C61&lt;&gt;"",$D61&lt;&gt;"",COUNTIF(NOCs!$T$5:$T$44,$B61)=1,COUNTIF($C$5:$C$64,$C61)=1),COUNT($V$4:V60)+1,"")</x:f>
      </x:c>
      <x:c r="W61" t="str">
        <x:f>IF($V61="","","LOCINPUT|"&amp;TEXT($V61,"000"))</x:f>
      </x:c>
      <x:c r="X61" t="str">
        <x:f>IF($V61="","",$C61)</x:f>
      </x:c>
    </x:row>
    <x:row r="62">
      <x:c r="A62" s="178" t="str">
        <x:v>No</x:v>
      </x:c>
      <x:c r="B62" s="178" t="str"/>
      <x:c r="C62" s="178" t="str">
        <x:v>LOC_058</x:v>
      </x:c>
      <x:c r="D62" s="178" t="str">
        <x:v>Location 058</x:v>
      </x:c>
      <x:c r="E62" s="178" t="n">
        <x:v>580</x:v>
      </x:c>
      <x:c r="F62" s="179" t="str">
        <x:f>IF(A62&lt;&gt;"Yes","",IF(H62=0,"","("&amp;IFERROR(VLOOKUP(C62&amp;"|"&amp;TEXT(H62,"000"),'Scope Rules'!$J$5:$K$104,2,FALSE),"")&amp;")"))</x:f>
      </x:c>
      <x:c r="G62" s="179" t="str">
        <x:f>IF(OR(A62&lt;&gt;"Yes",F62=""),"","{""label"":"""&amp;D62&amp;""",""value"":"""&amp;SUBSTITUTE(F62,CHAR(34),"\"&amp;CHAR(34))&amp;"""}")</x:f>
      </x:c>
      <x:c r="H62" s="179" t="n">
        <x:f>IF($C62="","",COUNTIFS('Scope Rules'!$H$5:$H$104,"OK",'Scope Rules'!$B$5:$B$104,$C62))</x:f>
        <x:v>0</x:v>
      </x:c>
      <x:c r="I62" s="179" t="str">
        <x:f>IF($A62&lt;&gt;"Yes","Disabled",IF($B62="","Missing NOC ID",IF(COUNTIFS(NOCs!$B$5:$B$44,$B62,NOCs!$A$5:$A$44,"Yes")=0,"NOC not enabled",IF($C62="","Missing Location ID",IF(COUNTIF($C$5:$C$64,$C62)&gt;1,"Duplicate Location ID",IF($D62="","Missing display name",IF(COUNTIFS($B$5:$B$64,$B62,$D$5:$D$64,$D62)&gt;1,"Duplicate display name in NOC",IF($H62=0,"No enabled rules",IF($F62="","No usable scope","OK")))))))))</x:f>
        <x:v>Disabled</x:v>
      </x:c>
      <x:c r="J62" s="178" t="str"/>
      <x:c r="K62" s="118" t="str">
        <x:f>IF($I62="OK",COUNTIFS($B$5:$B62,$B62,$I$5:$I62,"OK"),"")</x:f>
      </x:c>
      <x:c r="L62" s="118" t="str">
        <x:f>IF($K62="","",$B62&amp;"|"&amp;TEXT($K62,"000"))</x:f>
      </x:c>
      <x:c r="M62" s="24" t="str">
        <x:f>IF($I62&lt;&gt;"OK","",IF($K62=1,$F62,IFERROR(VLOOKUP($B62&amp;"|"&amp;TEXT($K62-1,"000"),$L$5:M61,2,FALSE),"")&amp;" OR "&amp;$F62))</x:f>
      </x:c>
      <x:c r="N62" s="24" t="str">
        <x:f>IF($K62="","",$B62&amp;"|"&amp;TEXT($K62,"000"))</x:f>
      </x:c>
      <x:c r="O62" s="24" t="str">
        <x:f>IF($I62="OK",$D62,"")</x:f>
      </x:c>
      <x:c r="P62" s="24" t="str">
        <x:f>IF(Generator!$E$6="","",IFERROR(VLOOKUP(Generator!$E$6&amp;"|058",$N$5:$O$64,2,FALSE),""))</x:f>
      </x:c>
      <x:c r="Q62" t="str">
        <x:f>IF($I62="OK",$B62&amp;"|"&amp;$D62,"")</x:f>
      </x:c>
      <x:c r="R62" t="str">
        <x:f>IF($I62="OK",$C62,"")</x:f>
      </x:c>
      <x:c r="S62" t="str">
        <x:f>IF($I62="OK",$F62,"")</x:f>
      </x:c>
      <x:c r="T62" t="str">
        <x:f>IF($A62&lt;&gt;"Yes","Disabled",$I62)</x:f>
        <x:v>Disabled</x:v>
      </x:c>
      <x:c r="U62" t="str">
        <x:f>IFERROR(VLOOKUP("NOCINPUT|"&amp;TEXT(ROW()-4,"000"),NOCs!$S$5:$T$44,2,FALSE),"")</x:f>
      </x:c>
      <x:c r="V62" t="str">
        <x:f>IF(AND($A62="Yes",$B62&lt;&gt;"",$C62&lt;&gt;"",$D62&lt;&gt;"",COUNTIF(NOCs!$T$5:$T$44,$B62)=1,COUNTIF($C$5:$C$64,$C62)=1),COUNT($V$4:V61)+1,"")</x:f>
      </x:c>
      <x:c r="W62" t="str">
        <x:f>IF($V62="","","LOCINPUT|"&amp;TEXT($V62,"000"))</x:f>
      </x:c>
      <x:c r="X62" t="str">
        <x:f>IF($V62="","",$C62)</x:f>
      </x:c>
    </x:row>
    <x:row r="63">
      <x:c r="A63" s="178" t="str">
        <x:v>No</x:v>
      </x:c>
      <x:c r="B63" s="178" t="str"/>
      <x:c r="C63" s="178" t="str">
        <x:v>LOC_059</x:v>
      </x:c>
      <x:c r="D63" s="178" t="str">
        <x:v>Location 059</x:v>
      </x:c>
      <x:c r="E63" s="178" t="n">
        <x:v>590</x:v>
      </x:c>
      <x:c r="F63" s="179" t="str">
        <x:f>IF(A63&lt;&gt;"Yes","",IF(H63=0,"","("&amp;IFERROR(VLOOKUP(C63&amp;"|"&amp;TEXT(H63,"000"),'Scope Rules'!$J$5:$K$104,2,FALSE),"")&amp;")"))</x:f>
      </x:c>
      <x:c r="G63" s="179" t="str">
        <x:f>IF(OR(A63&lt;&gt;"Yes",F63=""),"","{""label"":"""&amp;D63&amp;""",""value"":"""&amp;SUBSTITUTE(F63,CHAR(34),"\"&amp;CHAR(34))&amp;"""}")</x:f>
      </x:c>
      <x:c r="H63" s="179" t="n">
        <x:f>IF($C63="","",COUNTIFS('Scope Rules'!$H$5:$H$104,"OK",'Scope Rules'!$B$5:$B$104,$C63))</x:f>
        <x:v>0</x:v>
      </x:c>
      <x:c r="I63" s="179" t="str">
        <x:f>IF($A63&lt;&gt;"Yes","Disabled",IF($B63="","Missing NOC ID",IF(COUNTIFS(NOCs!$B$5:$B$44,$B63,NOCs!$A$5:$A$44,"Yes")=0,"NOC not enabled",IF($C63="","Missing Location ID",IF(COUNTIF($C$5:$C$64,$C63)&gt;1,"Duplicate Location ID",IF($D63="","Missing display name",IF(COUNTIFS($B$5:$B$64,$B63,$D$5:$D$64,$D63)&gt;1,"Duplicate display name in NOC",IF($H63=0,"No enabled rules",IF($F63="","No usable scope","OK")))))))))</x:f>
        <x:v>Disabled</x:v>
      </x:c>
      <x:c r="J63" s="178" t="str"/>
      <x:c r="K63" s="118" t="str">
        <x:f>IF($I63="OK",COUNTIFS($B$5:$B63,$B63,$I$5:$I63,"OK"),"")</x:f>
      </x:c>
      <x:c r="L63" s="118" t="str">
        <x:f>IF($K63="","",$B63&amp;"|"&amp;TEXT($K63,"000"))</x:f>
      </x:c>
      <x:c r="M63" s="24" t="str">
        <x:f>IF($I63&lt;&gt;"OK","",IF($K63=1,$F63,IFERROR(VLOOKUP($B63&amp;"|"&amp;TEXT($K63-1,"000"),$L$5:M62,2,FALSE),"")&amp;" OR "&amp;$F63))</x:f>
      </x:c>
      <x:c r="N63" s="24" t="str">
        <x:f>IF($K63="","",$B63&amp;"|"&amp;TEXT($K63,"000"))</x:f>
      </x:c>
      <x:c r="O63" s="24" t="str">
        <x:f>IF($I63="OK",$D63,"")</x:f>
      </x:c>
      <x:c r="P63" s="24" t="str">
        <x:f>IF(Generator!$E$6="","",IFERROR(VLOOKUP(Generator!$E$6&amp;"|059",$N$5:$O$64,2,FALSE),""))</x:f>
      </x:c>
      <x:c r="Q63" t="str">
        <x:f>IF($I63="OK",$B63&amp;"|"&amp;$D63,"")</x:f>
      </x:c>
      <x:c r="R63" t="str">
        <x:f>IF($I63="OK",$C63,"")</x:f>
      </x:c>
      <x:c r="S63" t="str">
        <x:f>IF($I63="OK",$F63,"")</x:f>
      </x:c>
      <x:c r="T63" t="str">
        <x:f>IF($A63&lt;&gt;"Yes","Disabled",$I63)</x:f>
        <x:v>Disabled</x:v>
      </x:c>
      <x:c r="U63" t="str">
        <x:f>IFERROR(VLOOKUP("NOCINPUT|"&amp;TEXT(ROW()-4,"000"),NOCs!$S$5:$T$44,2,FALSE),"")</x:f>
      </x:c>
      <x:c r="V63" t="str">
        <x:f>IF(AND($A63="Yes",$B63&lt;&gt;"",$C63&lt;&gt;"",$D63&lt;&gt;"",COUNTIF(NOCs!$T$5:$T$44,$B63)=1,COUNTIF($C$5:$C$64,$C63)=1),COUNT($V$4:V62)+1,"")</x:f>
      </x:c>
      <x:c r="W63" t="str">
        <x:f>IF($V63="","","LOCINPUT|"&amp;TEXT($V63,"000"))</x:f>
      </x:c>
      <x:c r="X63" t="str">
        <x:f>IF($V63="","",$C63)</x:f>
      </x:c>
    </x:row>
    <x:row r="64">
      <x:c r="A64" s="178" t="str">
        <x:v>No</x:v>
      </x:c>
      <x:c r="B64" s="178" t="str"/>
      <x:c r="C64" s="178" t="str">
        <x:v>LOC_060</x:v>
      </x:c>
      <x:c r="D64" s="178" t="str">
        <x:v>Location 060</x:v>
      </x:c>
      <x:c r="E64" s="178" t="n">
        <x:v>600</x:v>
      </x:c>
      <x:c r="F64" s="179" t="str">
        <x:f>IF(A64&lt;&gt;"Yes","",IF(H64=0,"","("&amp;IFERROR(VLOOKUP(C64&amp;"|"&amp;TEXT(H64,"000"),'Scope Rules'!$J$5:$K$104,2,FALSE),"")&amp;")"))</x:f>
      </x:c>
      <x:c r="G64" s="179" t="str">
        <x:f>IF(OR(A64&lt;&gt;"Yes",F64=""),"","{""label"":"""&amp;D64&amp;""",""value"":"""&amp;SUBSTITUTE(F64,CHAR(34),"\"&amp;CHAR(34))&amp;"""}")</x:f>
      </x:c>
      <x:c r="H64" s="179" t="n">
        <x:f>IF($C64="","",COUNTIFS('Scope Rules'!$H$5:$H$104,"OK",'Scope Rules'!$B$5:$B$104,$C64))</x:f>
        <x:v>0</x:v>
      </x:c>
      <x:c r="I64" s="179" t="str">
        <x:f>IF($A64&lt;&gt;"Yes","Disabled",IF($B64="","Missing NOC ID",IF(COUNTIFS(NOCs!$B$5:$B$44,$B64,NOCs!$A$5:$A$44,"Yes")=0,"NOC not enabled",IF($C64="","Missing Location ID",IF(COUNTIF($C$5:$C$64,$C64)&gt;1,"Duplicate Location ID",IF($D64="","Missing display name",IF(COUNTIFS($B$5:$B$64,$B64,$D$5:$D$64,$D64)&gt;1,"Duplicate display name in NOC",IF($H64=0,"No enabled rules",IF($F64="","No usable scope","OK")))))))))</x:f>
        <x:v>Disabled</x:v>
      </x:c>
      <x:c r="J64" s="178" t="str"/>
      <x:c r="K64" s="118" t="str">
        <x:f>IF($I64="OK",COUNTIFS($B$5:$B64,$B64,$I$5:$I64,"OK"),"")</x:f>
      </x:c>
      <x:c r="L64" s="118" t="str">
        <x:f>IF($K64="","",$B64&amp;"|"&amp;TEXT($K64,"000"))</x:f>
      </x:c>
      <x:c r="M64" s="24" t="str">
        <x:f>IF($I64&lt;&gt;"OK","",IF($K64=1,$F64,IFERROR(VLOOKUP($B64&amp;"|"&amp;TEXT($K64-1,"000"),$L$5:M63,2,FALSE),"")&amp;" OR "&amp;$F64))</x:f>
      </x:c>
      <x:c r="N64" s="24" t="str">
        <x:f>IF($K64="","",$B64&amp;"|"&amp;TEXT($K64,"000"))</x:f>
      </x:c>
      <x:c r="O64" s="24" t="str">
        <x:f>IF($I64="OK",$D64,"")</x:f>
      </x:c>
      <x:c r="P64" s="24" t="str">
        <x:f>IF(Generator!$E$6="","",IFERROR(VLOOKUP(Generator!$E$6&amp;"|060",$N$5:$O$64,2,FALSE),""))</x:f>
      </x:c>
      <x:c r="Q64" t="str">
        <x:f>IF($I64="OK",$B64&amp;"|"&amp;$D64,"")</x:f>
      </x:c>
      <x:c r="R64" t="str">
        <x:f>IF($I64="OK",$C64,"")</x:f>
      </x:c>
      <x:c r="S64" t="str">
        <x:f>IF($I64="OK",$F64,"")</x:f>
      </x:c>
      <x:c r="T64" t="str">
        <x:f>IF($A64&lt;&gt;"Yes","Disabled",$I64)</x:f>
        <x:v>Disabled</x:v>
      </x:c>
      <x:c r="U64" t="str">
        <x:f>IFERROR(VLOOKUP("NOCINPUT|"&amp;TEXT(ROW()-4,"000"),NOCs!$S$5:$T$44,2,FALSE),"")</x:f>
      </x:c>
      <x:c r="V64" t="str">
        <x:f>IF(AND($A64="Yes",$B64&lt;&gt;"",$C64&lt;&gt;"",$D64&lt;&gt;"",COUNTIF(NOCs!$T$5:$T$44,$B64)=1,COUNTIF($C$5:$C$64,$C64)=1),COUNT($V$4:V63)+1,"")</x:f>
      </x:c>
      <x:c r="W64" t="str">
        <x:f>IF($V64="","","LOCINPUT|"&amp;TEXT($V64,"000"))</x:f>
      </x:c>
      <x:c r="X64" t="str">
        <x:f>IF($V64="","",$C64)</x:f>
      </x:c>
    </x:row>
  </x:sheetData>
  <x:mergeCells>
    <x:mergeCell ref="A1:J1"/>
    <x:mergeCell ref="A2:J2"/>
  </x:mergeCells>
  <x:conditionalFormatting sqref="I5:I64">
    <x:cfRule type="expression" dxfId="7" priority="1">
      <x:formula>I5="OK"</x:formula>
    </x:cfRule>
    <x:cfRule type="expression" dxfId="8" priority="2">
      <x:formula>AND(I5&lt;&gt;"",I5&lt;&gt;"OK",I5&lt;&gt;"Disabled")</x:formula>
    </x:cfRule>
  </x:conditionalFormatting>
  <x:conditionalFormatting sqref="C5:C64">
    <x:cfRule type="expression" dxfId="9" priority="3">
      <x:formula>AND(C5&lt;&gt;"",COUNTIF(LocationsTbl[Location ID],C5)&gt;1)</x:formula>
    </x:cfRule>
  </x:conditionalFormatting>
  <x:dataValidations count="2">
    <x:dataValidation type="list" sqref="A5:A64">
      <x:formula1>"Yes,No"</x:formula1>
    </x:dataValidation>
    <x:dataValidation type="list" errorStyle="stop" allowBlank="1" showDropDown="0" showErrorMessage="1" errorTitle="Choose an enabled NOC" error="Select a NOC from the dropdown. Add/enable the NOC on the NOCs sheet first." sqref="B5:B64">
      <x:formula1>$U$5:$U$44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54a34154854a1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0" hidden="0" customWidth="1"/>
    <x:col min="3" max="3" width="16" hidden="0" customWidth="1"/>
    <x:col min="4" max="4" width="16" hidden="0" customWidth="1"/>
    <x:col min="5" max="5" width="10" hidden="0" customWidth="1"/>
    <x:col min="6" max="6" width="38" hidden="0" customWidth="1"/>
    <x:col min="7" max="7" width="42" hidden="0" customWidth="1"/>
    <x:col min="8" max="8" width="22" hidden="0" customWidth="1"/>
    <x:col min="9" max="9" width="30" hidden="0" customWidth="1"/>
    <x:col min="10" max="10" width="0.10000000149011612" hidden="0" customWidth="1"/>
    <x:col min="11" max="11" width="0.10000000149011612" hidden="0" customWidth="1"/>
    <x:col min="12" max="12" width="0.10000000149011612" hidden="0" customWidth="1"/>
  </x:cols>
  <x:sheetData>
    <x:row r="1">
      <x:c r="A1" s="67" t="str">
        <x:v>Scope Rules — normalized host/IP/raw SPL membership rules</x:v>
      </x:c>
      <x:c r="B1" s="67"/>
      <x:c r="C1" s="67"/>
      <x:c r="D1" s="67"/>
      <x:c r="E1" s="67"/>
      <x:c r="F1" s="67"/>
      <x:c r="G1" s="67"/>
      <x:c r="H1" s="67"/>
      <x:c r="I1" s="67"/>
      <x:c r="L1"/>
    </x:row>
    <x:row r="2">
      <x:c r="A2" s="71" t="str">
        <x:v>One row = one rule assigned to a Location. Rules may be interleaved between locations. Use the Operator dropdown (the column is forced to Text so '=' stays literal). Auto Scope is assembled with classic Excel-compatible helper formulas.</x:v>
      </x:c>
      <x:c r="B2" s="71"/>
      <x:c r="C2" s="71"/>
      <x:c r="D2" s="71"/>
      <x:c r="E2" s="71"/>
      <x:c r="F2" s="71"/>
      <x:c r="G2" s="71"/>
      <x:c r="H2" s="71"/>
      <x:c r="I2" s="71"/>
    </x:row>
    <x:row r="4">
      <x:c r="A4" s="76" t="str">
        <x:v>Use?</x:v>
      </x:c>
      <x:c r="B4" s="76" t="str">
        <x:v>Location ID</x:v>
      </x:c>
      <x:c r="C4" s="76" t="str">
        <x:v>Rule Type</x:v>
      </x:c>
      <x:c r="D4" s="76" t="str">
        <x:v>Field</x:v>
      </x:c>
      <x:c r="E4" s="76" t="str">
        <x:v>Operator</x:v>
      </x:c>
      <x:c r="F4" s="76" t="str">
        <x:v>Match / Raw Expression</x:v>
      </x:c>
      <x:c r="G4" s="76" t="str">
        <x:v>Rule Fragment</x:v>
      </x:c>
      <x:c r="H4" s="76" t="str">
        <x:v>Status</x:v>
      </x:c>
      <x:c r="I4" s="76" t="str">
        <x:v>Notes</x:v>
      </x:c>
      <x:c r="J4" s="120" t="str">
        <x:v>Location + Rule Rank Key (helper)</x:v>
      </x:c>
      <x:c r="K4" s="120" t="str">
        <x:v>Scope Accumulator (helper)</x:v>
      </x:c>
      <x:c r="L4" t="str">
        <x:v>Assignable Location List (helper)</x:v>
      </x:c>
    </x:row>
    <x:row r="5">
      <x:c r="A5" s="79" t="str">
        <x:v>Yes</x:v>
      </x:c>
      <x:c r="B5" s="79" t="str">
        <x:v>LOC_CURRENT</x:v>
      </x:c>
      <x:c r="C5" s="79" t="str">
        <x:v>Field Match</x:v>
      </x:c>
      <x:c r="D5" s="79" t="str">
        <x:v>host</x:v>
      </x:c>
      <x:c r="E5" s="174" t="str">
        <x:v>=</x:v>
      </x:c>
      <x:c r="F5" s="79" t="str">
        <x:v>syr*</x:v>
      </x:c>
      <x:c r="G5" s="80" t="str">
        <x:f>IF($A5&lt;&gt;"Yes","",IF($C5="Raw SPL",$F5,IF(OR($D5="",$F5=""),"",$D5&amp;IF($E5="","=",$E5)&amp;CHAR(34)&amp;$F5&amp;CHAR(34))))</x:f>
        <x:v>host="syr*"</x:v>
      </x:c>
      <x:c r="H5" s="80" t="str">
        <x:f>IF($A5&lt;&gt;"Yes","Disabled",IF($B5="","Missing Location ID",IF(COUNTIFS(Locations!$C$5:$C$64,$B5,Locations!$A$5:$A$64,"Yes")=0,"Location not enabled",IF($C5="","Missing Rule Type",IF(AND($C5="Field Match",$D5=""),"Missing field",IF($F5="","Missing match/expression",IF($G5="","Invalid rule","OK")))))))</x:f>
        <x:v>OK</x:v>
      </x:c>
      <x:c r="I5" s="79" t="str">
        <x:v>Example seed rule</x:v>
      </x:c>
      <x:c r="J5" s="118" t="str">
        <x:f>IF(H5="OK",B5&amp;"|"&amp;TEXT(COUNTIFS($B$5:B5,$B5,$H$5:H5,"OK"),"000"),"")</x:f>
        <x:v>LOC_CURRENT|001</x:v>
      </x:c>
      <x:c r="K5" s="118" t="str">
        <x:f>IF(J5="","",G5)</x:f>
        <x:v>host="syr*"</x:v>
      </x:c>
      <x:c r="L5" t="str">
        <x:f>IFERROR(VLOOKUP("LOCINPUT|"&amp;TEXT(ROW()-4,"000"),Locations!$W$5:$X$64,2,FALSE),"")</x:f>
        <x:v>LOC_CURRENT</x:v>
      </x:c>
    </x:row>
    <x:row r="6">
      <x:c r="A6" s="79" t="str">
        <x:v>Yes</x:v>
      </x:c>
      <x:c r="B6" s="79" t="str">
        <x:v>LOC_CURRENT</x:v>
      </x:c>
      <x:c r="C6" s="79" t="str">
        <x:v>Field Match</x:v>
      </x:c>
      <x:c r="D6" s="79" t="str">
        <x:v>host</x:v>
      </x:c>
      <x:c r="E6" s="174" t="str">
        <x:v>=</x:v>
      </x:c>
      <x:c r="F6" s="79" t="str">
        <x:v>salep*</x:v>
      </x:c>
      <x:c r="G6" s="80" t="str">
        <x:f>IF($A6&lt;&gt;"Yes","",IF($C6="Raw SPL",$F6,IF(OR($D6="",$F6=""),"",$D6&amp;IF($E6="","=",$E6)&amp;CHAR(34)&amp;$F6&amp;CHAR(34))))</x:f>
        <x:v>host="salep*"</x:v>
      </x:c>
      <x:c r="H6" s="80" t="str">
        <x:f>IF($A6&lt;&gt;"Yes","Disabled",IF($B6="","Missing Location ID",IF(COUNTIFS(Locations!$C$5:$C$64,$B6,Locations!$A$5:$A$64,"Yes")=0,"Location not enabled",IF($C6="","Missing Rule Type",IF(AND($C6="Field Match",$D6=""),"Missing field",IF($F6="","Missing match/expression",IF($G6="","Invalid rule","OK")))))))</x:f>
        <x:v>OK</x:v>
      </x:c>
      <x:c r="I6" s="79" t="str">
        <x:v>Example seed rule</x:v>
      </x:c>
      <x:c r="J6" s="118" t="str">
        <x:f>IF(H6="OK",B6&amp;"|"&amp;TEXT(COUNTIFS($B$5:B6,$B6,$H$5:H6,"OK"),"000"),"")</x:f>
        <x:v>LOC_CURRENT|002</x:v>
      </x:c>
      <x:c r="K6" s="118" t="str">
        <x:f>IF(J6="","",IF(COUNTIFS($B$5:B6,$B6,$H$5:H6,"OK")=1,G6,IFERROR(VLOOKUP($B6&amp;"|"&amp;TEXT(COUNTIFS($B$5:B6,$B6,$H$5:H6,"OK")-1,"000"),$J$5:K5,2,FALSE),"")&amp;" OR "&amp;G6))</x:f>
        <x:v>host="syr*" OR host="salep*"</x:v>
      </x:c>
      <x:c r="L6" t="str">
        <x:f>IFERROR(VLOOKUP("LOCINPUT|"&amp;TEXT(ROW()-4,"000"),Locations!$W$5:$X$64,2,FALSE),"")</x:f>
      </x:c>
    </x:row>
    <x:row r="7">
      <x:c r="A7" s="79" t="str">
        <x:v>Yes</x:v>
      </x:c>
      <x:c r="B7" s="79" t="str">
        <x:v>LOC_CURRENT</x:v>
      </x:c>
      <x:c r="C7" s="79" t="str">
        <x:v>Field Match</x:v>
      </x:c>
      <x:c r="D7" s="79" t="str">
        <x:v>host</x:v>
      </x:c>
      <x:c r="E7" s="174" t="str">
        <x:v>=</x:v>
      </x:c>
      <x:c r="F7" s="79" t="str">
        <x:v>144.219.*</x:v>
      </x:c>
      <x:c r="G7" s="80" t="str">
        <x:f>IF($A7&lt;&gt;"Yes","",IF($C7="Raw SPL",$F7,IF(OR($D7="",$F7=""),"",$D7&amp;IF($E7="","=",$E7)&amp;CHAR(34)&amp;$F7&amp;CHAR(34))))</x:f>
        <x:v>host="144.219.*"</x:v>
      </x:c>
      <x:c r="H7" s="80" t="str">
        <x:f>IF($A7&lt;&gt;"Yes","Disabled",IF($B7="","Missing Location ID",IF(COUNTIFS(Locations!$C$5:$C$64,$B7,Locations!$A$5:$A$64,"Yes")=0,"Location not enabled",IF($C7="","Missing Rule Type",IF(AND($C7="Field Match",$D7=""),"Missing field",IF($F7="","Missing match/expression",IF($G7="","Invalid rule","OK")))))))</x:f>
        <x:v>OK</x:v>
      </x:c>
      <x:c r="I7" s="79" t="str">
        <x:v>Example seed rule</x:v>
      </x:c>
      <x:c r="J7" s="118" t="str">
        <x:f>IF(H7="OK",B7&amp;"|"&amp;TEXT(COUNTIFS($B$5:B7,$B7,$H$5:H7,"OK"),"000"),"")</x:f>
        <x:v>LOC_CURRENT|003</x:v>
      </x:c>
      <x:c r="K7" s="118" t="str">
        <x:f>IF(J7="","",IF(COUNTIFS($B$5:B7,$B7,$H$5:H7,"OK")=1,G7,IFERROR(VLOOKUP($B7&amp;"|"&amp;TEXT(COUNTIFS($B$5:B7,$B7,$H$5:H7,"OK")-1,"000"),$J$5:K6,2,FALSE),"")&amp;" OR "&amp;G7))</x:f>
        <x:v>host="syr*" OR host="salep*" OR host="144.219.*"</x:v>
      </x:c>
      <x:c r="L7" t="str">
        <x:f>IFERROR(VLOOKUP("LOCINPUT|"&amp;TEXT(ROW()-4,"000"),Locations!$W$5:$X$64,2,FALSE),"")</x:f>
      </x:c>
    </x:row>
    <x:row r="8">
      <x:c r="A8" s="79" t="str">
        <x:v>Yes</x:v>
      </x:c>
      <x:c r="B8" s="79" t="str">
        <x:v>LOC_CURRENT</x:v>
      </x:c>
      <x:c r="C8" s="79" t="str">
        <x:v>Field Match</x:v>
      </x:c>
      <x:c r="D8" s="79" t="str">
        <x:v>host</x:v>
      </x:c>
      <x:c r="E8" s="174" t="str">
        <x:v>=</x:v>
      </x:c>
      <x:c r="F8" s="79" t="str">
        <x:v>144.221.*</x:v>
      </x:c>
      <x:c r="G8" s="80" t="str">
        <x:f>IF($A8&lt;&gt;"Yes","",IF($C8="Raw SPL",$F8,IF(OR($D8="",$F8=""),"",$D8&amp;IF($E8="","=",$E8)&amp;CHAR(34)&amp;$F8&amp;CHAR(34))))</x:f>
        <x:v>host="144.221.*"</x:v>
      </x:c>
      <x:c r="H8" s="80" t="str">
        <x:f>IF($A8&lt;&gt;"Yes","Disabled",IF($B8="","Missing Location ID",IF(COUNTIFS(Locations!$C$5:$C$64,$B8,Locations!$A$5:$A$64,"Yes")=0,"Location not enabled",IF($C8="","Missing Rule Type",IF(AND($C8="Field Match",$D8=""),"Missing field",IF($F8="","Missing match/expression",IF($G8="","Invalid rule","OK")))))))</x:f>
        <x:v>OK</x:v>
      </x:c>
      <x:c r="I8" s="79" t="str">
        <x:v>Example seed rule</x:v>
      </x:c>
      <x:c r="J8" s="118" t="str">
        <x:f>IF(H8="OK",B8&amp;"|"&amp;TEXT(COUNTIFS($B$5:B8,$B8,$H$5:H8,"OK"),"000"),"")</x:f>
        <x:v>LOC_CURRENT|004</x:v>
      </x:c>
      <x:c r="K8" s="118" t="str">
        <x:f>IF(J8="","",IF(COUNTIFS($B$5:B8,$B8,$H$5:H8,"OK")=1,G8,IFERROR(VLOOKUP($B8&amp;"|"&amp;TEXT(COUNTIFS($B$5:B8,$B8,$H$5:H8,"OK")-1,"000"),$J$5:K7,2,FALSE),"")&amp;" OR "&amp;G8))</x:f>
        <x:v>host="syr*" OR host="salep*" OR host="144.219.*" OR host="144.221.*"</x:v>
      </x:c>
      <x:c r="L8" t="str">
        <x:f>IFERROR(VLOOKUP("LOCINPUT|"&amp;TEXT(ROW()-4,"000"),Locations!$W$5:$X$64,2,FALSE),"")</x:f>
      </x:c>
    </x:row>
    <x:row r="9">
      <x:c r="A9" s="79" t="str">
        <x:v>No</x:v>
      </x:c>
      <x:c r="B9" s="79"/>
      <x:c r="C9" s="79" t="str">
        <x:v>Field Match</x:v>
      </x:c>
      <x:c r="D9" s="79" t="str">
        <x:v>host</x:v>
      </x:c>
      <x:c r="E9" s="174"/>
      <x:c r="F9" s="79"/>
      <x:c r="G9" s="80" t="str">
        <x:f>IF($A9&lt;&gt;"Yes","",IF($C9="Raw SPL",$F9,IF(OR($D9="",$F9=""),"",$D9&amp;IF($E9="","=",$E9)&amp;CHAR(34)&amp;$F9&amp;CHAR(34))))</x:f>
      </x:c>
      <x:c r="H9" s="80" t="str">
        <x:f>IF($A9&lt;&gt;"Yes","Disabled",IF($B9="","Missing Location ID",IF(COUNTIFS(Locations!$C$5:$C$64,$B9,Locations!$A$5:$A$64,"Yes")=0,"Location not enabled",IF($C9="","Missing Rule Type",IF(AND($C9="Field Match",$D9=""),"Missing field",IF($F9="","Missing match/expression",IF($G9="","Invalid rule","OK")))))))</x:f>
        <x:v>Disabled</x:v>
      </x:c>
      <x:c r="I9" s="79" t="str"/>
      <x:c r="J9" s="118" t="str">
        <x:f>IF(H9="OK",B9&amp;"|"&amp;TEXT(COUNTIFS($B$5:B9,$B9,$H$5:H9,"OK"),"000"),"")</x:f>
      </x:c>
      <x:c r="K9" s="118" t="str">
        <x:f>IF(J9="","",IF(COUNTIFS($B$5:B9,$B9,$H$5:H9,"OK")=1,G9,IFERROR(VLOOKUP($B9&amp;"|"&amp;TEXT(COUNTIFS($B$5:B9,$B9,$H$5:H9,"OK")-1,"000"),$J$5:K8,2,FALSE),"")&amp;" OR "&amp;G9))</x:f>
      </x:c>
      <x:c r="L9" t="str">
        <x:f>IFERROR(VLOOKUP("LOCINPUT|"&amp;TEXT(ROW()-4,"000"),Locations!$W$5:$X$64,2,FALSE),"")</x:f>
      </x:c>
    </x:row>
    <x:row r="10">
      <x:c r="A10" s="79" t="str">
        <x:v>No</x:v>
      </x:c>
      <x:c r="B10" s="79"/>
      <x:c r="C10" s="79" t="str">
        <x:v>Field Match</x:v>
      </x:c>
      <x:c r="D10" s="79" t="str">
        <x:v>host</x:v>
      </x:c>
      <x:c r="E10" s="174" t="str">
        <x:v>=</x:v>
      </x:c>
      <x:c r="F10" s="79"/>
      <x:c r="G10" s="80" t="str">
        <x:f>IF($A10&lt;&gt;"Yes","",IF($C10="Raw SPL",$F10,IF(OR($D10="",$F10=""),"",$D10&amp;IF($E10="","=",$E10)&amp;CHAR(34)&amp;$F10&amp;CHAR(34))))</x:f>
      </x:c>
      <x:c r="H10" s="80" t="str">
        <x:f>IF($A10&lt;&gt;"Yes","Disabled",IF($B10="","Missing Location ID",IF(COUNTIFS(Locations!$C$5:$C$64,$B10,Locations!$A$5:$A$64,"Yes")=0,"Location not enabled",IF($C10="","Missing Rule Type",IF(AND($C10="Field Match",$D10=""),"Missing field",IF($F10="","Missing match/expression",IF($G10="","Invalid rule","OK")))))))</x:f>
        <x:v>Disabled</x:v>
      </x:c>
      <x:c r="I10" s="79" t="str"/>
      <x:c r="J10" s="118" t="str">
        <x:f>IF(H10="OK",B10&amp;"|"&amp;TEXT(COUNTIFS($B$5:B10,$B10,$H$5:H10,"OK"),"000"),"")</x:f>
      </x:c>
      <x:c r="K10" s="118" t="str">
        <x:f>IF(J10="","",IF(COUNTIFS($B$5:B10,$B10,$H$5:H10,"OK")=1,G10,IFERROR(VLOOKUP($B10&amp;"|"&amp;TEXT(COUNTIFS($B$5:B10,$B10,$H$5:H10,"OK")-1,"000"),$J$5:K9,2,FALSE),"")&amp;" OR "&amp;G10))</x:f>
      </x:c>
      <x:c r="L10" t="str">
        <x:f>IFERROR(VLOOKUP("LOCINPUT|"&amp;TEXT(ROW()-4,"000"),Locations!$W$5:$X$64,2,FALSE),"")</x:f>
      </x:c>
    </x:row>
    <x:row r="11">
      <x:c r="A11" s="79" t="str">
        <x:v>No</x:v>
      </x:c>
      <x:c r="B11" s="79"/>
      <x:c r="C11" s="79" t="str">
        <x:v>Field Match</x:v>
      </x:c>
      <x:c r="D11" s="79" t="str">
        <x:v>host</x:v>
      </x:c>
      <x:c r="E11" s="174" t="str">
        <x:v>=</x:v>
      </x:c>
      <x:c r="F11" s="79"/>
      <x:c r="G11" s="80" t="str">
        <x:f>IF($A11&lt;&gt;"Yes","",IF($C11="Raw SPL",$F11,IF(OR($D11="",$F11=""),"",$D11&amp;IF($E11="","=",$E11)&amp;CHAR(34)&amp;$F11&amp;CHAR(34))))</x:f>
      </x:c>
      <x:c r="H11" s="80" t="str">
        <x:f>IF($A11&lt;&gt;"Yes","Disabled",IF($B11="","Missing Location ID",IF(COUNTIFS(Locations!$C$5:$C$64,$B11,Locations!$A$5:$A$64,"Yes")=0,"Location not enabled",IF($C11="","Missing Rule Type",IF(AND($C11="Field Match",$D11=""),"Missing field",IF($F11="","Missing match/expression",IF($G11="","Invalid rule","OK")))))))</x:f>
        <x:v>Disabled</x:v>
      </x:c>
      <x:c r="I11" s="79" t="str"/>
      <x:c r="J11" s="118" t="str">
        <x:f>IF(H11="OK",B11&amp;"|"&amp;TEXT(COUNTIFS($B$5:B11,$B11,$H$5:H11,"OK"),"000"),"")</x:f>
      </x:c>
      <x:c r="K11" s="118" t="str">
        <x:f>IF(J11="","",IF(COUNTIFS($B$5:B11,$B11,$H$5:H11,"OK")=1,G11,IFERROR(VLOOKUP($B11&amp;"|"&amp;TEXT(COUNTIFS($B$5:B11,$B11,$H$5:H11,"OK")-1,"000"),$J$5:K10,2,FALSE),"")&amp;" OR "&amp;G11))</x:f>
      </x:c>
      <x:c r="L11" t="str">
        <x:f>IFERROR(VLOOKUP("LOCINPUT|"&amp;TEXT(ROW()-4,"000"),Locations!$W$5:$X$64,2,FALSE),"")</x:f>
      </x:c>
    </x:row>
    <x:row r="12">
      <x:c r="A12" s="79" t="str">
        <x:v>No</x:v>
      </x:c>
      <x:c r="B12" s="79"/>
      <x:c r="C12" s="79" t="str">
        <x:v>Field Match</x:v>
      </x:c>
      <x:c r="D12" s="79" t="str">
        <x:v>host</x:v>
      </x:c>
      <x:c r="E12" s="174" t="str">
        <x:v>=</x:v>
      </x:c>
      <x:c r="F12" s="79"/>
      <x:c r="G12" s="80" t="str">
        <x:f>IF($A12&lt;&gt;"Yes","",IF($C12="Raw SPL",$F12,IF(OR($D12="",$F12=""),"",$D12&amp;IF($E12="","=",$E12)&amp;CHAR(34)&amp;$F12&amp;CHAR(34))))</x:f>
      </x:c>
      <x:c r="H12" s="80" t="str">
        <x:f>IF($A12&lt;&gt;"Yes","Disabled",IF($B12="","Missing Location ID",IF(COUNTIFS(Locations!$C$5:$C$64,$B12,Locations!$A$5:$A$64,"Yes")=0,"Location not enabled",IF($C12="","Missing Rule Type",IF(AND($C12="Field Match",$D12=""),"Missing field",IF($F12="","Missing match/expression",IF($G12="","Invalid rule","OK")))))))</x:f>
        <x:v>Disabled</x:v>
      </x:c>
      <x:c r="I12" s="79" t="str"/>
      <x:c r="J12" s="118" t="str">
        <x:f>IF(H12="OK",B12&amp;"|"&amp;TEXT(COUNTIFS($B$5:B12,$B12,$H$5:H12,"OK"),"000"),"")</x:f>
      </x:c>
      <x:c r="K12" s="118" t="str">
        <x:f>IF(J12="","",IF(COUNTIFS($B$5:B12,$B12,$H$5:H12,"OK")=1,G12,IFERROR(VLOOKUP($B12&amp;"|"&amp;TEXT(COUNTIFS($B$5:B12,$B12,$H$5:H12,"OK")-1,"000"),$J$5:K11,2,FALSE),"")&amp;" OR "&amp;G12))</x:f>
      </x:c>
      <x:c r="L12" t="str">
        <x:f>IFERROR(VLOOKUP("LOCINPUT|"&amp;TEXT(ROW()-4,"000"),Locations!$W$5:$X$64,2,FALSE),"")</x:f>
      </x:c>
    </x:row>
    <x:row r="13">
      <x:c r="A13" s="79" t="str">
        <x:v>No</x:v>
      </x:c>
      <x:c r="B13" s="79" t="str"/>
      <x:c r="C13" s="79" t="str">
        <x:v>Field Match</x:v>
      </x:c>
      <x:c r="D13" s="79" t="str">
        <x:v>host</x:v>
      </x:c>
      <x:c r="E13" s="174" t="str">
        <x:v>=</x:v>
      </x:c>
      <x:c r="F13" s="79" t="str"/>
      <x:c r="G13" s="80" t="str">
        <x:f>IF($A13&lt;&gt;"Yes","",IF($C13="Raw SPL",$F13,IF(OR($D13="",$F13=""),"",$D13&amp;IF($E13="","=",$E13)&amp;CHAR(34)&amp;$F13&amp;CHAR(34))))</x:f>
      </x:c>
      <x:c r="H13" s="80" t="str">
        <x:f>IF($A13&lt;&gt;"Yes","Disabled",IF($B13="","Missing Location ID",IF(COUNTIFS(Locations!$C$5:$C$64,$B13,Locations!$A$5:$A$64,"Yes")=0,"Location not enabled",IF($C13="","Missing Rule Type",IF(AND($C13="Field Match",$D13=""),"Missing field",IF($F13="","Missing match/expression",IF($G13="","Invalid rule","OK")))))))</x:f>
        <x:v>Disabled</x:v>
      </x:c>
      <x:c r="I13" s="79" t="str"/>
      <x:c r="J13" s="118" t="str">
        <x:f>IF(H13="OK",B13&amp;"|"&amp;TEXT(COUNTIFS($B$5:B13,$B13,$H$5:H13,"OK"),"000"),"")</x:f>
      </x:c>
      <x:c r="K13" s="118" t="str">
        <x:f>IF(J13="","",IF(COUNTIFS($B$5:B13,$B13,$H$5:H13,"OK")=1,G13,IFERROR(VLOOKUP($B13&amp;"|"&amp;TEXT(COUNTIFS($B$5:B13,$B13,$H$5:H13,"OK")-1,"000"),$J$5:K12,2,FALSE),"")&amp;" OR "&amp;G13))</x:f>
      </x:c>
      <x:c r="L13" t="str">
        <x:f>IFERROR(VLOOKUP("LOCINPUT|"&amp;TEXT(ROW()-4,"000"),Locations!$W$5:$X$64,2,FALSE),"")</x:f>
      </x:c>
    </x:row>
    <x:row r="14">
      <x:c r="A14" s="79" t="str">
        <x:v>No</x:v>
      </x:c>
      <x:c r="B14" s="79" t="str"/>
      <x:c r="C14" s="79" t="str">
        <x:v>Field Match</x:v>
      </x:c>
      <x:c r="D14" s="79" t="str">
        <x:v>host</x:v>
      </x:c>
      <x:c r="E14" s="174" t="str">
        <x:v>=</x:v>
      </x:c>
      <x:c r="F14" s="79" t="str"/>
      <x:c r="G14" s="80" t="str">
        <x:f>IF($A14&lt;&gt;"Yes","",IF($C14="Raw SPL",$F14,IF(OR($D14="",$F14=""),"",$D14&amp;IF($E14="","=",$E14)&amp;CHAR(34)&amp;$F14&amp;CHAR(34))))</x:f>
      </x:c>
      <x:c r="H14" s="80" t="str">
        <x:f>IF($A14&lt;&gt;"Yes","Disabled",IF($B14="","Missing Location ID",IF(COUNTIFS(Locations!$C$5:$C$64,$B14,Locations!$A$5:$A$64,"Yes")=0,"Location not enabled",IF($C14="","Missing Rule Type",IF(AND($C14="Field Match",$D14=""),"Missing field",IF($F14="","Missing match/expression",IF($G14="","Invalid rule","OK")))))))</x:f>
        <x:v>Disabled</x:v>
      </x:c>
      <x:c r="I14" s="79" t="str"/>
      <x:c r="J14" s="118" t="str">
        <x:f>IF(H14="OK",B14&amp;"|"&amp;TEXT(COUNTIFS($B$5:B14,$B14,$H$5:H14,"OK"),"000"),"")</x:f>
      </x:c>
      <x:c r="K14" s="118" t="str">
        <x:f>IF(J14="","",IF(COUNTIFS($B$5:B14,$B14,$H$5:H14,"OK")=1,G14,IFERROR(VLOOKUP($B14&amp;"|"&amp;TEXT(COUNTIFS($B$5:B14,$B14,$H$5:H14,"OK")-1,"000"),$J$5:K13,2,FALSE),"")&amp;" OR "&amp;G14))</x:f>
      </x:c>
      <x:c r="L14" t="str">
        <x:f>IFERROR(VLOOKUP("LOCINPUT|"&amp;TEXT(ROW()-4,"000"),Locations!$W$5:$X$64,2,FALSE),"")</x:f>
      </x:c>
    </x:row>
    <x:row r="15">
      <x:c r="A15" s="79" t="str">
        <x:v>No</x:v>
      </x:c>
      <x:c r="B15" s="79" t="str"/>
      <x:c r="C15" s="79" t="str">
        <x:v>Field Match</x:v>
      </x:c>
      <x:c r="D15" s="79" t="str">
        <x:v>host</x:v>
      </x:c>
      <x:c r="E15" s="174" t="str">
        <x:v>=</x:v>
      </x:c>
      <x:c r="F15" s="79" t="str"/>
      <x:c r="G15" s="80" t="str">
        <x:f>IF($A15&lt;&gt;"Yes","",IF($C15="Raw SPL",$F15,IF(OR($D15="",$F15=""),"",$D15&amp;IF($E15="","=",$E15)&amp;CHAR(34)&amp;$F15&amp;CHAR(34))))</x:f>
      </x:c>
      <x:c r="H15" s="80" t="str">
        <x:f>IF($A15&lt;&gt;"Yes","Disabled",IF($B15="","Missing Location ID",IF(COUNTIFS(Locations!$C$5:$C$64,$B15,Locations!$A$5:$A$64,"Yes")=0,"Location not enabled",IF($C15="","Missing Rule Type",IF(AND($C15="Field Match",$D15=""),"Missing field",IF($F15="","Missing match/expression",IF($G15="","Invalid rule","OK")))))))</x:f>
        <x:v>Disabled</x:v>
      </x:c>
      <x:c r="I15" s="79" t="str"/>
      <x:c r="J15" s="118" t="str">
        <x:f>IF(H15="OK",B15&amp;"|"&amp;TEXT(COUNTIFS($B$5:B15,$B15,$H$5:H15,"OK"),"000"),"")</x:f>
      </x:c>
      <x:c r="K15" s="118" t="str">
        <x:f>IF(J15="","",IF(COUNTIFS($B$5:B15,$B15,$H$5:H15,"OK")=1,G15,IFERROR(VLOOKUP($B15&amp;"|"&amp;TEXT(COUNTIFS($B$5:B15,$B15,$H$5:H15,"OK")-1,"000"),$J$5:K14,2,FALSE),"")&amp;" OR "&amp;G15))</x:f>
      </x:c>
      <x:c r="L15" t="str">
        <x:f>IFERROR(VLOOKUP("LOCINPUT|"&amp;TEXT(ROW()-4,"000"),Locations!$W$5:$X$64,2,FALSE),"")</x:f>
      </x:c>
    </x:row>
    <x:row r="16">
      <x:c r="A16" s="79" t="str">
        <x:v>No</x:v>
      </x:c>
      <x:c r="B16" s="79" t="str"/>
      <x:c r="C16" s="79" t="str">
        <x:v>Field Match</x:v>
      </x:c>
      <x:c r="D16" s="79" t="str">
        <x:v>host</x:v>
      </x:c>
      <x:c r="E16" s="174" t="str">
        <x:v>=</x:v>
      </x:c>
      <x:c r="F16" s="79" t="str"/>
      <x:c r="G16" s="80" t="str">
        <x:f>IF($A16&lt;&gt;"Yes","",IF($C16="Raw SPL",$F16,IF(OR($D16="",$F16=""),"",$D16&amp;IF($E16="","=",$E16)&amp;CHAR(34)&amp;$F16&amp;CHAR(34))))</x:f>
      </x:c>
      <x:c r="H16" s="80" t="str">
        <x:f>IF($A16&lt;&gt;"Yes","Disabled",IF($B16="","Missing Location ID",IF(COUNTIFS(Locations!$C$5:$C$64,$B16,Locations!$A$5:$A$64,"Yes")=0,"Location not enabled",IF($C16="","Missing Rule Type",IF(AND($C16="Field Match",$D16=""),"Missing field",IF($F16="","Missing match/expression",IF($G16="","Invalid rule","OK")))))))</x:f>
        <x:v>Disabled</x:v>
      </x:c>
      <x:c r="I16" s="79" t="str"/>
      <x:c r="J16" s="118" t="str">
        <x:f>IF(H16="OK",B16&amp;"|"&amp;TEXT(COUNTIFS($B$5:B16,$B16,$H$5:H16,"OK"),"000"),"")</x:f>
      </x:c>
      <x:c r="K16" s="118" t="str">
        <x:f>IF(J16="","",IF(COUNTIFS($B$5:B16,$B16,$H$5:H16,"OK")=1,G16,IFERROR(VLOOKUP($B16&amp;"|"&amp;TEXT(COUNTIFS($B$5:B16,$B16,$H$5:H16,"OK")-1,"000"),$J$5:K15,2,FALSE),"")&amp;" OR "&amp;G16))</x:f>
      </x:c>
      <x:c r="L16" t="str">
        <x:f>IFERROR(VLOOKUP("LOCINPUT|"&amp;TEXT(ROW()-4,"000"),Locations!$W$5:$X$64,2,FALSE),"")</x:f>
      </x:c>
    </x:row>
    <x:row r="17">
      <x:c r="A17" s="79" t="str">
        <x:v>No</x:v>
      </x:c>
      <x:c r="B17" s="79" t="str"/>
      <x:c r="C17" s="79" t="str">
        <x:v>Field Match</x:v>
      </x:c>
      <x:c r="D17" s="79" t="str">
        <x:v>host</x:v>
      </x:c>
      <x:c r="E17" s="174" t="str">
        <x:v>=</x:v>
      </x:c>
      <x:c r="F17" s="79" t="str"/>
      <x:c r="G17" s="80" t="str">
        <x:f>IF($A17&lt;&gt;"Yes","",IF($C17="Raw SPL",$F17,IF(OR($D17="",$F17=""),"",$D17&amp;IF($E17="","=",$E17)&amp;CHAR(34)&amp;$F17&amp;CHAR(34))))</x:f>
      </x:c>
      <x:c r="H17" s="80" t="str">
        <x:f>IF($A17&lt;&gt;"Yes","Disabled",IF($B17="","Missing Location ID",IF(COUNTIFS(Locations!$C$5:$C$64,$B17,Locations!$A$5:$A$64,"Yes")=0,"Location not enabled",IF($C17="","Missing Rule Type",IF(AND($C17="Field Match",$D17=""),"Missing field",IF($F17="","Missing match/expression",IF($G17="","Invalid rule","OK")))))))</x:f>
        <x:v>Disabled</x:v>
      </x:c>
      <x:c r="I17" s="79" t="str"/>
      <x:c r="J17" s="118" t="str">
        <x:f>IF(H17="OK",B17&amp;"|"&amp;TEXT(COUNTIFS($B$5:B17,$B17,$H$5:H17,"OK"),"000"),"")</x:f>
      </x:c>
      <x:c r="K17" s="118" t="str">
        <x:f>IF(J17="","",IF(COUNTIFS($B$5:B17,$B17,$H$5:H17,"OK")=1,G17,IFERROR(VLOOKUP($B17&amp;"|"&amp;TEXT(COUNTIFS($B$5:B17,$B17,$H$5:H17,"OK")-1,"000"),$J$5:K16,2,FALSE),"")&amp;" OR "&amp;G17))</x:f>
      </x:c>
      <x:c r="L17" t="str">
        <x:f>IFERROR(VLOOKUP("LOCINPUT|"&amp;TEXT(ROW()-4,"000"),Locations!$W$5:$X$64,2,FALSE),"")</x:f>
      </x:c>
    </x:row>
    <x:row r="18">
      <x:c r="A18" s="79" t="str">
        <x:v>No</x:v>
      </x:c>
      <x:c r="B18" s="79" t="str"/>
      <x:c r="C18" s="79" t="str">
        <x:v>Field Match</x:v>
      </x:c>
      <x:c r="D18" s="79" t="str">
        <x:v>host</x:v>
      </x:c>
      <x:c r="E18" s="174" t="str">
        <x:v>=</x:v>
      </x:c>
      <x:c r="F18" s="79" t="str"/>
      <x:c r="G18" s="80" t="str">
        <x:f>IF($A18&lt;&gt;"Yes","",IF($C18="Raw SPL",$F18,IF(OR($D18="",$F18=""),"",$D18&amp;IF($E18="","=",$E18)&amp;CHAR(34)&amp;$F18&amp;CHAR(34))))</x:f>
      </x:c>
      <x:c r="H18" s="80" t="str">
        <x:f>IF($A18&lt;&gt;"Yes","Disabled",IF($B18="","Missing Location ID",IF(COUNTIFS(Locations!$C$5:$C$64,$B18,Locations!$A$5:$A$64,"Yes")=0,"Location not enabled",IF($C18="","Missing Rule Type",IF(AND($C18="Field Match",$D18=""),"Missing field",IF($F18="","Missing match/expression",IF($G18="","Invalid rule","OK")))))))</x:f>
        <x:v>Disabled</x:v>
      </x:c>
      <x:c r="I18" s="79" t="str"/>
      <x:c r="J18" s="118" t="str">
        <x:f>IF(H18="OK",B18&amp;"|"&amp;TEXT(COUNTIFS($B$5:B18,$B18,$H$5:H18,"OK"),"000"),"")</x:f>
      </x:c>
      <x:c r="K18" s="118" t="str">
        <x:f>IF(J18="","",IF(COUNTIFS($B$5:B18,$B18,$H$5:H18,"OK")=1,G18,IFERROR(VLOOKUP($B18&amp;"|"&amp;TEXT(COUNTIFS($B$5:B18,$B18,$H$5:H18,"OK")-1,"000"),$J$5:K17,2,FALSE),"")&amp;" OR "&amp;G18))</x:f>
      </x:c>
      <x:c r="L18" t="str">
        <x:f>IFERROR(VLOOKUP("LOCINPUT|"&amp;TEXT(ROW()-4,"000"),Locations!$W$5:$X$64,2,FALSE),"")</x:f>
      </x:c>
    </x:row>
    <x:row r="19">
      <x:c r="A19" s="79" t="str">
        <x:v>No</x:v>
      </x:c>
      <x:c r="B19" s="79" t="str"/>
      <x:c r="C19" s="79" t="str">
        <x:v>Field Match</x:v>
      </x:c>
      <x:c r="D19" s="79" t="str">
        <x:v>host</x:v>
      </x:c>
      <x:c r="E19" s="174" t="str">
        <x:v>=</x:v>
      </x:c>
      <x:c r="F19" s="79" t="str"/>
      <x:c r="G19" s="80" t="str">
        <x:f>IF($A19&lt;&gt;"Yes","",IF($C19="Raw SPL",$F19,IF(OR($D19="",$F19=""),"",$D19&amp;IF($E19="","=",$E19)&amp;CHAR(34)&amp;$F19&amp;CHAR(34))))</x:f>
      </x:c>
      <x:c r="H19" s="80" t="str">
        <x:f>IF($A19&lt;&gt;"Yes","Disabled",IF($B19="","Missing Location ID",IF(COUNTIFS(Locations!$C$5:$C$64,$B19,Locations!$A$5:$A$64,"Yes")=0,"Location not enabled",IF($C19="","Missing Rule Type",IF(AND($C19="Field Match",$D19=""),"Missing field",IF($F19="","Missing match/expression",IF($G19="","Invalid rule","OK")))))))</x:f>
        <x:v>Disabled</x:v>
      </x:c>
      <x:c r="I19" s="79" t="str"/>
      <x:c r="J19" s="118" t="str">
        <x:f>IF(H19="OK",B19&amp;"|"&amp;TEXT(COUNTIFS($B$5:B19,$B19,$H$5:H19,"OK"),"000"),"")</x:f>
      </x:c>
      <x:c r="K19" s="118" t="str">
        <x:f>IF(J19="","",IF(COUNTIFS($B$5:B19,$B19,$H$5:H19,"OK")=1,G19,IFERROR(VLOOKUP($B19&amp;"|"&amp;TEXT(COUNTIFS($B$5:B19,$B19,$H$5:H19,"OK")-1,"000"),$J$5:K18,2,FALSE),"")&amp;" OR "&amp;G19))</x:f>
      </x:c>
      <x:c r="L19" t="str">
        <x:f>IFERROR(VLOOKUP("LOCINPUT|"&amp;TEXT(ROW()-4,"000"),Locations!$W$5:$X$64,2,FALSE),"")</x:f>
      </x:c>
    </x:row>
    <x:row r="20">
      <x:c r="A20" s="79" t="str">
        <x:v>No</x:v>
      </x:c>
      <x:c r="B20" s="79" t="str"/>
      <x:c r="C20" s="79" t="str">
        <x:v>Field Match</x:v>
      </x:c>
      <x:c r="D20" s="79" t="str">
        <x:v>host</x:v>
      </x:c>
      <x:c r="E20" s="174" t="str">
        <x:v>=</x:v>
      </x:c>
      <x:c r="F20" s="79" t="str"/>
      <x:c r="G20" s="80" t="str">
        <x:f>IF($A20&lt;&gt;"Yes","",IF($C20="Raw SPL",$F20,IF(OR($D20="",$F20=""),"",$D20&amp;IF($E20="","=",$E20)&amp;CHAR(34)&amp;$F20&amp;CHAR(34))))</x:f>
      </x:c>
      <x:c r="H20" s="80" t="str">
        <x:f>IF($A20&lt;&gt;"Yes","Disabled",IF($B20="","Missing Location ID",IF(COUNTIFS(Locations!$C$5:$C$64,$B20,Locations!$A$5:$A$64,"Yes")=0,"Location not enabled",IF($C20="","Missing Rule Type",IF(AND($C20="Field Match",$D20=""),"Missing field",IF($F20="","Missing match/expression",IF($G20="","Invalid rule","OK")))))))</x:f>
        <x:v>Disabled</x:v>
      </x:c>
      <x:c r="I20" s="79" t="str"/>
      <x:c r="J20" s="118" t="str">
        <x:f>IF(H20="OK",B20&amp;"|"&amp;TEXT(COUNTIFS($B$5:B20,$B20,$H$5:H20,"OK"),"000"),"")</x:f>
      </x:c>
      <x:c r="K20" s="118" t="str">
        <x:f>IF(J20="","",IF(COUNTIFS($B$5:B20,$B20,$H$5:H20,"OK")=1,G20,IFERROR(VLOOKUP($B20&amp;"|"&amp;TEXT(COUNTIFS($B$5:B20,$B20,$H$5:H20,"OK")-1,"000"),$J$5:K19,2,FALSE),"")&amp;" OR "&amp;G20))</x:f>
      </x:c>
      <x:c r="L20" t="str">
        <x:f>IFERROR(VLOOKUP("LOCINPUT|"&amp;TEXT(ROW()-4,"000"),Locations!$W$5:$X$64,2,FALSE),"")</x:f>
      </x:c>
    </x:row>
    <x:row r="21">
      <x:c r="A21" s="79" t="str">
        <x:v>No</x:v>
      </x:c>
      <x:c r="B21" s="79" t="str"/>
      <x:c r="C21" s="79" t="str">
        <x:v>Field Match</x:v>
      </x:c>
      <x:c r="D21" s="79" t="str">
        <x:v>host</x:v>
      </x:c>
      <x:c r="E21" s="174" t="str">
        <x:v>=</x:v>
      </x:c>
      <x:c r="F21" s="79" t="str"/>
      <x:c r="G21" s="80" t="str">
        <x:f>IF($A21&lt;&gt;"Yes","",IF($C21="Raw SPL",$F21,IF(OR($D21="",$F21=""),"",$D21&amp;IF($E21="","=",$E21)&amp;CHAR(34)&amp;$F21&amp;CHAR(34))))</x:f>
      </x:c>
      <x:c r="H21" s="80" t="str">
        <x:f>IF($A21&lt;&gt;"Yes","Disabled",IF($B21="","Missing Location ID",IF(COUNTIFS(Locations!$C$5:$C$64,$B21,Locations!$A$5:$A$64,"Yes")=0,"Location not enabled",IF($C21="","Missing Rule Type",IF(AND($C21="Field Match",$D21=""),"Missing field",IF($F21="","Missing match/expression",IF($G21="","Invalid rule","OK")))))))</x:f>
        <x:v>Disabled</x:v>
      </x:c>
      <x:c r="I21" s="79" t="str"/>
      <x:c r="J21" s="118" t="str">
        <x:f>IF(H21="OK",B21&amp;"|"&amp;TEXT(COUNTIFS($B$5:B21,$B21,$H$5:H21,"OK"),"000"),"")</x:f>
      </x:c>
      <x:c r="K21" s="118" t="str">
        <x:f>IF(J21="","",IF(COUNTIFS($B$5:B21,$B21,$H$5:H21,"OK")=1,G21,IFERROR(VLOOKUP($B21&amp;"|"&amp;TEXT(COUNTIFS($B$5:B21,$B21,$H$5:H21,"OK")-1,"000"),$J$5:K20,2,FALSE),"")&amp;" OR "&amp;G21))</x:f>
      </x:c>
      <x:c r="L21" t="str">
        <x:f>IFERROR(VLOOKUP("LOCINPUT|"&amp;TEXT(ROW()-4,"000"),Locations!$W$5:$X$64,2,FALSE),"")</x:f>
      </x:c>
    </x:row>
    <x:row r="22">
      <x:c r="A22" s="79" t="str">
        <x:v>No</x:v>
      </x:c>
      <x:c r="B22" s="79" t="str"/>
      <x:c r="C22" s="79" t="str">
        <x:v>Field Match</x:v>
      </x:c>
      <x:c r="D22" s="79" t="str">
        <x:v>host</x:v>
      </x:c>
      <x:c r="E22" s="174" t="str">
        <x:v>=</x:v>
      </x:c>
      <x:c r="F22" s="79" t="str"/>
      <x:c r="G22" s="80" t="str">
        <x:f>IF($A22&lt;&gt;"Yes","",IF($C22="Raw SPL",$F22,IF(OR($D22="",$F22=""),"",$D22&amp;IF($E22="","=",$E22)&amp;CHAR(34)&amp;$F22&amp;CHAR(34))))</x:f>
      </x:c>
      <x:c r="H22" s="80" t="str">
        <x:f>IF($A22&lt;&gt;"Yes","Disabled",IF($B22="","Missing Location ID",IF(COUNTIFS(Locations!$C$5:$C$64,$B22,Locations!$A$5:$A$64,"Yes")=0,"Location not enabled",IF($C22="","Missing Rule Type",IF(AND($C22="Field Match",$D22=""),"Missing field",IF($F22="","Missing match/expression",IF($G22="","Invalid rule","OK")))))))</x:f>
        <x:v>Disabled</x:v>
      </x:c>
      <x:c r="I22" s="79" t="str"/>
      <x:c r="J22" s="118" t="str">
        <x:f>IF(H22="OK",B22&amp;"|"&amp;TEXT(COUNTIFS($B$5:B22,$B22,$H$5:H22,"OK"),"000"),"")</x:f>
      </x:c>
      <x:c r="K22" s="118" t="str">
        <x:f>IF(J22="","",IF(COUNTIFS($B$5:B22,$B22,$H$5:H22,"OK")=1,G22,IFERROR(VLOOKUP($B22&amp;"|"&amp;TEXT(COUNTIFS($B$5:B22,$B22,$H$5:H22,"OK")-1,"000"),$J$5:K21,2,FALSE),"")&amp;" OR "&amp;G22))</x:f>
      </x:c>
      <x:c r="L22" t="str">
        <x:f>IFERROR(VLOOKUP("LOCINPUT|"&amp;TEXT(ROW()-4,"000"),Locations!$W$5:$X$64,2,FALSE),"")</x:f>
      </x:c>
    </x:row>
    <x:row r="23">
      <x:c r="A23" s="79" t="str">
        <x:v>No</x:v>
      </x:c>
      <x:c r="B23" s="79" t="str"/>
      <x:c r="C23" s="79" t="str">
        <x:v>Field Match</x:v>
      </x:c>
      <x:c r="D23" s="79" t="str">
        <x:v>host</x:v>
      </x:c>
      <x:c r="E23" s="174" t="str">
        <x:v>=</x:v>
      </x:c>
      <x:c r="F23" s="79" t="str"/>
      <x:c r="G23" s="80" t="str">
        <x:f>IF($A23&lt;&gt;"Yes","",IF($C23="Raw SPL",$F23,IF(OR($D23="",$F23=""),"",$D23&amp;IF($E23="","=",$E23)&amp;CHAR(34)&amp;$F23&amp;CHAR(34))))</x:f>
      </x:c>
      <x:c r="H23" s="80" t="str">
        <x:f>IF($A23&lt;&gt;"Yes","Disabled",IF($B23="","Missing Location ID",IF(COUNTIFS(Locations!$C$5:$C$64,$B23,Locations!$A$5:$A$64,"Yes")=0,"Location not enabled",IF($C23="","Missing Rule Type",IF(AND($C23="Field Match",$D23=""),"Missing field",IF($F23="","Missing match/expression",IF($G23="","Invalid rule","OK")))))))</x:f>
        <x:v>Disabled</x:v>
      </x:c>
      <x:c r="I23" s="79" t="str"/>
      <x:c r="J23" s="118" t="str">
        <x:f>IF(H23="OK",B23&amp;"|"&amp;TEXT(COUNTIFS($B$5:B23,$B23,$H$5:H23,"OK"),"000"),"")</x:f>
      </x:c>
      <x:c r="K23" s="118" t="str">
        <x:f>IF(J23="","",IF(COUNTIFS($B$5:B23,$B23,$H$5:H23,"OK")=1,G23,IFERROR(VLOOKUP($B23&amp;"|"&amp;TEXT(COUNTIFS($B$5:B23,$B23,$H$5:H23,"OK")-1,"000"),$J$5:K22,2,FALSE),"")&amp;" OR "&amp;G23))</x:f>
      </x:c>
      <x:c r="L23" t="str">
        <x:f>IFERROR(VLOOKUP("LOCINPUT|"&amp;TEXT(ROW()-4,"000"),Locations!$W$5:$X$64,2,FALSE),"")</x:f>
      </x:c>
    </x:row>
    <x:row r="24">
      <x:c r="A24" s="79" t="str">
        <x:v>No</x:v>
      </x:c>
      <x:c r="B24" s="79" t="str"/>
      <x:c r="C24" s="79" t="str">
        <x:v>Field Match</x:v>
      </x:c>
      <x:c r="D24" s="79" t="str">
        <x:v>host</x:v>
      </x:c>
      <x:c r="E24" s="174" t="str">
        <x:v>=</x:v>
      </x:c>
      <x:c r="F24" s="79" t="str"/>
      <x:c r="G24" s="80" t="str">
        <x:f>IF($A24&lt;&gt;"Yes","",IF($C24="Raw SPL",$F24,IF(OR($D24="",$F24=""),"",$D24&amp;IF($E24="","=",$E24)&amp;CHAR(34)&amp;$F24&amp;CHAR(34))))</x:f>
      </x:c>
      <x:c r="H24" s="80" t="str">
        <x:f>IF($A24&lt;&gt;"Yes","Disabled",IF($B24="","Missing Location ID",IF(COUNTIFS(Locations!$C$5:$C$64,$B24,Locations!$A$5:$A$64,"Yes")=0,"Location not enabled",IF($C24="","Missing Rule Type",IF(AND($C24="Field Match",$D24=""),"Missing field",IF($F24="","Missing match/expression",IF($G24="","Invalid rule","OK")))))))</x:f>
        <x:v>Disabled</x:v>
      </x:c>
      <x:c r="I24" s="79" t="str"/>
      <x:c r="J24" s="118" t="str">
        <x:f>IF(H24="OK",B24&amp;"|"&amp;TEXT(COUNTIFS($B$5:B24,$B24,$H$5:H24,"OK"),"000"),"")</x:f>
      </x:c>
      <x:c r="K24" s="118" t="str">
        <x:f>IF(J24="","",IF(COUNTIFS($B$5:B24,$B24,$H$5:H24,"OK")=1,G24,IFERROR(VLOOKUP($B24&amp;"|"&amp;TEXT(COUNTIFS($B$5:B24,$B24,$H$5:H24,"OK")-1,"000"),$J$5:K23,2,FALSE),"")&amp;" OR "&amp;G24))</x:f>
      </x:c>
      <x:c r="L24" t="str">
        <x:f>IFERROR(VLOOKUP("LOCINPUT|"&amp;TEXT(ROW()-4,"000"),Locations!$W$5:$X$64,2,FALSE),"")</x:f>
      </x:c>
    </x:row>
    <x:row r="25">
      <x:c r="A25" s="79" t="str">
        <x:v>No</x:v>
      </x:c>
      <x:c r="B25" s="79" t="str"/>
      <x:c r="C25" s="79" t="str">
        <x:v>Field Match</x:v>
      </x:c>
      <x:c r="D25" s="79" t="str">
        <x:v>host</x:v>
      </x:c>
      <x:c r="E25" s="174" t="str">
        <x:v>=</x:v>
      </x:c>
      <x:c r="F25" s="79" t="str"/>
      <x:c r="G25" s="80" t="str">
        <x:f>IF($A25&lt;&gt;"Yes","",IF($C25="Raw SPL",$F25,IF(OR($D25="",$F25=""),"",$D25&amp;IF($E25="","=",$E25)&amp;CHAR(34)&amp;$F25&amp;CHAR(34))))</x:f>
      </x:c>
      <x:c r="H25" s="80" t="str">
        <x:f>IF($A25&lt;&gt;"Yes","Disabled",IF($B25="","Missing Location ID",IF(COUNTIFS(Locations!$C$5:$C$64,$B25,Locations!$A$5:$A$64,"Yes")=0,"Location not enabled",IF($C25="","Missing Rule Type",IF(AND($C25="Field Match",$D25=""),"Missing field",IF($F25="","Missing match/expression",IF($G25="","Invalid rule","OK")))))))</x:f>
        <x:v>Disabled</x:v>
      </x:c>
      <x:c r="I25" s="79" t="str"/>
      <x:c r="J25" s="118" t="str">
        <x:f>IF(H25="OK",B25&amp;"|"&amp;TEXT(COUNTIFS($B$5:B25,$B25,$H$5:H25,"OK"),"000"),"")</x:f>
      </x:c>
      <x:c r="K25" s="118" t="str">
        <x:f>IF(J25="","",IF(COUNTIFS($B$5:B25,$B25,$H$5:H25,"OK")=1,G25,IFERROR(VLOOKUP($B25&amp;"|"&amp;TEXT(COUNTIFS($B$5:B25,$B25,$H$5:H25,"OK")-1,"000"),$J$5:K24,2,FALSE),"")&amp;" OR "&amp;G25))</x:f>
      </x:c>
      <x:c r="L25" t="str">
        <x:f>IFERROR(VLOOKUP("LOCINPUT|"&amp;TEXT(ROW()-4,"000"),Locations!$W$5:$X$64,2,FALSE),"")</x:f>
      </x:c>
    </x:row>
    <x:row r="26">
      <x:c r="A26" s="79" t="str">
        <x:v>No</x:v>
      </x:c>
      <x:c r="B26" s="79" t="str"/>
      <x:c r="C26" s="79" t="str">
        <x:v>Field Match</x:v>
      </x:c>
      <x:c r="D26" s="79" t="str">
        <x:v>host</x:v>
      </x:c>
      <x:c r="E26" s="174" t="str">
        <x:v>=</x:v>
      </x:c>
      <x:c r="F26" s="79" t="str"/>
      <x:c r="G26" s="80" t="str">
        <x:f>IF($A26&lt;&gt;"Yes","",IF($C26="Raw SPL",$F26,IF(OR($D26="",$F26=""),"",$D26&amp;IF($E26="","=",$E26)&amp;CHAR(34)&amp;$F26&amp;CHAR(34))))</x:f>
      </x:c>
      <x:c r="H26" s="80" t="str">
        <x:f>IF($A26&lt;&gt;"Yes","Disabled",IF($B26="","Missing Location ID",IF(COUNTIFS(Locations!$C$5:$C$64,$B26,Locations!$A$5:$A$64,"Yes")=0,"Location not enabled",IF($C26="","Missing Rule Type",IF(AND($C26="Field Match",$D26=""),"Missing field",IF($F26="","Missing match/expression",IF($G26="","Invalid rule","OK")))))))</x:f>
        <x:v>Disabled</x:v>
      </x:c>
      <x:c r="I26" s="79" t="str"/>
      <x:c r="J26" s="118" t="str">
        <x:f>IF(H26="OK",B26&amp;"|"&amp;TEXT(COUNTIFS($B$5:B26,$B26,$H$5:H26,"OK"),"000"),"")</x:f>
      </x:c>
      <x:c r="K26" s="118" t="str">
        <x:f>IF(J26="","",IF(COUNTIFS($B$5:B26,$B26,$H$5:H26,"OK")=1,G26,IFERROR(VLOOKUP($B26&amp;"|"&amp;TEXT(COUNTIFS($B$5:B26,$B26,$H$5:H26,"OK")-1,"000"),$J$5:K25,2,FALSE),"")&amp;" OR "&amp;G26))</x:f>
      </x:c>
      <x:c r="L26" t="str">
        <x:f>IFERROR(VLOOKUP("LOCINPUT|"&amp;TEXT(ROW()-4,"000"),Locations!$W$5:$X$64,2,FALSE),"")</x:f>
      </x:c>
    </x:row>
    <x:row r="27">
      <x:c r="A27" s="79" t="str">
        <x:v>No</x:v>
      </x:c>
      <x:c r="B27" s="79" t="str"/>
      <x:c r="C27" s="79" t="str">
        <x:v>Field Match</x:v>
      </x:c>
      <x:c r="D27" s="79" t="str">
        <x:v>host</x:v>
      </x:c>
      <x:c r="E27" s="174" t="str">
        <x:v>=</x:v>
      </x:c>
      <x:c r="F27" s="79" t="str"/>
      <x:c r="G27" s="80" t="str">
        <x:f>IF($A27&lt;&gt;"Yes","",IF($C27="Raw SPL",$F27,IF(OR($D27="",$F27=""),"",$D27&amp;IF($E27="","=",$E27)&amp;CHAR(34)&amp;$F27&amp;CHAR(34))))</x:f>
      </x:c>
      <x:c r="H27" s="80" t="str">
        <x:f>IF($A27&lt;&gt;"Yes","Disabled",IF($B27="","Missing Location ID",IF(COUNTIFS(Locations!$C$5:$C$64,$B27,Locations!$A$5:$A$64,"Yes")=0,"Location not enabled",IF($C27="","Missing Rule Type",IF(AND($C27="Field Match",$D27=""),"Missing field",IF($F27="","Missing match/expression",IF($G27="","Invalid rule","OK")))))))</x:f>
        <x:v>Disabled</x:v>
      </x:c>
      <x:c r="I27" s="79" t="str"/>
      <x:c r="J27" s="118" t="str">
        <x:f>IF(H27="OK",B27&amp;"|"&amp;TEXT(COUNTIFS($B$5:B27,$B27,$H$5:H27,"OK"),"000"),"")</x:f>
      </x:c>
      <x:c r="K27" s="118" t="str">
        <x:f>IF(J27="","",IF(COUNTIFS($B$5:B27,$B27,$H$5:H27,"OK")=1,G27,IFERROR(VLOOKUP($B27&amp;"|"&amp;TEXT(COUNTIFS($B$5:B27,$B27,$H$5:H27,"OK")-1,"000"),$J$5:K26,2,FALSE),"")&amp;" OR "&amp;G27))</x:f>
      </x:c>
      <x:c r="L27" t="str">
        <x:f>IFERROR(VLOOKUP("LOCINPUT|"&amp;TEXT(ROW()-4,"000"),Locations!$W$5:$X$64,2,FALSE),"")</x:f>
      </x:c>
    </x:row>
    <x:row r="28">
      <x:c r="A28" s="79" t="str">
        <x:v>No</x:v>
      </x:c>
      <x:c r="B28" s="79" t="str"/>
      <x:c r="C28" s="79" t="str">
        <x:v>Field Match</x:v>
      </x:c>
      <x:c r="D28" s="79" t="str">
        <x:v>host</x:v>
      </x:c>
      <x:c r="E28" s="174" t="str">
        <x:v>=</x:v>
      </x:c>
      <x:c r="F28" s="79" t="str"/>
      <x:c r="G28" s="80" t="str">
        <x:f>IF($A28&lt;&gt;"Yes","",IF($C28="Raw SPL",$F28,IF(OR($D28="",$F28=""),"",$D28&amp;IF($E28="","=",$E28)&amp;CHAR(34)&amp;$F28&amp;CHAR(34))))</x:f>
      </x:c>
      <x:c r="H28" s="80" t="str">
        <x:f>IF($A28&lt;&gt;"Yes","Disabled",IF($B28="","Missing Location ID",IF(COUNTIFS(Locations!$C$5:$C$64,$B28,Locations!$A$5:$A$64,"Yes")=0,"Location not enabled",IF($C28="","Missing Rule Type",IF(AND($C28="Field Match",$D28=""),"Missing field",IF($F28="","Missing match/expression",IF($G28="","Invalid rule","OK")))))))</x:f>
        <x:v>Disabled</x:v>
      </x:c>
      <x:c r="I28" s="79" t="str"/>
      <x:c r="J28" s="118" t="str">
        <x:f>IF(H28="OK",B28&amp;"|"&amp;TEXT(COUNTIFS($B$5:B28,$B28,$H$5:H28,"OK"),"000"),"")</x:f>
      </x:c>
      <x:c r="K28" s="118" t="str">
        <x:f>IF(J28="","",IF(COUNTIFS($B$5:B28,$B28,$H$5:H28,"OK")=1,G28,IFERROR(VLOOKUP($B28&amp;"|"&amp;TEXT(COUNTIFS($B$5:B28,$B28,$H$5:H28,"OK")-1,"000"),$J$5:K27,2,FALSE),"")&amp;" OR "&amp;G28))</x:f>
      </x:c>
      <x:c r="L28" t="str">
        <x:f>IFERROR(VLOOKUP("LOCINPUT|"&amp;TEXT(ROW()-4,"000"),Locations!$W$5:$X$64,2,FALSE),"")</x:f>
      </x:c>
    </x:row>
    <x:row r="29">
      <x:c r="A29" s="79" t="str">
        <x:v>No</x:v>
      </x:c>
      <x:c r="B29" s="79" t="str"/>
      <x:c r="C29" s="79" t="str">
        <x:v>Field Match</x:v>
      </x:c>
      <x:c r="D29" s="79" t="str">
        <x:v>host</x:v>
      </x:c>
      <x:c r="E29" s="174" t="str">
        <x:v>=</x:v>
      </x:c>
      <x:c r="F29" s="79" t="str"/>
      <x:c r="G29" s="80" t="str">
        <x:f>IF($A29&lt;&gt;"Yes","",IF($C29="Raw SPL",$F29,IF(OR($D29="",$F29=""),"",$D29&amp;IF($E29="","=",$E29)&amp;CHAR(34)&amp;$F29&amp;CHAR(34))))</x:f>
      </x:c>
      <x:c r="H29" s="80" t="str">
        <x:f>IF($A29&lt;&gt;"Yes","Disabled",IF($B29="","Missing Location ID",IF(COUNTIFS(Locations!$C$5:$C$64,$B29,Locations!$A$5:$A$64,"Yes")=0,"Location not enabled",IF($C29="","Missing Rule Type",IF(AND($C29="Field Match",$D29=""),"Missing field",IF($F29="","Missing match/expression",IF($G29="","Invalid rule","OK")))))))</x:f>
        <x:v>Disabled</x:v>
      </x:c>
      <x:c r="I29" s="79" t="str"/>
      <x:c r="J29" s="118" t="str">
        <x:f>IF(H29="OK",B29&amp;"|"&amp;TEXT(COUNTIFS($B$5:B29,$B29,$H$5:H29,"OK"),"000"),"")</x:f>
      </x:c>
      <x:c r="K29" s="118" t="str">
        <x:f>IF(J29="","",IF(COUNTIFS($B$5:B29,$B29,$H$5:H29,"OK")=1,G29,IFERROR(VLOOKUP($B29&amp;"|"&amp;TEXT(COUNTIFS($B$5:B29,$B29,$H$5:H29,"OK")-1,"000"),$J$5:K28,2,FALSE),"")&amp;" OR "&amp;G29))</x:f>
      </x:c>
      <x:c r="L29" t="str">
        <x:f>IFERROR(VLOOKUP("LOCINPUT|"&amp;TEXT(ROW()-4,"000"),Locations!$W$5:$X$64,2,FALSE),"")</x:f>
      </x:c>
    </x:row>
    <x:row r="30">
      <x:c r="A30" s="79" t="str">
        <x:v>No</x:v>
      </x:c>
      <x:c r="B30" s="79" t="str"/>
      <x:c r="C30" s="79" t="str">
        <x:v>Field Match</x:v>
      </x:c>
      <x:c r="D30" s="79" t="str">
        <x:v>host</x:v>
      </x:c>
      <x:c r="E30" s="174" t="str">
        <x:v>=</x:v>
      </x:c>
      <x:c r="F30" s="79" t="str"/>
      <x:c r="G30" s="80" t="str">
        <x:f>IF($A30&lt;&gt;"Yes","",IF($C30="Raw SPL",$F30,IF(OR($D30="",$F30=""),"",$D30&amp;IF($E30="","=",$E30)&amp;CHAR(34)&amp;$F30&amp;CHAR(34))))</x:f>
      </x:c>
      <x:c r="H30" s="80" t="str">
        <x:f>IF($A30&lt;&gt;"Yes","Disabled",IF($B30="","Missing Location ID",IF(COUNTIFS(Locations!$C$5:$C$64,$B30,Locations!$A$5:$A$64,"Yes")=0,"Location not enabled",IF($C30="","Missing Rule Type",IF(AND($C30="Field Match",$D30=""),"Missing field",IF($F30="","Missing match/expression",IF($G30="","Invalid rule","OK")))))))</x:f>
        <x:v>Disabled</x:v>
      </x:c>
      <x:c r="I30" s="79" t="str"/>
      <x:c r="J30" s="118" t="str">
        <x:f>IF(H30="OK",B30&amp;"|"&amp;TEXT(COUNTIFS($B$5:B30,$B30,$H$5:H30,"OK"),"000"),"")</x:f>
      </x:c>
      <x:c r="K30" s="118" t="str">
        <x:f>IF(J30="","",IF(COUNTIFS($B$5:B30,$B30,$H$5:H30,"OK")=1,G30,IFERROR(VLOOKUP($B30&amp;"|"&amp;TEXT(COUNTIFS($B$5:B30,$B30,$H$5:H30,"OK")-1,"000"),$J$5:K29,2,FALSE),"")&amp;" OR "&amp;G30))</x:f>
      </x:c>
      <x:c r="L30" t="str">
        <x:f>IFERROR(VLOOKUP("LOCINPUT|"&amp;TEXT(ROW()-4,"000"),Locations!$W$5:$X$64,2,FALSE),"")</x:f>
      </x:c>
    </x:row>
    <x:row r="31">
      <x:c r="A31" s="79" t="str">
        <x:v>No</x:v>
      </x:c>
      <x:c r="B31" s="79" t="str"/>
      <x:c r="C31" s="79" t="str">
        <x:v>Field Match</x:v>
      </x:c>
      <x:c r="D31" s="79" t="str">
        <x:v>host</x:v>
      </x:c>
      <x:c r="E31" s="174" t="str">
        <x:v>=</x:v>
      </x:c>
      <x:c r="F31" s="79" t="str"/>
      <x:c r="G31" s="80" t="str">
        <x:f>IF($A31&lt;&gt;"Yes","",IF($C31="Raw SPL",$F31,IF(OR($D31="",$F31=""),"",$D31&amp;IF($E31="","=",$E31)&amp;CHAR(34)&amp;$F31&amp;CHAR(34))))</x:f>
      </x:c>
      <x:c r="H31" s="80" t="str">
        <x:f>IF($A31&lt;&gt;"Yes","Disabled",IF($B31="","Missing Location ID",IF(COUNTIFS(Locations!$C$5:$C$64,$B31,Locations!$A$5:$A$64,"Yes")=0,"Location not enabled",IF($C31="","Missing Rule Type",IF(AND($C31="Field Match",$D31=""),"Missing field",IF($F31="","Missing match/expression",IF($G31="","Invalid rule","OK")))))))</x:f>
        <x:v>Disabled</x:v>
      </x:c>
      <x:c r="I31" s="79" t="str"/>
      <x:c r="J31" s="118" t="str">
        <x:f>IF(H31="OK",B31&amp;"|"&amp;TEXT(COUNTIFS($B$5:B31,$B31,$H$5:H31,"OK"),"000"),"")</x:f>
      </x:c>
      <x:c r="K31" s="118" t="str">
        <x:f>IF(J31="","",IF(COUNTIFS($B$5:B31,$B31,$H$5:H31,"OK")=1,G31,IFERROR(VLOOKUP($B31&amp;"|"&amp;TEXT(COUNTIFS($B$5:B31,$B31,$H$5:H31,"OK")-1,"000"),$J$5:K30,2,FALSE),"")&amp;" OR "&amp;G31))</x:f>
      </x:c>
      <x:c r="L31" t="str">
        <x:f>IFERROR(VLOOKUP("LOCINPUT|"&amp;TEXT(ROW()-4,"000"),Locations!$W$5:$X$64,2,FALSE),"")</x:f>
      </x:c>
    </x:row>
    <x:row r="32">
      <x:c r="A32" s="79" t="str">
        <x:v>No</x:v>
      </x:c>
      <x:c r="B32" s="79" t="str"/>
      <x:c r="C32" s="79" t="str">
        <x:v>Field Match</x:v>
      </x:c>
      <x:c r="D32" s="79" t="str">
        <x:v>host</x:v>
      </x:c>
      <x:c r="E32" s="174" t="str">
        <x:v>=</x:v>
      </x:c>
      <x:c r="F32" s="79" t="str"/>
      <x:c r="G32" s="80" t="str">
        <x:f>IF($A32&lt;&gt;"Yes","",IF($C32="Raw SPL",$F32,IF(OR($D32="",$F32=""),"",$D32&amp;IF($E32="","=",$E32)&amp;CHAR(34)&amp;$F32&amp;CHAR(34))))</x:f>
      </x:c>
      <x:c r="H32" s="80" t="str">
        <x:f>IF($A32&lt;&gt;"Yes","Disabled",IF($B32="","Missing Location ID",IF(COUNTIFS(Locations!$C$5:$C$64,$B32,Locations!$A$5:$A$64,"Yes")=0,"Location not enabled",IF($C32="","Missing Rule Type",IF(AND($C32="Field Match",$D32=""),"Missing field",IF($F32="","Missing match/expression",IF($G32="","Invalid rule","OK")))))))</x:f>
        <x:v>Disabled</x:v>
      </x:c>
      <x:c r="I32" s="79" t="str"/>
      <x:c r="J32" s="118" t="str">
        <x:f>IF(H32="OK",B32&amp;"|"&amp;TEXT(COUNTIFS($B$5:B32,$B32,$H$5:H32,"OK"),"000"),"")</x:f>
      </x:c>
      <x:c r="K32" s="118" t="str">
        <x:f>IF(J32="","",IF(COUNTIFS($B$5:B32,$B32,$H$5:H32,"OK")=1,G32,IFERROR(VLOOKUP($B32&amp;"|"&amp;TEXT(COUNTIFS($B$5:B32,$B32,$H$5:H32,"OK")-1,"000"),$J$5:K31,2,FALSE),"")&amp;" OR "&amp;G32))</x:f>
      </x:c>
      <x:c r="L32" t="str">
        <x:f>IFERROR(VLOOKUP("LOCINPUT|"&amp;TEXT(ROW()-4,"000"),Locations!$W$5:$X$64,2,FALSE),"")</x:f>
      </x:c>
    </x:row>
    <x:row r="33">
      <x:c r="A33" s="79" t="str">
        <x:v>No</x:v>
      </x:c>
      <x:c r="B33" s="79" t="str"/>
      <x:c r="C33" s="79" t="str">
        <x:v>Field Match</x:v>
      </x:c>
      <x:c r="D33" s="79" t="str">
        <x:v>host</x:v>
      </x:c>
      <x:c r="E33" s="174" t="str">
        <x:v>=</x:v>
      </x:c>
      <x:c r="F33" s="79" t="str"/>
      <x:c r="G33" s="80" t="str">
        <x:f>IF($A33&lt;&gt;"Yes","",IF($C33="Raw SPL",$F33,IF(OR($D33="",$F33=""),"",$D33&amp;IF($E33="","=",$E33)&amp;CHAR(34)&amp;$F33&amp;CHAR(34))))</x:f>
      </x:c>
      <x:c r="H33" s="80" t="str">
        <x:f>IF($A33&lt;&gt;"Yes","Disabled",IF($B33="","Missing Location ID",IF(COUNTIFS(Locations!$C$5:$C$64,$B33,Locations!$A$5:$A$64,"Yes")=0,"Location not enabled",IF($C33="","Missing Rule Type",IF(AND($C33="Field Match",$D33=""),"Missing field",IF($F33="","Missing match/expression",IF($G33="","Invalid rule","OK")))))))</x:f>
        <x:v>Disabled</x:v>
      </x:c>
      <x:c r="I33" s="79" t="str"/>
      <x:c r="J33" s="118" t="str">
        <x:f>IF(H33="OK",B33&amp;"|"&amp;TEXT(COUNTIFS($B$5:B33,$B33,$H$5:H33,"OK"),"000"),"")</x:f>
      </x:c>
      <x:c r="K33" s="118" t="str">
        <x:f>IF(J33="","",IF(COUNTIFS($B$5:B33,$B33,$H$5:H33,"OK")=1,G33,IFERROR(VLOOKUP($B33&amp;"|"&amp;TEXT(COUNTIFS($B$5:B33,$B33,$H$5:H33,"OK")-1,"000"),$J$5:K32,2,FALSE),"")&amp;" OR "&amp;G33))</x:f>
      </x:c>
      <x:c r="L33" t="str">
        <x:f>IFERROR(VLOOKUP("LOCINPUT|"&amp;TEXT(ROW()-4,"000"),Locations!$W$5:$X$64,2,FALSE),"")</x:f>
      </x:c>
    </x:row>
    <x:row r="34">
      <x:c r="A34" s="79" t="str">
        <x:v>No</x:v>
      </x:c>
      <x:c r="B34" s="79" t="str"/>
      <x:c r="C34" s="79" t="str">
        <x:v>Field Match</x:v>
      </x:c>
      <x:c r="D34" s="79" t="str">
        <x:v>host</x:v>
      </x:c>
      <x:c r="E34" s="174" t="str">
        <x:v>=</x:v>
      </x:c>
      <x:c r="F34" s="79" t="str"/>
      <x:c r="G34" s="80" t="str">
        <x:f>IF($A34&lt;&gt;"Yes","",IF($C34="Raw SPL",$F34,IF(OR($D34="",$F34=""),"",$D34&amp;IF($E34="","=",$E34)&amp;CHAR(34)&amp;$F34&amp;CHAR(34))))</x:f>
      </x:c>
      <x:c r="H34" s="80" t="str">
        <x:f>IF($A34&lt;&gt;"Yes","Disabled",IF($B34="","Missing Location ID",IF(COUNTIFS(Locations!$C$5:$C$64,$B34,Locations!$A$5:$A$64,"Yes")=0,"Location not enabled",IF($C34="","Missing Rule Type",IF(AND($C34="Field Match",$D34=""),"Missing field",IF($F34="","Missing match/expression",IF($G34="","Invalid rule","OK")))))))</x:f>
        <x:v>Disabled</x:v>
      </x:c>
      <x:c r="I34" s="79" t="str"/>
      <x:c r="J34" s="118" t="str">
        <x:f>IF(H34="OK",B34&amp;"|"&amp;TEXT(COUNTIFS($B$5:B34,$B34,$H$5:H34,"OK"),"000"),"")</x:f>
      </x:c>
      <x:c r="K34" s="118" t="str">
        <x:f>IF(J34="","",IF(COUNTIFS($B$5:B34,$B34,$H$5:H34,"OK")=1,G34,IFERROR(VLOOKUP($B34&amp;"|"&amp;TEXT(COUNTIFS($B$5:B34,$B34,$H$5:H34,"OK")-1,"000"),$J$5:K33,2,FALSE),"")&amp;" OR "&amp;G34))</x:f>
      </x:c>
      <x:c r="L34" t="str">
        <x:f>IFERROR(VLOOKUP("LOCINPUT|"&amp;TEXT(ROW()-4,"000"),Locations!$W$5:$X$64,2,FALSE),"")</x:f>
      </x:c>
    </x:row>
    <x:row r="35">
      <x:c r="A35" s="79" t="str">
        <x:v>No</x:v>
      </x:c>
      <x:c r="B35" s="79" t="str"/>
      <x:c r="C35" s="79" t="str">
        <x:v>Field Match</x:v>
      </x:c>
      <x:c r="D35" s="79" t="str">
        <x:v>host</x:v>
      </x:c>
      <x:c r="E35" s="174" t="str">
        <x:v>=</x:v>
      </x:c>
      <x:c r="F35" s="79" t="str"/>
      <x:c r="G35" s="80" t="str">
        <x:f>IF($A35&lt;&gt;"Yes","",IF($C35="Raw SPL",$F35,IF(OR($D35="",$F35=""),"",$D35&amp;IF($E35="","=",$E35)&amp;CHAR(34)&amp;$F35&amp;CHAR(34))))</x:f>
      </x:c>
      <x:c r="H35" s="80" t="str">
        <x:f>IF($A35&lt;&gt;"Yes","Disabled",IF($B35="","Missing Location ID",IF(COUNTIFS(Locations!$C$5:$C$64,$B35,Locations!$A$5:$A$64,"Yes")=0,"Location not enabled",IF($C35="","Missing Rule Type",IF(AND($C35="Field Match",$D35=""),"Missing field",IF($F35="","Missing match/expression",IF($G35="","Invalid rule","OK")))))))</x:f>
        <x:v>Disabled</x:v>
      </x:c>
      <x:c r="I35" s="79" t="str"/>
      <x:c r="J35" s="118" t="str">
        <x:f>IF(H35="OK",B35&amp;"|"&amp;TEXT(COUNTIFS($B$5:B35,$B35,$H$5:H35,"OK"),"000"),"")</x:f>
      </x:c>
      <x:c r="K35" s="118" t="str">
        <x:f>IF(J35="","",IF(COUNTIFS($B$5:B35,$B35,$H$5:H35,"OK")=1,G35,IFERROR(VLOOKUP($B35&amp;"|"&amp;TEXT(COUNTIFS($B$5:B35,$B35,$H$5:H35,"OK")-1,"000"),$J$5:K34,2,FALSE),"")&amp;" OR "&amp;G35))</x:f>
      </x:c>
      <x:c r="L35" t="str">
        <x:f>IFERROR(VLOOKUP("LOCINPUT|"&amp;TEXT(ROW()-4,"000"),Locations!$W$5:$X$64,2,FALSE),"")</x:f>
      </x:c>
    </x:row>
    <x:row r="36">
      <x:c r="A36" s="79" t="str">
        <x:v>No</x:v>
      </x:c>
      <x:c r="B36" s="79" t="str"/>
      <x:c r="C36" s="79" t="str">
        <x:v>Field Match</x:v>
      </x:c>
      <x:c r="D36" s="79" t="str">
        <x:v>host</x:v>
      </x:c>
      <x:c r="E36" s="174" t="str">
        <x:v>=</x:v>
      </x:c>
      <x:c r="F36" s="79" t="str"/>
      <x:c r="G36" s="80" t="str">
        <x:f>IF($A36&lt;&gt;"Yes","",IF($C36="Raw SPL",$F36,IF(OR($D36="",$F36=""),"",$D36&amp;IF($E36="","=",$E36)&amp;CHAR(34)&amp;$F36&amp;CHAR(34))))</x:f>
      </x:c>
      <x:c r="H36" s="80" t="str">
        <x:f>IF($A36&lt;&gt;"Yes","Disabled",IF($B36="","Missing Location ID",IF(COUNTIFS(Locations!$C$5:$C$64,$B36,Locations!$A$5:$A$64,"Yes")=0,"Location not enabled",IF($C36="","Missing Rule Type",IF(AND($C36="Field Match",$D36=""),"Missing field",IF($F36="","Missing match/expression",IF($G36="","Invalid rule","OK")))))))</x:f>
        <x:v>Disabled</x:v>
      </x:c>
      <x:c r="I36" s="79" t="str"/>
      <x:c r="J36" s="118" t="str">
        <x:f>IF(H36="OK",B36&amp;"|"&amp;TEXT(COUNTIFS($B$5:B36,$B36,$H$5:H36,"OK"),"000"),"")</x:f>
      </x:c>
      <x:c r="K36" s="118" t="str">
        <x:f>IF(J36="","",IF(COUNTIFS($B$5:B36,$B36,$H$5:H36,"OK")=1,G36,IFERROR(VLOOKUP($B36&amp;"|"&amp;TEXT(COUNTIFS($B$5:B36,$B36,$H$5:H36,"OK")-1,"000"),$J$5:K35,2,FALSE),"")&amp;" OR "&amp;G36))</x:f>
      </x:c>
      <x:c r="L36" t="str">
        <x:f>IFERROR(VLOOKUP("LOCINPUT|"&amp;TEXT(ROW()-4,"000"),Locations!$W$5:$X$64,2,FALSE),"")</x:f>
      </x:c>
    </x:row>
    <x:row r="37">
      <x:c r="A37" s="79" t="str">
        <x:v>No</x:v>
      </x:c>
      <x:c r="B37" s="79" t="str"/>
      <x:c r="C37" s="79" t="str">
        <x:v>Field Match</x:v>
      </x:c>
      <x:c r="D37" s="79" t="str">
        <x:v>host</x:v>
      </x:c>
      <x:c r="E37" s="174" t="str">
        <x:v>=</x:v>
      </x:c>
      <x:c r="F37" s="79" t="str"/>
      <x:c r="G37" s="80" t="str">
        <x:f>IF($A37&lt;&gt;"Yes","",IF($C37="Raw SPL",$F37,IF(OR($D37="",$F37=""),"",$D37&amp;IF($E37="","=",$E37)&amp;CHAR(34)&amp;$F37&amp;CHAR(34))))</x:f>
      </x:c>
      <x:c r="H37" s="80" t="str">
        <x:f>IF($A37&lt;&gt;"Yes","Disabled",IF($B37="","Missing Location ID",IF(COUNTIFS(Locations!$C$5:$C$64,$B37,Locations!$A$5:$A$64,"Yes")=0,"Location not enabled",IF($C37="","Missing Rule Type",IF(AND($C37="Field Match",$D37=""),"Missing field",IF($F37="","Missing match/expression",IF($G37="","Invalid rule","OK")))))))</x:f>
        <x:v>Disabled</x:v>
      </x:c>
      <x:c r="I37" s="79" t="str"/>
      <x:c r="J37" s="118" t="str">
        <x:f>IF(H37="OK",B37&amp;"|"&amp;TEXT(COUNTIFS($B$5:B37,$B37,$H$5:H37,"OK"),"000"),"")</x:f>
      </x:c>
      <x:c r="K37" s="118" t="str">
        <x:f>IF(J37="","",IF(COUNTIFS($B$5:B37,$B37,$H$5:H37,"OK")=1,G37,IFERROR(VLOOKUP($B37&amp;"|"&amp;TEXT(COUNTIFS($B$5:B37,$B37,$H$5:H37,"OK")-1,"000"),$J$5:K36,2,FALSE),"")&amp;" OR "&amp;G37))</x:f>
      </x:c>
      <x:c r="L37" t="str">
        <x:f>IFERROR(VLOOKUP("LOCINPUT|"&amp;TEXT(ROW()-4,"000"),Locations!$W$5:$X$64,2,FALSE),"")</x:f>
      </x:c>
    </x:row>
    <x:row r="38">
      <x:c r="A38" s="79" t="str">
        <x:v>No</x:v>
      </x:c>
      <x:c r="B38" s="79" t="str"/>
      <x:c r="C38" s="79" t="str">
        <x:v>Field Match</x:v>
      </x:c>
      <x:c r="D38" s="79" t="str">
        <x:v>host</x:v>
      </x:c>
      <x:c r="E38" s="174" t="str">
        <x:v>=</x:v>
      </x:c>
      <x:c r="F38" s="79" t="str"/>
      <x:c r="G38" s="80" t="str">
        <x:f>IF($A38&lt;&gt;"Yes","",IF($C38="Raw SPL",$F38,IF(OR($D38="",$F38=""),"",$D38&amp;IF($E38="","=",$E38)&amp;CHAR(34)&amp;$F38&amp;CHAR(34))))</x:f>
      </x:c>
      <x:c r="H38" s="80" t="str">
        <x:f>IF($A38&lt;&gt;"Yes","Disabled",IF($B38="","Missing Location ID",IF(COUNTIFS(Locations!$C$5:$C$64,$B38,Locations!$A$5:$A$64,"Yes")=0,"Location not enabled",IF($C38="","Missing Rule Type",IF(AND($C38="Field Match",$D38=""),"Missing field",IF($F38="","Missing match/expression",IF($G38="","Invalid rule","OK")))))))</x:f>
        <x:v>Disabled</x:v>
      </x:c>
      <x:c r="I38" s="79" t="str"/>
      <x:c r="J38" s="118" t="str">
        <x:f>IF(H38="OK",B38&amp;"|"&amp;TEXT(COUNTIFS($B$5:B38,$B38,$H$5:H38,"OK"),"000"),"")</x:f>
      </x:c>
      <x:c r="K38" s="118" t="str">
        <x:f>IF(J38="","",IF(COUNTIFS($B$5:B38,$B38,$H$5:H38,"OK")=1,G38,IFERROR(VLOOKUP($B38&amp;"|"&amp;TEXT(COUNTIFS($B$5:B38,$B38,$H$5:H38,"OK")-1,"000"),$J$5:K37,2,FALSE),"")&amp;" OR "&amp;G38))</x:f>
      </x:c>
      <x:c r="L38" t="str">
        <x:f>IFERROR(VLOOKUP("LOCINPUT|"&amp;TEXT(ROW()-4,"000"),Locations!$W$5:$X$64,2,FALSE),"")</x:f>
      </x:c>
    </x:row>
    <x:row r="39">
      <x:c r="A39" s="79" t="str">
        <x:v>No</x:v>
      </x:c>
      <x:c r="B39" s="79" t="str"/>
      <x:c r="C39" s="79" t="str">
        <x:v>Field Match</x:v>
      </x:c>
      <x:c r="D39" s="79" t="str">
        <x:v>host</x:v>
      </x:c>
      <x:c r="E39" s="174" t="str">
        <x:v>=</x:v>
      </x:c>
      <x:c r="F39" s="79" t="str"/>
      <x:c r="G39" s="80" t="str">
        <x:f>IF($A39&lt;&gt;"Yes","",IF($C39="Raw SPL",$F39,IF(OR($D39="",$F39=""),"",$D39&amp;IF($E39="","=",$E39)&amp;CHAR(34)&amp;$F39&amp;CHAR(34))))</x:f>
      </x:c>
      <x:c r="H39" s="80" t="str">
        <x:f>IF($A39&lt;&gt;"Yes","Disabled",IF($B39="","Missing Location ID",IF(COUNTIFS(Locations!$C$5:$C$64,$B39,Locations!$A$5:$A$64,"Yes")=0,"Location not enabled",IF($C39="","Missing Rule Type",IF(AND($C39="Field Match",$D39=""),"Missing field",IF($F39="","Missing match/expression",IF($G39="","Invalid rule","OK")))))))</x:f>
        <x:v>Disabled</x:v>
      </x:c>
      <x:c r="I39" s="79" t="str"/>
      <x:c r="J39" s="118" t="str">
        <x:f>IF(H39="OK",B39&amp;"|"&amp;TEXT(COUNTIFS($B$5:B39,$B39,$H$5:H39,"OK"),"000"),"")</x:f>
      </x:c>
      <x:c r="K39" s="118" t="str">
        <x:f>IF(J39="","",IF(COUNTIFS($B$5:B39,$B39,$H$5:H39,"OK")=1,G39,IFERROR(VLOOKUP($B39&amp;"|"&amp;TEXT(COUNTIFS($B$5:B39,$B39,$H$5:H39,"OK")-1,"000"),$J$5:K38,2,FALSE),"")&amp;" OR "&amp;G39))</x:f>
      </x:c>
      <x:c r="L39" t="str">
        <x:f>IFERROR(VLOOKUP("LOCINPUT|"&amp;TEXT(ROW()-4,"000"),Locations!$W$5:$X$64,2,FALSE),"")</x:f>
      </x:c>
    </x:row>
    <x:row r="40">
      <x:c r="A40" s="79" t="str">
        <x:v>No</x:v>
      </x:c>
      <x:c r="B40" s="79" t="str"/>
      <x:c r="C40" s="79" t="str">
        <x:v>Field Match</x:v>
      </x:c>
      <x:c r="D40" s="79" t="str">
        <x:v>host</x:v>
      </x:c>
      <x:c r="E40" s="174" t="str">
        <x:v>=</x:v>
      </x:c>
      <x:c r="F40" s="79" t="str"/>
      <x:c r="G40" s="80" t="str">
        <x:f>IF($A40&lt;&gt;"Yes","",IF($C40="Raw SPL",$F40,IF(OR($D40="",$F40=""),"",$D40&amp;IF($E40="","=",$E40)&amp;CHAR(34)&amp;$F40&amp;CHAR(34))))</x:f>
      </x:c>
      <x:c r="H40" s="80" t="str">
        <x:f>IF($A40&lt;&gt;"Yes","Disabled",IF($B40="","Missing Location ID",IF(COUNTIFS(Locations!$C$5:$C$64,$B40,Locations!$A$5:$A$64,"Yes")=0,"Location not enabled",IF($C40="","Missing Rule Type",IF(AND($C40="Field Match",$D40=""),"Missing field",IF($F40="","Missing match/expression",IF($G40="","Invalid rule","OK")))))))</x:f>
        <x:v>Disabled</x:v>
      </x:c>
      <x:c r="I40" s="79" t="str"/>
      <x:c r="J40" s="118" t="str">
        <x:f>IF(H40="OK",B40&amp;"|"&amp;TEXT(COUNTIFS($B$5:B40,$B40,$H$5:H40,"OK"),"000"),"")</x:f>
      </x:c>
      <x:c r="K40" s="118" t="str">
        <x:f>IF(J40="","",IF(COUNTIFS($B$5:B40,$B40,$H$5:H40,"OK")=1,G40,IFERROR(VLOOKUP($B40&amp;"|"&amp;TEXT(COUNTIFS($B$5:B40,$B40,$H$5:H40,"OK")-1,"000"),$J$5:K39,2,FALSE),"")&amp;" OR "&amp;G40))</x:f>
      </x:c>
      <x:c r="L40" t="str">
        <x:f>IFERROR(VLOOKUP("LOCINPUT|"&amp;TEXT(ROW()-4,"000"),Locations!$W$5:$X$64,2,FALSE),"")</x:f>
      </x:c>
    </x:row>
    <x:row r="41">
      <x:c r="A41" s="79" t="str">
        <x:v>No</x:v>
      </x:c>
      <x:c r="B41" s="79" t="str"/>
      <x:c r="C41" s="79" t="str">
        <x:v>Field Match</x:v>
      </x:c>
      <x:c r="D41" s="79" t="str">
        <x:v>host</x:v>
      </x:c>
      <x:c r="E41" s="174" t="str">
        <x:v>=</x:v>
      </x:c>
      <x:c r="F41" s="79" t="str"/>
      <x:c r="G41" s="80" t="str">
        <x:f>IF($A41&lt;&gt;"Yes","",IF($C41="Raw SPL",$F41,IF(OR($D41="",$F41=""),"",$D41&amp;IF($E41="","=",$E41)&amp;CHAR(34)&amp;$F41&amp;CHAR(34))))</x:f>
      </x:c>
      <x:c r="H41" s="80" t="str">
        <x:f>IF($A41&lt;&gt;"Yes","Disabled",IF($B41="","Missing Location ID",IF(COUNTIFS(Locations!$C$5:$C$64,$B41,Locations!$A$5:$A$64,"Yes")=0,"Location not enabled",IF($C41="","Missing Rule Type",IF(AND($C41="Field Match",$D41=""),"Missing field",IF($F41="","Missing match/expression",IF($G41="","Invalid rule","OK")))))))</x:f>
        <x:v>Disabled</x:v>
      </x:c>
      <x:c r="I41" s="79" t="str"/>
      <x:c r="J41" s="118" t="str">
        <x:f>IF(H41="OK",B41&amp;"|"&amp;TEXT(COUNTIFS($B$5:B41,$B41,$H$5:H41,"OK"),"000"),"")</x:f>
      </x:c>
      <x:c r="K41" s="118" t="str">
        <x:f>IF(J41="","",IF(COUNTIFS($B$5:B41,$B41,$H$5:H41,"OK")=1,G41,IFERROR(VLOOKUP($B41&amp;"|"&amp;TEXT(COUNTIFS($B$5:B41,$B41,$H$5:H41,"OK")-1,"000"),$J$5:K40,2,FALSE),"")&amp;" OR "&amp;G41))</x:f>
      </x:c>
      <x:c r="L41" t="str">
        <x:f>IFERROR(VLOOKUP("LOCINPUT|"&amp;TEXT(ROW()-4,"000"),Locations!$W$5:$X$64,2,FALSE),"")</x:f>
      </x:c>
    </x:row>
    <x:row r="42">
      <x:c r="A42" s="79" t="str">
        <x:v>No</x:v>
      </x:c>
      <x:c r="B42" s="79" t="str"/>
      <x:c r="C42" s="79" t="str">
        <x:v>Field Match</x:v>
      </x:c>
      <x:c r="D42" s="79" t="str">
        <x:v>host</x:v>
      </x:c>
      <x:c r="E42" s="174" t="str">
        <x:v>=</x:v>
      </x:c>
      <x:c r="F42" s="79" t="str"/>
      <x:c r="G42" s="80" t="str">
        <x:f>IF($A42&lt;&gt;"Yes","",IF($C42="Raw SPL",$F42,IF(OR($D42="",$F42=""),"",$D42&amp;IF($E42="","=",$E42)&amp;CHAR(34)&amp;$F42&amp;CHAR(34))))</x:f>
      </x:c>
      <x:c r="H42" s="80" t="str">
        <x:f>IF($A42&lt;&gt;"Yes","Disabled",IF($B42="","Missing Location ID",IF(COUNTIFS(Locations!$C$5:$C$64,$B42,Locations!$A$5:$A$64,"Yes")=0,"Location not enabled",IF($C42="","Missing Rule Type",IF(AND($C42="Field Match",$D42=""),"Missing field",IF($F42="","Missing match/expression",IF($G42="","Invalid rule","OK")))))))</x:f>
        <x:v>Disabled</x:v>
      </x:c>
      <x:c r="I42" s="79" t="str"/>
      <x:c r="J42" s="118" t="str">
        <x:f>IF(H42="OK",B42&amp;"|"&amp;TEXT(COUNTIFS($B$5:B42,$B42,$H$5:H42,"OK"),"000"),"")</x:f>
      </x:c>
      <x:c r="K42" s="118" t="str">
        <x:f>IF(J42="","",IF(COUNTIFS($B$5:B42,$B42,$H$5:H42,"OK")=1,G42,IFERROR(VLOOKUP($B42&amp;"|"&amp;TEXT(COUNTIFS($B$5:B42,$B42,$H$5:H42,"OK")-1,"000"),$J$5:K41,2,FALSE),"")&amp;" OR "&amp;G42))</x:f>
      </x:c>
      <x:c r="L42" t="str">
        <x:f>IFERROR(VLOOKUP("LOCINPUT|"&amp;TEXT(ROW()-4,"000"),Locations!$W$5:$X$64,2,FALSE),"")</x:f>
      </x:c>
    </x:row>
    <x:row r="43">
      <x:c r="A43" s="79" t="str">
        <x:v>No</x:v>
      </x:c>
      <x:c r="B43" s="79" t="str"/>
      <x:c r="C43" s="79" t="str">
        <x:v>Field Match</x:v>
      </x:c>
      <x:c r="D43" s="79" t="str">
        <x:v>host</x:v>
      </x:c>
      <x:c r="E43" s="174" t="str">
        <x:v>=</x:v>
      </x:c>
      <x:c r="F43" s="79" t="str"/>
      <x:c r="G43" s="80" t="str">
        <x:f>IF($A43&lt;&gt;"Yes","",IF($C43="Raw SPL",$F43,IF(OR($D43="",$F43=""),"",$D43&amp;IF($E43="","=",$E43)&amp;CHAR(34)&amp;$F43&amp;CHAR(34))))</x:f>
      </x:c>
      <x:c r="H43" s="80" t="str">
        <x:f>IF($A43&lt;&gt;"Yes","Disabled",IF($B43="","Missing Location ID",IF(COUNTIFS(Locations!$C$5:$C$64,$B43,Locations!$A$5:$A$64,"Yes")=0,"Location not enabled",IF($C43="","Missing Rule Type",IF(AND($C43="Field Match",$D43=""),"Missing field",IF($F43="","Missing match/expression",IF($G43="","Invalid rule","OK")))))))</x:f>
        <x:v>Disabled</x:v>
      </x:c>
      <x:c r="I43" s="79" t="str"/>
      <x:c r="J43" s="118" t="str">
        <x:f>IF(H43="OK",B43&amp;"|"&amp;TEXT(COUNTIFS($B$5:B43,$B43,$H$5:H43,"OK"),"000"),"")</x:f>
      </x:c>
      <x:c r="K43" s="118" t="str">
        <x:f>IF(J43="","",IF(COUNTIFS($B$5:B43,$B43,$H$5:H43,"OK")=1,G43,IFERROR(VLOOKUP($B43&amp;"|"&amp;TEXT(COUNTIFS($B$5:B43,$B43,$H$5:H43,"OK")-1,"000"),$J$5:K42,2,FALSE),"")&amp;" OR "&amp;G43))</x:f>
      </x:c>
      <x:c r="L43" t="str">
        <x:f>IFERROR(VLOOKUP("LOCINPUT|"&amp;TEXT(ROW()-4,"000"),Locations!$W$5:$X$64,2,FALSE),"")</x:f>
      </x:c>
    </x:row>
    <x:row r="44">
      <x:c r="A44" s="79" t="str">
        <x:v>No</x:v>
      </x:c>
      <x:c r="B44" s="79" t="str"/>
      <x:c r="C44" s="79" t="str">
        <x:v>Field Match</x:v>
      </x:c>
      <x:c r="D44" s="79" t="str">
        <x:v>host</x:v>
      </x:c>
      <x:c r="E44" s="174" t="str">
        <x:v>=</x:v>
      </x:c>
      <x:c r="F44" s="79" t="str"/>
      <x:c r="G44" s="80" t="str">
        <x:f>IF($A44&lt;&gt;"Yes","",IF($C44="Raw SPL",$F44,IF(OR($D44="",$F44=""),"",$D44&amp;IF($E44="","=",$E44)&amp;CHAR(34)&amp;$F44&amp;CHAR(34))))</x:f>
      </x:c>
      <x:c r="H44" s="80" t="str">
        <x:f>IF($A44&lt;&gt;"Yes","Disabled",IF($B44="","Missing Location ID",IF(COUNTIFS(Locations!$C$5:$C$64,$B44,Locations!$A$5:$A$64,"Yes")=0,"Location not enabled",IF($C44="","Missing Rule Type",IF(AND($C44="Field Match",$D44=""),"Missing field",IF($F44="","Missing match/expression",IF($G44="","Invalid rule","OK")))))))</x:f>
        <x:v>Disabled</x:v>
      </x:c>
      <x:c r="I44" s="79" t="str"/>
      <x:c r="J44" s="118" t="str">
        <x:f>IF(H44="OK",B44&amp;"|"&amp;TEXT(COUNTIFS($B$5:B44,$B44,$H$5:H44,"OK"),"000"),"")</x:f>
      </x:c>
      <x:c r="K44" s="118" t="str">
        <x:f>IF(J44="","",IF(COUNTIFS($B$5:B44,$B44,$H$5:H44,"OK")=1,G44,IFERROR(VLOOKUP($B44&amp;"|"&amp;TEXT(COUNTIFS($B$5:B44,$B44,$H$5:H44,"OK")-1,"000"),$J$5:K43,2,FALSE),"")&amp;" OR "&amp;G44))</x:f>
      </x:c>
      <x:c r="L44" t="str">
        <x:f>IFERROR(VLOOKUP("LOCINPUT|"&amp;TEXT(ROW()-4,"000"),Locations!$W$5:$X$64,2,FALSE),"")</x:f>
      </x:c>
    </x:row>
    <x:row r="45">
      <x:c r="A45" s="79" t="str">
        <x:v>No</x:v>
      </x:c>
      <x:c r="B45" s="79" t="str"/>
      <x:c r="C45" s="79" t="str">
        <x:v>Field Match</x:v>
      </x:c>
      <x:c r="D45" s="79" t="str">
        <x:v>host</x:v>
      </x:c>
      <x:c r="E45" s="174" t="str">
        <x:v>=</x:v>
      </x:c>
      <x:c r="F45" s="79" t="str"/>
      <x:c r="G45" s="80" t="str">
        <x:f>IF($A45&lt;&gt;"Yes","",IF($C45="Raw SPL",$F45,IF(OR($D45="",$F45=""),"",$D45&amp;IF($E45="","=",$E45)&amp;CHAR(34)&amp;$F45&amp;CHAR(34))))</x:f>
      </x:c>
      <x:c r="H45" s="80" t="str">
        <x:f>IF($A45&lt;&gt;"Yes","Disabled",IF($B45="","Missing Location ID",IF(COUNTIFS(Locations!$C$5:$C$64,$B45,Locations!$A$5:$A$64,"Yes")=0,"Location not enabled",IF($C45="","Missing Rule Type",IF(AND($C45="Field Match",$D45=""),"Missing field",IF($F45="","Missing match/expression",IF($G45="","Invalid rule","OK")))))))</x:f>
        <x:v>Disabled</x:v>
      </x:c>
      <x:c r="I45" s="79" t="str"/>
      <x:c r="J45" s="118" t="str">
        <x:f>IF(H45="OK",B45&amp;"|"&amp;TEXT(COUNTIFS($B$5:B45,$B45,$H$5:H45,"OK"),"000"),"")</x:f>
      </x:c>
      <x:c r="K45" s="118" t="str">
        <x:f>IF(J45="","",IF(COUNTIFS($B$5:B45,$B45,$H$5:H45,"OK")=1,G45,IFERROR(VLOOKUP($B45&amp;"|"&amp;TEXT(COUNTIFS($B$5:B45,$B45,$H$5:H45,"OK")-1,"000"),$J$5:K44,2,FALSE),"")&amp;" OR "&amp;G45))</x:f>
      </x:c>
      <x:c r="L45" t="str">
        <x:f>IFERROR(VLOOKUP("LOCINPUT|"&amp;TEXT(ROW()-4,"000"),Locations!$W$5:$X$64,2,FALSE),"")</x:f>
      </x:c>
    </x:row>
    <x:row r="46">
      <x:c r="A46" s="79" t="str">
        <x:v>No</x:v>
      </x:c>
      <x:c r="B46" s="79" t="str"/>
      <x:c r="C46" s="79" t="str">
        <x:v>Field Match</x:v>
      </x:c>
      <x:c r="D46" s="79" t="str">
        <x:v>host</x:v>
      </x:c>
      <x:c r="E46" s="174" t="str">
        <x:v>=</x:v>
      </x:c>
      <x:c r="F46" s="79" t="str"/>
      <x:c r="G46" s="80" t="str">
        <x:f>IF($A46&lt;&gt;"Yes","",IF($C46="Raw SPL",$F46,IF(OR($D46="",$F46=""),"",$D46&amp;IF($E46="","=",$E46)&amp;CHAR(34)&amp;$F46&amp;CHAR(34))))</x:f>
      </x:c>
      <x:c r="H46" s="80" t="str">
        <x:f>IF($A46&lt;&gt;"Yes","Disabled",IF($B46="","Missing Location ID",IF(COUNTIFS(Locations!$C$5:$C$64,$B46,Locations!$A$5:$A$64,"Yes")=0,"Location not enabled",IF($C46="","Missing Rule Type",IF(AND($C46="Field Match",$D46=""),"Missing field",IF($F46="","Missing match/expression",IF($G46="","Invalid rule","OK")))))))</x:f>
        <x:v>Disabled</x:v>
      </x:c>
      <x:c r="I46" s="79" t="str"/>
      <x:c r="J46" s="118" t="str">
        <x:f>IF(H46="OK",B46&amp;"|"&amp;TEXT(COUNTIFS($B$5:B46,$B46,$H$5:H46,"OK"),"000"),"")</x:f>
      </x:c>
      <x:c r="K46" s="118" t="str">
        <x:f>IF(J46="","",IF(COUNTIFS($B$5:B46,$B46,$H$5:H46,"OK")=1,G46,IFERROR(VLOOKUP($B46&amp;"|"&amp;TEXT(COUNTIFS($B$5:B46,$B46,$H$5:H46,"OK")-1,"000"),$J$5:K45,2,FALSE),"")&amp;" OR "&amp;G46))</x:f>
      </x:c>
      <x:c r="L46" t="str">
        <x:f>IFERROR(VLOOKUP("LOCINPUT|"&amp;TEXT(ROW()-4,"000"),Locations!$W$5:$X$64,2,FALSE),"")</x:f>
      </x:c>
    </x:row>
    <x:row r="47">
      <x:c r="A47" s="79" t="str">
        <x:v>No</x:v>
      </x:c>
      <x:c r="B47" s="79" t="str"/>
      <x:c r="C47" s="79" t="str">
        <x:v>Field Match</x:v>
      </x:c>
      <x:c r="D47" s="79" t="str">
        <x:v>host</x:v>
      </x:c>
      <x:c r="E47" s="174" t="str">
        <x:v>=</x:v>
      </x:c>
      <x:c r="F47" s="79" t="str"/>
      <x:c r="G47" s="80" t="str">
        <x:f>IF($A47&lt;&gt;"Yes","",IF($C47="Raw SPL",$F47,IF(OR($D47="",$F47=""),"",$D47&amp;IF($E47="","=",$E47)&amp;CHAR(34)&amp;$F47&amp;CHAR(34))))</x:f>
      </x:c>
      <x:c r="H47" s="80" t="str">
        <x:f>IF($A47&lt;&gt;"Yes","Disabled",IF($B47="","Missing Location ID",IF(COUNTIFS(Locations!$C$5:$C$64,$B47,Locations!$A$5:$A$64,"Yes")=0,"Location not enabled",IF($C47="","Missing Rule Type",IF(AND($C47="Field Match",$D47=""),"Missing field",IF($F47="","Missing match/expression",IF($G47="","Invalid rule","OK")))))))</x:f>
        <x:v>Disabled</x:v>
      </x:c>
      <x:c r="I47" s="79" t="str"/>
      <x:c r="J47" s="118" t="str">
        <x:f>IF(H47="OK",B47&amp;"|"&amp;TEXT(COUNTIFS($B$5:B47,$B47,$H$5:H47,"OK"),"000"),"")</x:f>
      </x:c>
      <x:c r="K47" s="118" t="str">
        <x:f>IF(J47="","",IF(COUNTIFS($B$5:B47,$B47,$H$5:H47,"OK")=1,G47,IFERROR(VLOOKUP($B47&amp;"|"&amp;TEXT(COUNTIFS($B$5:B47,$B47,$H$5:H47,"OK")-1,"000"),$J$5:K46,2,FALSE),"")&amp;" OR "&amp;G47))</x:f>
      </x:c>
      <x:c r="L47" t="str">
        <x:f>IFERROR(VLOOKUP("LOCINPUT|"&amp;TEXT(ROW()-4,"000"),Locations!$W$5:$X$64,2,FALSE),"")</x:f>
      </x:c>
    </x:row>
    <x:row r="48">
      <x:c r="A48" s="79" t="str">
        <x:v>No</x:v>
      </x:c>
      <x:c r="B48" s="79" t="str"/>
      <x:c r="C48" s="79" t="str">
        <x:v>Field Match</x:v>
      </x:c>
      <x:c r="D48" s="79" t="str">
        <x:v>host</x:v>
      </x:c>
      <x:c r="E48" s="174" t="str">
        <x:v>=</x:v>
      </x:c>
      <x:c r="F48" s="79" t="str"/>
      <x:c r="G48" s="80" t="str">
        <x:f>IF($A48&lt;&gt;"Yes","",IF($C48="Raw SPL",$F48,IF(OR($D48="",$F48=""),"",$D48&amp;IF($E48="","=",$E48)&amp;CHAR(34)&amp;$F48&amp;CHAR(34))))</x:f>
      </x:c>
      <x:c r="H48" s="80" t="str">
        <x:f>IF($A48&lt;&gt;"Yes","Disabled",IF($B48="","Missing Location ID",IF(COUNTIFS(Locations!$C$5:$C$64,$B48,Locations!$A$5:$A$64,"Yes")=0,"Location not enabled",IF($C48="","Missing Rule Type",IF(AND($C48="Field Match",$D48=""),"Missing field",IF($F48="","Missing match/expression",IF($G48="","Invalid rule","OK")))))))</x:f>
        <x:v>Disabled</x:v>
      </x:c>
      <x:c r="I48" s="79" t="str"/>
      <x:c r="J48" s="118" t="str">
        <x:f>IF(H48="OK",B48&amp;"|"&amp;TEXT(COUNTIFS($B$5:B48,$B48,$H$5:H48,"OK"),"000"),"")</x:f>
      </x:c>
      <x:c r="K48" s="118" t="str">
        <x:f>IF(J48="","",IF(COUNTIFS($B$5:B48,$B48,$H$5:H48,"OK")=1,G48,IFERROR(VLOOKUP($B48&amp;"|"&amp;TEXT(COUNTIFS($B$5:B48,$B48,$H$5:H48,"OK")-1,"000"),$J$5:K47,2,FALSE),"")&amp;" OR "&amp;G48))</x:f>
      </x:c>
      <x:c r="L48" t="str">
        <x:f>IFERROR(VLOOKUP("LOCINPUT|"&amp;TEXT(ROW()-4,"000"),Locations!$W$5:$X$64,2,FALSE),"")</x:f>
      </x:c>
    </x:row>
    <x:row r="49">
      <x:c r="A49" s="79" t="str">
        <x:v>No</x:v>
      </x:c>
      <x:c r="B49" s="79" t="str"/>
      <x:c r="C49" s="79" t="str">
        <x:v>Field Match</x:v>
      </x:c>
      <x:c r="D49" s="79" t="str">
        <x:v>host</x:v>
      </x:c>
      <x:c r="E49" s="174" t="str">
        <x:v>=</x:v>
      </x:c>
      <x:c r="F49" s="79" t="str"/>
      <x:c r="G49" s="80" t="str">
        <x:f>IF($A49&lt;&gt;"Yes","",IF($C49="Raw SPL",$F49,IF(OR($D49="",$F49=""),"",$D49&amp;IF($E49="","=",$E49)&amp;CHAR(34)&amp;$F49&amp;CHAR(34))))</x:f>
      </x:c>
      <x:c r="H49" s="80" t="str">
        <x:f>IF($A49&lt;&gt;"Yes","Disabled",IF($B49="","Missing Location ID",IF(COUNTIFS(Locations!$C$5:$C$64,$B49,Locations!$A$5:$A$64,"Yes")=0,"Location not enabled",IF($C49="","Missing Rule Type",IF(AND($C49="Field Match",$D49=""),"Missing field",IF($F49="","Missing match/expression",IF($G49="","Invalid rule","OK")))))))</x:f>
        <x:v>Disabled</x:v>
      </x:c>
      <x:c r="I49" s="79" t="str"/>
      <x:c r="J49" s="118" t="str">
        <x:f>IF(H49="OK",B49&amp;"|"&amp;TEXT(COUNTIFS($B$5:B49,$B49,$H$5:H49,"OK"),"000"),"")</x:f>
      </x:c>
      <x:c r="K49" s="118" t="str">
        <x:f>IF(J49="","",IF(COUNTIFS($B$5:B49,$B49,$H$5:H49,"OK")=1,G49,IFERROR(VLOOKUP($B49&amp;"|"&amp;TEXT(COUNTIFS($B$5:B49,$B49,$H$5:H49,"OK")-1,"000"),$J$5:K48,2,FALSE),"")&amp;" OR "&amp;G49))</x:f>
      </x:c>
      <x:c r="L49" t="str">
        <x:f>IFERROR(VLOOKUP("LOCINPUT|"&amp;TEXT(ROW()-4,"000"),Locations!$W$5:$X$64,2,FALSE),"")</x:f>
      </x:c>
    </x:row>
    <x:row r="50">
      <x:c r="A50" s="79" t="str">
        <x:v>No</x:v>
      </x:c>
      <x:c r="B50" s="79" t="str"/>
      <x:c r="C50" s="79" t="str">
        <x:v>Field Match</x:v>
      </x:c>
      <x:c r="D50" s="79" t="str">
        <x:v>host</x:v>
      </x:c>
      <x:c r="E50" s="174" t="str">
        <x:v>=</x:v>
      </x:c>
      <x:c r="F50" s="79" t="str"/>
      <x:c r="G50" s="80" t="str">
        <x:f>IF($A50&lt;&gt;"Yes","",IF($C50="Raw SPL",$F50,IF(OR($D50="",$F50=""),"",$D50&amp;IF($E50="","=",$E50)&amp;CHAR(34)&amp;$F50&amp;CHAR(34))))</x:f>
      </x:c>
      <x:c r="H50" s="80" t="str">
        <x:f>IF($A50&lt;&gt;"Yes","Disabled",IF($B50="","Missing Location ID",IF(COUNTIFS(Locations!$C$5:$C$64,$B50,Locations!$A$5:$A$64,"Yes")=0,"Location not enabled",IF($C50="","Missing Rule Type",IF(AND($C50="Field Match",$D50=""),"Missing field",IF($F50="","Missing match/expression",IF($G50="","Invalid rule","OK")))))))</x:f>
        <x:v>Disabled</x:v>
      </x:c>
      <x:c r="I50" s="79" t="str"/>
      <x:c r="J50" s="118" t="str">
        <x:f>IF(H50="OK",B50&amp;"|"&amp;TEXT(COUNTIFS($B$5:B50,$B50,$H$5:H50,"OK"),"000"),"")</x:f>
      </x:c>
      <x:c r="K50" s="118" t="str">
        <x:f>IF(J50="","",IF(COUNTIFS($B$5:B50,$B50,$H$5:H50,"OK")=1,G50,IFERROR(VLOOKUP($B50&amp;"|"&amp;TEXT(COUNTIFS($B$5:B50,$B50,$H$5:H50,"OK")-1,"000"),$J$5:K49,2,FALSE),"")&amp;" OR "&amp;G50))</x:f>
      </x:c>
      <x:c r="L50" t="str">
        <x:f>IFERROR(VLOOKUP("LOCINPUT|"&amp;TEXT(ROW()-4,"000"),Locations!$W$5:$X$64,2,FALSE),"")</x:f>
      </x:c>
    </x:row>
    <x:row r="51">
      <x:c r="A51" s="79" t="str">
        <x:v>No</x:v>
      </x:c>
      <x:c r="B51" s="79" t="str"/>
      <x:c r="C51" s="79" t="str">
        <x:v>Field Match</x:v>
      </x:c>
      <x:c r="D51" s="79" t="str">
        <x:v>host</x:v>
      </x:c>
      <x:c r="E51" s="174" t="str">
        <x:v>=</x:v>
      </x:c>
      <x:c r="F51" s="79" t="str"/>
      <x:c r="G51" s="80" t="str">
        <x:f>IF($A51&lt;&gt;"Yes","",IF($C51="Raw SPL",$F51,IF(OR($D51="",$F51=""),"",$D51&amp;IF($E51="","=",$E51)&amp;CHAR(34)&amp;$F51&amp;CHAR(34))))</x:f>
      </x:c>
      <x:c r="H51" s="80" t="str">
        <x:f>IF($A51&lt;&gt;"Yes","Disabled",IF($B51="","Missing Location ID",IF(COUNTIFS(Locations!$C$5:$C$64,$B51,Locations!$A$5:$A$64,"Yes")=0,"Location not enabled",IF($C51="","Missing Rule Type",IF(AND($C51="Field Match",$D51=""),"Missing field",IF($F51="","Missing match/expression",IF($G51="","Invalid rule","OK")))))))</x:f>
        <x:v>Disabled</x:v>
      </x:c>
      <x:c r="I51" s="79" t="str"/>
      <x:c r="J51" s="118" t="str">
        <x:f>IF(H51="OK",B51&amp;"|"&amp;TEXT(COUNTIFS($B$5:B51,$B51,$H$5:H51,"OK"),"000"),"")</x:f>
      </x:c>
      <x:c r="K51" s="118" t="str">
        <x:f>IF(J51="","",IF(COUNTIFS($B$5:B51,$B51,$H$5:H51,"OK")=1,G51,IFERROR(VLOOKUP($B51&amp;"|"&amp;TEXT(COUNTIFS($B$5:B51,$B51,$H$5:H51,"OK")-1,"000"),$J$5:K50,2,FALSE),"")&amp;" OR "&amp;G51))</x:f>
      </x:c>
      <x:c r="L51" t="str">
        <x:f>IFERROR(VLOOKUP("LOCINPUT|"&amp;TEXT(ROW()-4,"000"),Locations!$W$5:$X$64,2,FALSE),"")</x:f>
      </x:c>
    </x:row>
    <x:row r="52">
      <x:c r="A52" s="79" t="str">
        <x:v>No</x:v>
      </x:c>
      <x:c r="B52" s="79" t="str"/>
      <x:c r="C52" s="79" t="str">
        <x:v>Field Match</x:v>
      </x:c>
      <x:c r="D52" s="79" t="str">
        <x:v>host</x:v>
      </x:c>
      <x:c r="E52" s="174" t="str">
        <x:v>=</x:v>
      </x:c>
      <x:c r="F52" s="79" t="str"/>
      <x:c r="G52" s="80" t="str">
        <x:f>IF($A52&lt;&gt;"Yes","",IF($C52="Raw SPL",$F52,IF(OR($D52="",$F52=""),"",$D52&amp;IF($E52="","=",$E52)&amp;CHAR(34)&amp;$F52&amp;CHAR(34))))</x:f>
      </x:c>
      <x:c r="H52" s="80" t="str">
        <x:f>IF($A52&lt;&gt;"Yes","Disabled",IF($B52="","Missing Location ID",IF(COUNTIFS(Locations!$C$5:$C$64,$B52,Locations!$A$5:$A$64,"Yes")=0,"Location not enabled",IF($C52="","Missing Rule Type",IF(AND($C52="Field Match",$D52=""),"Missing field",IF($F52="","Missing match/expression",IF($G52="","Invalid rule","OK")))))))</x:f>
        <x:v>Disabled</x:v>
      </x:c>
      <x:c r="I52" s="79" t="str"/>
      <x:c r="J52" s="118" t="str">
        <x:f>IF(H52="OK",B52&amp;"|"&amp;TEXT(COUNTIFS($B$5:B52,$B52,$H$5:H52,"OK"),"000"),"")</x:f>
      </x:c>
      <x:c r="K52" s="118" t="str">
        <x:f>IF(J52="","",IF(COUNTIFS($B$5:B52,$B52,$H$5:H52,"OK")=1,G52,IFERROR(VLOOKUP($B52&amp;"|"&amp;TEXT(COUNTIFS($B$5:B52,$B52,$H$5:H52,"OK")-1,"000"),$J$5:K51,2,FALSE),"")&amp;" OR "&amp;G52))</x:f>
      </x:c>
      <x:c r="L52" t="str">
        <x:f>IFERROR(VLOOKUP("LOCINPUT|"&amp;TEXT(ROW()-4,"000"),Locations!$W$5:$X$64,2,FALSE),"")</x:f>
      </x:c>
    </x:row>
    <x:row r="53">
      <x:c r="A53" s="79" t="str">
        <x:v>No</x:v>
      </x:c>
      <x:c r="B53" s="79" t="str"/>
      <x:c r="C53" s="79" t="str">
        <x:v>Field Match</x:v>
      </x:c>
      <x:c r="D53" s="79" t="str">
        <x:v>host</x:v>
      </x:c>
      <x:c r="E53" s="174" t="str">
        <x:v>=</x:v>
      </x:c>
      <x:c r="F53" s="79" t="str"/>
      <x:c r="G53" s="80" t="str">
        <x:f>IF($A53&lt;&gt;"Yes","",IF($C53="Raw SPL",$F53,IF(OR($D53="",$F53=""),"",$D53&amp;IF($E53="","=",$E53)&amp;CHAR(34)&amp;$F53&amp;CHAR(34))))</x:f>
      </x:c>
      <x:c r="H53" s="80" t="str">
        <x:f>IF($A53&lt;&gt;"Yes","Disabled",IF($B53="","Missing Location ID",IF(COUNTIFS(Locations!$C$5:$C$64,$B53,Locations!$A$5:$A$64,"Yes")=0,"Location not enabled",IF($C53="","Missing Rule Type",IF(AND($C53="Field Match",$D53=""),"Missing field",IF($F53="","Missing match/expression",IF($G53="","Invalid rule","OK")))))))</x:f>
        <x:v>Disabled</x:v>
      </x:c>
      <x:c r="I53" s="79" t="str"/>
      <x:c r="J53" s="118" t="str">
        <x:f>IF(H53="OK",B53&amp;"|"&amp;TEXT(COUNTIFS($B$5:B53,$B53,$H$5:H53,"OK"),"000"),"")</x:f>
      </x:c>
      <x:c r="K53" s="118" t="str">
        <x:f>IF(J53="","",IF(COUNTIFS($B$5:B53,$B53,$H$5:H53,"OK")=1,G53,IFERROR(VLOOKUP($B53&amp;"|"&amp;TEXT(COUNTIFS($B$5:B53,$B53,$H$5:H53,"OK")-1,"000"),$J$5:K52,2,FALSE),"")&amp;" OR "&amp;G53))</x:f>
      </x:c>
      <x:c r="L53" t="str">
        <x:f>IFERROR(VLOOKUP("LOCINPUT|"&amp;TEXT(ROW()-4,"000"),Locations!$W$5:$X$64,2,FALSE),"")</x:f>
      </x:c>
    </x:row>
    <x:row r="54">
      <x:c r="A54" s="79" t="str">
        <x:v>No</x:v>
      </x:c>
      <x:c r="B54" s="79" t="str"/>
      <x:c r="C54" s="79" t="str">
        <x:v>Field Match</x:v>
      </x:c>
      <x:c r="D54" s="79" t="str">
        <x:v>host</x:v>
      </x:c>
      <x:c r="E54" s="174" t="str">
        <x:v>=</x:v>
      </x:c>
      <x:c r="F54" s="79" t="str"/>
      <x:c r="G54" s="80" t="str">
        <x:f>IF($A54&lt;&gt;"Yes","",IF($C54="Raw SPL",$F54,IF(OR($D54="",$F54=""),"",$D54&amp;IF($E54="","=",$E54)&amp;CHAR(34)&amp;$F54&amp;CHAR(34))))</x:f>
      </x:c>
      <x:c r="H54" s="80" t="str">
        <x:f>IF($A54&lt;&gt;"Yes","Disabled",IF($B54="","Missing Location ID",IF(COUNTIFS(Locations!$C$5:$C$64,$B54,Locations!$A$5:$A$64,"Yes")=0,"Location not enabled",IF($C54="","Missing Rule Type",IF(AND($C54="Field Match",$D54=""),"Missing field",IF($F54="","Missing match/expression",IF($G54="","Invalid rule","OK")))))))</x:f>
        <x:v>Disabled</x:v>
      </x:c>
      <x:c r="I54" s="79" t="str"/>
      <x:c r="J54" s="118" t="str">
        <x:f>IF(H54="OK",B54&amp;"|"&amp;TEXT(COUNTIFS($B$5:B54,$B54,$H$5:H54,"OK"),"000"),"")</x:f>
      </x:c>
      <x:c r="K54" s="118" t="str">
        <x:f>IF(J54="","",IF(COUNTIFS($B$5:B54,$B54,$H$5:H54,"OK")=1,G54,IFERROR(VLOOKUP($B54&amp;"|"&amp;TEXT(COUNTIFS($B$5:B54,$B54,$H$5:H54,"OK")-1,"000"),$J$5:K53,2,FALSE),"")&amp;" OR "&amp;G54))</x:f>
      </x:c>
      <x:c r="L54" t="str">
        <x:f>IFERROR(VLOOKUP("LOCINPUT|"&amp;TEXT(ROW()-4,"000"),Locations!$W$5:$X$64,2,FALSE),"")</x:f>
      </x:c>
    </x:row>
    <x:row r="55">
      <x:c r="A55" s="79" t="str">
        <x:v>No</x:v>
      </x:c>
      <x:c r="B55" s="79" t="str"/>
      <x:c r="C55" s="79" t="str">
        <x:v>Field Match</x:v>
      </x:c>
      <x:c r="D55" s="79" t="str">
        <x:v>host</x:v>
      </x:c>
      <x:c r="E55" s="174" t="str">
        <x:v>=</x:v>
      </x:c>
      <x:c r="F55" s="79" t="str"/>
      <x:c r="G55" s="80" t="str">
        <x:f>IF($A55&lt;&gt;"Yes","",IF($C55="Raw SPL",$F55,IF(OR($D55="",$F55=""),"",$D55&amp;IF($E55="","=",$E55)&amp;CHAR(34)&amp;$F55&amp;CHAR(34))))</x:f>
      </x:c>
      <x:c r="H55" s="80" t="str">
        <x:f>IF($A55&lt;&gt;"Yes","Disabled",IF($B55="","Missing Location ID",IF(COUNTIFS(Locations!$C$5:$C$64,$B55,Locations!$A$5:$A$64,"Yes")=0,"Location not enabled",IF($C55="","Missing Rule Type",IF(AND($C55="Field Match",$D55=""),"Missing field",IF($F55="","Missing match/expression",IF($G55="","Invalid rule","OK")))))))</x:f>
        <x:v>Disabled</x:v>
      </x:c>
      <x:c r="I55" s="79" t="str"/>
      <x:c r="J55" s="118" t="str">
        <x:f>IF(H55="OK",B55&amp;"|"&amp;TEXT(COUNTIFS($B$5:B55,$B55,$H$5:H55,"OK"),"000"),"")</x:f>
      </x:c>
      <x:c r="K55" s="118" t="str">
        <x:f>IF(J55="","",IF(COUNTIFS($B$5:B55,$B55,$H$5:H55,"OK")=1,G55,IFERROR(VLOOKUP($B55&amp;"|"&amp;TEXT(COUNTIFS($B$5:B55,$B55,$H$5:H55,"OK")-1,"000"),$J$5:K54,2,FALSE),"")&amp;" OR "&amp;G55))</x:f>
      </x:c>
      <x:c r="L55" t="str">
        <x:f>IFERROR(VLOOKUP("LOCINPUT|"&amp;TEXT(ROW()-4,"000"),Locations!$W$5:$X$64,2,FALSE),"")</x:f>
      </x:c>
    </x:row>
    <x:row r="56">
      <x:c r="A56" s="79" t="str">
        <x:v>No</x:v>
      </x:c>
      <x:c r="B56" s="79" t="str"/>
      <x:c r="C56" s="79" t="str">
        <x:v>Field Match</x:v>
      </x:c>
      <x:c r="D56" s="79" t="str">
        <x:v>host</x:v>
      </x:c>
      <x:c r="E56" s="174" t="str">
        <x:v>=</x:v>
      </x:c>
      <x:c r="F56" s="79" t="str"/>
      <x:c r="G56" s="80" t="str">
        <x:f>IF($A56&lt;&gt;"Yes","",IF($C56="Raw SPL",$F56,IF(OR($D56="",$F56=""),"",$D56&amp;IF($E56="","=",$E56)&amp;CHAR(34)&amp;$F56&amp;CHAR(34))))</x:f>
      </x:c>
      <x:c r="H56" s="80" t="str">
        <x:f>IF($A56&lt;&gt;"Yes","Disabled",IF($B56="","Missing Location ID",IF(COUNTIFS(Locations!$C$5:$C$64,$B56,Locations!$A$5:$A$64,"Yes")=0,"Location not enabled",IF($C56="","Missing Rule Type",IF(AND($C56="Field Match",$D56=""),"Missing field",IF($F56="","Missing match/expression",IF($G56="","Invalid rule","OK")))))))</x:f>
        <x:v>Disabled</x:v>
      </x:c>
      <x:c r="I56" s="79" t="str"/>
      <x:c r="J56" s="118" t="str">
        <x:f>IF(H56="OK",B56&amp;"|"&amp;TEXT(COUNTIFS($B$5:B56,$B56,$H$5:H56,"OK"),"000"),"")</x:f>
      </x:c>
      <x:c r="K56" s="118" t="str">
        <x:f>IF(J56="","",IF(COUNTIFS($B$5:B56,$B56,$H$5:H56,"OK")=1,G56,IFERROR(VLOOKUP($B56&amp;"|"&amp;TEXT(COUNTIFS($B$5:B56,$B56,$H$5:H56,"OK")-1,"000"),$J$5:K55,2,FALSE),"")&amp;" OR "&amp;G56))</x:f>
      </x:c>
      <x:c r="L56" t="str">
        <x:f>IFERROR(VLOOKUP("LOCINPUT|"&amp;TEXT(ROW()-4,"000"),Locations!$W$5:$X$64,2,FALSE),"")</x:f>
      </x:c>
    </x:row>
    <x:row r="57">
      <x:c r="A57" s="79" t="str">
        <x:v>No</x:v>
      </x:c>
      <x:c r="B57" s="79" t="str"/>
      <x:c r="C57" s="79" t="str">
        <x:v>Field Match</x:v>
      </x:c>
      <x:c r="D57" s="79" t="str">
        <x:v>host</x:v>
      </x:c>
      <x:c r="E57" s="174" t="str">
        <x:v>=</x:v>
      </x:c>
      <x:c r="F57" s="79" t="str"/>
      <x:c r="G57" s="80" t="str">
        <x:f>IF($A57&lt;&gt;"Yes","",IF($C57="Raw SPL",$F57,IF(OR($D57="",$F57=""),"",$D57&amp;IF($E57="","=",$E57)&amp;CHAR(34)&amp;$F57&amp;CHAR(34))))</x:f>
      </x:c>
      <x:c r="H57" s="80" t="str">
        <x:f>IF($A57&lt;&gt;"Yes","Disabled",IF($B57="","Missing Location ID",IF(COUNTIFS(Locations!$C$5:$C$64,$B57,Locations!$A$5:$A$64,"Yes")=0,"Location not enabled",IF($C57="","Missing Rule Type",IF(AND($C57="Field Match",$D57=""),"Missing field",IF($F57="","Missing match/expression",IF($G57="","Invalid rule","OK")))))))</x:f>
        <x:v>Disabled</x:v>
      </x:c>
      <x:c r="I57" s="79" t="str"/>
      <x:c r="J57" s="118" t="str">
        <x:f>IF(H57="OK",B57&amp;"|"&amp;TEXT(COUNTIFS($B$5:B57,$B57,$H$5:H57,"OK"),"000"),"")</x:f>
      </x:c>
      <x:c r="K57" s="118" t="str">
        <x:f>IF(J57="","",IF(COUNTIFS($B$5:B57,$B57,$H$5:H57,"OK")=1,G57,IFERROR(VLOOKUP($B57&amp;"|"&amp;TEXT(COUNTIFS($B$5:B57,$B57,$H$5:H57,"OK")-1,"000"),$J$5:K56,2,FALSE),"")&amp;" OR "&amp;G57))</x:f>
      </x:c>
      <x:c r="L57" t="str">
        <x:f>IFERROR(VLOOKUP("LOCINPUT|"&amp;TEXT(ROW()-4,"000"),Locations!$W$5:$X$64,2,FALSE),"")</x:f>
      </x:c>
    </x:row>
    <x:row r="58">
      <x:c r="A58" s="79" t="str">
        <x:v>No</x:v>
      </x:c>
      <x:c r="B58" s="79" t="str"/>
      <x:c r="C58" s="79" t="str">
        <x:v>Field Match</x:v>
      </x:c>
      <x:c r="D58" s="79" t="str">
        <x:v>host</x:v>
      </x:c>
      <x:c r="E58" s="174" t="str">
        <x:v>=</x:v>
      </x:c>
      <x:c r="F58" s="79" t="str"/>
      <x:c r="G58" s="80" t="str">
        <x:f>IF($A58&lt;&gt;"Yes","",IF($C58="Raw SPL",$F58,IF(OR($D58="",$F58=""),"",$D58&amp;IF($E58="","=",$E58)&amp;CHAR(34)&amp;$F58&amp;CHAR(34))))</x:f>
      </x:c>
      <x:c r="H58" s="80" t="str">
        <x:f>IF($A58&lt;&gt;"Yes","Disabled",IF($B58="","Missing Location ID",IF(COUNTIFS(Locations!$C$5:$C$64,$B58,Locations!$A$5:$A$64,"Yes")=0,"Location not enabled",IF($C58="","Missing Rule Type",IF(AND($C58="Field Match",$D58=""),"Missing field",IF($F58="","Missing match/expression",IF($G58="","Invalid rule","OK")))))))</x:f>
        <x:v>Disabled</x:v>
      </x:c>
      <x:c r="I58" s="79" t="str"/>
      <x:c r="J58" s="118" t="str">
        <x:f>IF(H58="OK",B58&amp;"|"&amp;TEXT(COUNTIFS($B$5:B58,$B58,$H$5:H58,"OK"),"000"),"")</x:f>
      </x:c>
      <x:c r="K58" s="118" t="str">
        <x:f>IF(J58="","",IF(COUNTIFS($B$5:B58,$B58,$H$5:H58,"OK")=1,G58,IFERROR(VLOOKUP($B58&amp;"|"&amp;TEXT(COUNTIFS($B$5:B58,$B58,$H$5:H58,"OK")-1,"000"),$J$5:K57,2,FALSE),"")&amp;" OR "&amp;G58))</x:f>
      </x:c>
      <x:c r="L58" t="str">
        <x:f>IFERROR(VLOOKUP("LOCINPUT|"&amp;TEXT(ROW()-4,"000"),Locations!$W$5:$X$64,2,FALSE),"")</x:f>
      </x:c>
    </x:row>
    <x:row r="59">
      <x:c r="A59" s="79" t="str">
        <x:v>No</x:v>
      </x:c>
      <x:c r="B59" s="79" t="str"/>
      <x:c r="C59" s="79" t="str">
        <x:v>Field Match</x:v>
      </x:c>
      <x:c r="D59" s="79" t="str">
        <x:v>host</x:v>
      </x:c>
      <x:c r="E59" s="174" t="str">
        <x:v>=</x:v>
      </x:c>
      <x:c r="F59" s="79" t="str"/>
      <x:c r="G59" s="80" t="str">
        <x:f>IF($A59&lt;&gt;"Yes","",IF($C59="Raw SPL",$F59,IF(OR($D59="",$F59=""),"",$D59&amp;IF($E59="","=",$E59)&amp;CHAR(34)&amp;$F59&amp;CHAR(34))))</x:f>
      </x:c>
      <x:c r="H59" s="80" t="str">
        <x:f>IF($A59&lt;&gt;"Yes","Disabled",IF($B59="","Missing Location ID",IF(COUNTIFS(Locations!$C$5:$C$64,$B59,Locations!$A$5:$A$64,"Yes")=0,"Location not enabled",IF($C59="","Missing Rule Type",IF(AND($C59="Field Match",$D59=""),"Missing field",IF($F59="","Missing match/expression",IF($G59="","Invalid rule","OK")))))))</x:f>
        <x:v>Disabled</x:v>
      </x:c>
      <x:c r="I59" s="79" t="str"/>
      <x:c r="J59" s="118" t="str">
        <x:f>IF(H59="OK",B59&amp;"|"&amp;TEXT(COUNTIFS($B$5:B59,$B59,$H$5:H59,"OK"),"000"),"")</x:f>
      </x:c>
      <x:c r="K59" s="118" t="str">
        <x:f>IF(J59="","",IF(COUNTIFS($B$5:B59,$B59,$H$5:H59,"OK")=1,G59,IFERROR(VLOOKUP($B59&amp;"|"&amp;TEXT(COUNTIFS($B$5:B59,$B59,$H$5:H59,"OK")-1,"000"),$J$5:K58,2,FALSE),"")&amp;" OR "&amp;G59))</x:f>
      </x:c>
      <x:c r="L59" t="str">
        <x:f>IFERROR(VLOOKUP("LOCINPUT|"&amp;TEXT(ROW()-4,"000"),Locations!$W$5:$X$64,2,FALSE),"")</x:f>
      </x:c>
    </x:row>
    <x:row r="60">
      <x:c r="A60" s="79" t="str">
        <x:v>No</x:v>
      </x:c>
      <x:c r="B60" s="79" t="str"/>
      <x:c r="C60" s="79" t="str">
        <x:v>Field Match</x:v>
      </x:c>
      <x:c r="D60" s="79" t="str">
        <x:v>host</x:v>
      </x:c>
      <x:c r="E60" s="174" t="str">
        <x:v>=</x:v>
      </x:c>
      <x:c r="F60" s="79" t="str"/>
      <x:c r="G60" s="80" t="str">
        <x:f>IF($A60&lt;&gt;"Yes","",IF($C60="Raw SPL",$F60,IF(OR($D60="",$F60=""),"",$D60&amp;IF($E60="","=",$E60)&amp;CHAR(34)&amp;$F60&amp;CHAR(34))))</x:f>
      </x:c>
      <x:c r="H60" s="80" t="str">
        <x:f>IF($A60&lt;&gt;"Yes","Disabled",IF($B60="","Missing Location ID",IF(COUNTIFS(Locations!$C$5:$C$64,$B60,Locations!$A$5:$A$64,"Yes")=0,"Location not enabled",IF($C60="","Missing Rule Type",IF(AND($C60="Field Match",$D60=""),"Missing field",IF($F60="","Missing match/expression",IF($G60="","Invalid rule","OK")))))))</x:f>
        <x:v>Disabled</x:v>
      </x:c>
      <x:c r="I60" s="79" t="str"/>
      <x:c r="J60" s="118" t="str">
        <x:f>IF(H60="OK",B60&amp;"|"&amp;TEXT(COUNTIFS($B$5:B60,$B60,$H$5:H60,"OK"),"000"),"")</x:f>
      </x:c>
      <x:c r="K60" s="118" t="str">
        <x:f>IF(J60="","",IF(COUNTIFS($B$5:B60,$B60,$H$5:H60,"OK")=1,G60,IFERROR(VLOOKUP($B60&amp;"|"&amp;TEXT(COUNTIFS($B$5:B60,$B60,$H$5:H60,"OK")-1,"000"),$J$5:K59,2,FALSE),"")&amp;" OR "&amp;G60))</x:f>
      </x:c>
      <x:c r="L60" t="str">
        <x:f>IFERROR(VLOOKUP("LOCINPUT|"&amp;TEXT(ROW()-4,"000"),Locations!$W$5:$X$64,2,FALSE),"")</x:f>
      </x:c>
    </x:row>
    <x:row r="61">
      <x:c r="A61" s="79" t="str">
        <x:v>No</x:v>
      </x:c>
      <x:c r="B61" s="79" t="str"/>
      <x:c r="C61" s="79" t="str">
        <x:v>Field Match</x:v>
      </x:c>
      <x:c r="D61" s="79" t="str">
        <x:v>host</x:v>
      </x:c>
      <x:c r="E61" s="174" t="str">
        <x:v>=</x:v>
      </x:c>
      <x:c r="F61" s="79" t="str"/>
      <x:c r="G61" s="80" t="str">
        <x:f>IF($A61&lt;&gt;"Yes","",IF($C61="Raw SPL",$F61,IF(OR($D61="",$F61=""),"",$D61&amp;IF($E61="","=",$E61)&amp;CHAR(34)&amp;$F61&amp;CHAR(34))))</x:f>
      </x:c>
      <x:c r="H61" s="80" t="str">
        <x:f>IF($A61&lt;&gt;"Yes","Disabled",IF($B61="","Missing Location ID",IF(COUNTIFS(Locations!$C$5:$C$64,$B61,Locations!$A$5:$A$64,"Yes")=0,"Location not enabled",IF($C61="","Missing Rule Type",IF(AND($C61="Field Match",$D61=""),"Missing field",IF($F61="","Missing match/expression",IF($G61="","Invalid rule","OK")))))))</x:f>
        <x:v>Disabled</x:v>
      </x:c>
      <x:c r="I61" s="79" t="str"/>
      <x:c r="J61" s="118" t="str">
        <x:f>IF(H61="OK",B61&amp;"|"&amp;TEXT(COUNTIFS($B$5:B61,$B61,$H$5:H61,"OK"),"000"),"")</x:f>
      </x:c>
      <x:c r="K61" s="118" t="str">
        <x:f>IF(J61="","",IF(COUNTIFS($B$5:B61,$B61,$H$5:H61,"OK")=1,G61,IFERROR(VLOOKUP($B61&amp;"|"&amp;TEXT(COUNTIFS($B$5:B61,$B61,$H$5:H61,"OK")-1,"000"),$J$5:K60,2,FALSE),"")&amp;" OR "&amp;G61))</x:f>
      </x:c>
      <x:c r="L61" t="str">
        <x:f>IFERROR(VLOOKUP("LOCINPUT|"&amp;TEXT(ROW()-4,"000"),Locations!$W$5:$X$64,2,FALSE),"")</x:f>
      </x:c>
    </x:row>
    <x:row r="62">
      <x:c r="A62" s="79" t="str">
        <x:v>No</x:v>
      </x:c>
      <x:c r="B62" s="79" t="str"/>
      <x:c r="C62" s="79" t="str">
        <x:v>Field Match</x:v>
      </x:c>
      <x:c r="D62" s="79" t="str">
        <x:v>host</x:v>
      </x:c>
      <x:c r="E62" s="174" t="str">
        <x:v>=</x:v>
      </x:c>
      <x:c r="F62" s="79" t="str"/>
      <x:c r="G62" s="80" t="str">
        <x:f>IF($A62&lt;&gt;"Yes","",IF($C62="Raw SPL",$F62,IF(OR($D62="",$F62=""),"",$D62&amp;IF($E62="","=",$E62)&amp;CHAR(34)&amp;$F62&amp;CHAR(34))))</x:f>
      </x:c>
      <x:c r="H62" s="80" t="str">
        <x:f>IF($A62&lt;&gt;"Yes","Disabled",IF($B62="","Missing Location ID",IF(COUNTIFS(Locations!$C$5:$C$64,$B62,Locations!$A$5:$A$64,"Yes")=0,"Location not enabled",IF($C62="","Missing Rule Type",IF(AND($C62="Field Match",$D62=""),"Missing field",IF($F62="","Missing match/expression",IF($G62="","Invalid rule","OK")))))))</x:f>
        <x:v>Disabled</x:v>
      </x:c>
      <x:c r="I62" s="79" t="str"/>
      <x:c r="J62" s="118" t="str">
        <x:f>IF(H62="OK",B62&amp;"|"&amp;TEXT(COUNTIFS($B$5:B62,$B62,$H$5:H62,"OK"),"000"),"")</x:f>
      </x:c>
      <x:c r="K62" s="118" t="str">
        <x:f>IF(J62="","",IF(COUNTIFS($B$5:B62,$B62,$H$5:H62,"OK")=1,G62,IFERROR(VLOOKUP($B62&amp;"|"&amp;TEXT(COUNTIFS($B$5:B62,$B62,$H$5:H62,"OK")-1,"000"),$J$5:K61,2,FALSE),"")&amp;" OR "&amp;G62))</x:f>
      </x:c>
      <x:c r="L62" t="str">
        <x:f>IFERROR(VLOOKUP("LOCINPUT|"&amp;TEXT(ROW()-4,"000"),Locations!$W$5:$X$64,2,FALSE),"")</x:f>
      </x:c>
    </x:row>
    <x:row r="63">
      <x:c r="A63" s="79" t="str">
        <x:v>No</x:v>
      </x:c>
      <x:c r="B63" s="79" t="str"/>
      <x:c r="C63" s="79" t="str">
        <x:v>Field Match</x:v>
      </x:c>
      <x:c r="D63" s="79" t="str">
        <x:v>host</x:v>
      </x:c>
      <x:c r="E63" s="174" t="str">
        <x:v>=</x:v>
      </x:c>
      <x:c r="F63" s="79" t="str"/>
      <x:c r="G63" s="80" t="str">
        <x:f>IF($A63&lt;&gt;"Yes","",IF($C63="Raw SPL",$F63,IF(OR($D63="",$F63=""),"",$D63&amp;IF($E63="","=",$E63)&amp;CHAR(34)&amp;$F63&amp;CHAR(34))))</x:f>
      </x:c>
      <x:c r="H63" s="80" t="str">
        <x:f>IF($A63&lt;&gt;"Yes","Disabled",IF($B63="","Missing Location ID",IF(COUNTIFS(Locations!$C$5:$C$64,$B63,Locations!$A$5:$A$64,"Yes")=0,"Location not enabled",IF($C63="","Missing Rule Type",IF(AND($C63="Field Match",$D63=""),"Missing field",IF($F63="","Missing match/expression",IF($G63="","Invalid rule","OK")))))))</x:f>
        <x:v>Disabled</x:v>
      </x:c>
      <x:c r="I63" s="79" t="str"/>
      <x:c r="J63" s="118" t="str">
        <x:f>IF(H63="OK",B63&amp;"|"&amp;TEXT(COUNTIFS($B$5:B63,$B63,$H$5:H63,"OK"),"000"),"")</x:f>
      </x:c>
      <x:c r="K63" s="118" t="str">
        <x:f>IF(J63="","",IF(COUNTIFS($B$5:B63,$B63,$H$5:H63,"OK")=1,G63,IFERROR(VLOOKUP($B63&amp;"|"&amp;TEXT(COUNTIFS($B$5:B63,$B63,$H$5:H63,"OK")-1,"000"),$J$5:K62,2,FALSE),"")&amp;" OR "&amp;G63))</x:f>
      </x:c>
      <x:c r="L63" t="str">
        <x:f>IFERROR(VLOOKUP("LOCINPUT|"&amp;TEXT(ROW()-4,"000"),Locations!$W$5:$X$64,2,FALSE),"")</x:f>
      </x:c>
    </x:row>
    <x:row r="64">
      <x:c r="A64" s="79" t="str">
        <x:v>No</x:v>
      </x:c>
      <x:c r="B64" s="79" t="str"/>
      <x:c r="C64" s="79" t="str">
        <x:v>Field Match</x:v>
      </x:c>
      <x:c r="D64" s="79" t="str">
        <x:v>host</x:v>
      </x:c>
      <x:c r="E64" s="174" t="str">
        <x:v>=</x:v>
      </x:c>
      <x:c r="F64" s="79" t="str"/>
      <x:c r="G64" s="80" t="str">
        <x:f>IF($A64&lt;&gt;"Yes","",IF($C64="Raw SPL",$F64,IF(OR($D64="",$F64=""),"",$D64&amp;IF($E64="","=",$E64)&amp;CHAR(34)&amp;$F64&amp;CHAR(34))))</x:f>
      </x:c>
      <x:c r="H64" s="80" t="str">
        <x:f>IF($A64&lt;&gt;"Yes","Disabled",IF($B64="","Missing Location ID",IF(COUNTIFS(Locations!$C$5:$C$64,$B64,Locations!$A$5:$A$64,"Yes")=0,"Location not enabled",IF($C64="","Missing Rule Type",IF(AND($C64="Field Match",$D64=""),"Missing field",IF($F64="","Missing match/expression",IF($G64="","Invalid rule","OK")))))))</x:f>
        <x:v>Disabled</x:v>
      </x:c>
      <x:c r="I64" s="79" t="str"/>
      <x:c r="J64" s="118" t="str">
        <x:f>IF(H64="OK",B64&amp;"|"&amp;TEXT(COUNTIFS($B$5:B64,$B64,$H$5:H64,"OK"),"000"),"")</x:f>
      </x:c>
      <x:c r="K64" s="118" t="str">
        <x:f>IF(J64="","",IF(COUNTIFS($B$5:B64,$B64,$H$5:H64,"OK")=1,G64,IFERROR(VLOOKUP($B64&amp;"|"&amp;TEXT(COUNTIFS($B$5:B64,$B64,$H$5:H64,"OK")-1,"000"),$J$5:K63,2,FALSE),"")&amp;" OR "&amp;G64))</x:f>
      </x:c>
      <x:c r="L64" t="str">
        <x:f>IFERROR(VLOOKUP("LOCINPUT|"&amp;TEXT(ROW()-4,"000"),Locations!$W$5:$X$64,2,FALSE),"")</x:f>
      </x:c>
    </x:row>
    <x:row r="65">
      <x:c r="A65" s="79" t="str">
        <x:v>No</x:v>
      </x:c>
      <x:c r="B65" s="79" t="str"/>
      <x:c r="C65" s="79" t="str">
        <x:v>Field Match</x:v>
      </x:c>
      <x:c r="D65" s="79" t="str">
        <x:v>host</x:v>
      </x:c>
      <x:c r="E65" s="174" t="str">
        <x:v>=</x:v>
      </x:c>
      <x:c r="F65" s="79" t="str"/>
      <x:c r="G65" s="80" t="str">
        <x:f>IF($A65&lt;&gt;"Yes","",IF($C65="Raw SPL",$F65,IF(OR($D65="",$F65=""),"",$D65&amp;IF($E65="","=",$E65)&amp;CHAR(34)&amp;$F65&amp;CHAR(34))))</x:f>
      </x:c>
      <x:c r="H65" s="80" t="str">
        <x:f>IF($A65&lt;&gt;"Yes","Disabled",IF($B65="","Missing Location ID",IF(COUNTIFS(Locations!$C$5:$C$64,$B65,Locations!$A$5:$A$64,"Yes")=0,"Location not enabled",IF($C65="","Missing Rule Type",IF(AND($C65="Field Match",$D65=""),"Missing field",IF($F65="","Missing match/expression",IF($G65="","Invalid rule","OK")))))))</x:f>
        <x:v>Disabled</x:v>
      </x:c>
      <x:c r="I65" s="79" t="str"/>
      <x:c r="J65" s="118" t="str">
        <x:f>IF(H65="OK",B65&amp;"|"&amp;TEXT(COUNTIFS($B$5:B65,$B65,$H$5:H65,"OK"),"000"),"")</x:f>
      </x:c>
      <x:c r="K65" s="118" t="str">
        <x:f>IF(J65="","",IF(COUNTIFS($B$5:B65,$B65,$H$5:H65,"OK")=1,G65,IFERROR(VLOOKUP($B65&amp;"|"&amp;TEXT(COUNTIFS($B$5:B65,$B65,$H$5:H65,"OK")-1,"000"),$J$5:K64,2,FALSE),"")&amp;" OR "&amp;G65))</x:f>
      </x:c>
      <x:c r="L65" t="str">
        <x:f>IFERROR(VLOOKUP("LOCINPUT|"&amp;TEXT(ROW()-4,"000"),Locations!$W$5:$X$64,2,FALSE),"")</x:f>
      </x:c>
    </x:row>
    <x:row r="66">
      <x:c r="A66" s="79" t="str">
        <x:v>No</x:v>
      </x:c>
      <x:c r="B66" s="79" t="str"/>
      <x:c r="C66" s="79" t="str">
        <x:v>Field Match</x:v>
      </x:c>
      <x:c r="D66" s="79" t="str">
        <x:v>host</x:v>
      </x:c>
      <x:c r="E66" s="174" t="str">
        <x:v>=</x:v>
      </x:c>
      <x:c r="F66" s="79" t="str"/>
      <x:c r="G66" s="80" t="str">
        <x:f>IF($A66&lt;&gt;"Yes","",IF($C66="Raw SPL",$F66,IF(OR($D66="",$F66=""),"",$D66&amp;IF($E66="","=",$E66)&amp;CHAR(34)&amp;$F66&amp;CHAR(34))))</x:f>
      </x:c>
      <x:c r="H66" s="80" t="str">
        <x:f>IF($A66&lt;&gt;"Yes","Disabled",IF($B66="","Missing Location ID",IF(COUNTIFS(Locations!$C$5:$C$64,$B66,Locations!$A$5:$A$64,"Yes")=0,"Location not enabled",IF($C66="","Missing Rule Type",IF(AND($C66="Field Match",$D66=""),"Missing field",IF($F66="","Missing match/expression",IF($G66="","Invalid rule","OK")))))))</x:f>
        <x:v>Disabled</x:v>
      </x:c>
      <x:c r="I66" s="79" t="str"/>
      <x:c r="J66" s="118" t="str">
        <x:f>IF(H66="OK",B66&amp;"|"&amp;TEXT(COUNTIFS($B$5:B66,$B66,$H$5:H66,"OK"),"000"),"")</x:f>
      </x:c>
      <x:c r="K66" s="118" t="str">
        <x:f>IF(J66="","",IF(COUNTIFS($B$5:B66,$B66,$H$5:H66,"OK")=1,G66,IFERROR(VLOOKUP($B66&amp;"|"&amp;TEXT(COUNTIFS($B$5:B66,$B66,$H$5:H66,"OK")-1,"000"),$J$5:K65,2,FALSE),"")&amp;" OR "&amp;G66))</x:f>
      </x:c>
      <x:c r="L66" t="str">
        <x:f>IFERROR(VLOOKUP("LOCINPUT|"&amp;TEXT(ROW()-4,"000"),Locations!$W$5:$X$64,2,FALSE),"")</x:f>
      </x:c>
    </x:row>
    <x:row r="67">
      <x:c r="A67" s="79" t="str">
        <x:v>No</x:v>
      </x:c>
      <x:c r="B67" s="79" t="str"/>
      <x:c r="C67" s="79" t="str">
        <x:v>Field Match</x:v>
      </x:c>
      <x:c r="D67" s="79" t="str">
        <x:v>host</x:v>
      </x:c>
      <x:c r="E67" s="174" t="str">
        <x:v>=</x:v>
      </x:c>
      <x:c r="F67" s="79" t="str"/>
      <x:c r="G67" s="80" t="str">
        <x:f>IF($A67&lt;&gt;"Yes","",IF($C67="Raw SPL",$F67,IF(OR($D67="",$F67=""),"",$D67&amp;IF($E67="","=",$E67)&amp;CHAR(34)&amp;$F67&amp;CHAR(34))))</x:f>
      </x:c>
      <x:c r="H67" s="80" t="str">
        <x:f>IF($A67&lt;&gt;"Yes","Disabled",IF($B67="","Missing Location ID",IF(COUNTIFS(Locations!$C$5:$C$64,$B67,Locations!$A$5:$A$64,"Yes")=0,"Location not enabled",IF($C67="","Missing Rule Type",IF(AND($C67="Field Match",$D67=""),"Missing field",IF($F67="","Missing match/expression",IF($G67="","Invalid rule","OK")))))))</x:f>
        <x:v>Disabled</x:v>
      </x:c>
      <x:c r="I67" s="79" t="str"/>
      <x:c r="J67" s="118" t="str">
        <x:f>IF(H67="OK",B67&amp;"|"&amp;TEXT(COUNTIFS($B$5:B67,$B67,$H$5:H67,"OK"),"000"),"")</x:f>
      </x:c>
      <x:c r="K67" s="118" t="str">
        <x:f>IF(J67="","",IF(COUNTIFS($B$5:B67,$B67,$H$5:H67,"OK")=1,G67,IFERROR(VLOOKUP($B67&amp;"|"&amp;TEXT(COUNTIFS($B$5:B67,$B67,$H$5:H67,"OK")-1,"000"),$J$5:K66,2,FALSE),"")&amp;" OR "&amp;G67))</x:f>
      </x:c>
      <x:c r="L67" t="str">
        <x:f>IFERROR(VLOOKUP("LOCINPUT|"&amp;TEXT(ROW()-4,"000"),Locations!$W$5:$X$64,2,FALSE),"")</x:f>
      </x:c>
    </x:row>
    <x:row r="68">
      <x:c r="A68" s="79" t="str">
        <x:v>No</x:v>
      </x:c>
      <x:c r="B68" s="79" t="str"/>
      <x:c r="C68" s="79" t="str">
        <x:v>Field Match</x:v>
      </x:c>
      <x:c r="D68" s="79" t="str">
        <x:v>host</x:v>
      </x:c>
      <x:c r="E68" s="174" t="str">
        <x:v>=</x:v>
      </x:c>
      <x:c r="F68" s="79" t="str"/>
      <x:c r="G68" s="80" t="str">
        <x:f>IF($A68&lt;&gt;"Yes","",IF($C68="Raw SPL",$F68,IF(OR($D68="",$F68=""),"",$D68&amp;IF($E68="","=",$E68)&amp;CHAR(34)&amp;$F68&amp;CHAR(34))))</x:f>
      </x:c>
      <x:c r="H68" s="80" t="str">
        <x:f>IF($A68&lt;&gt;"Yes","Disabled",IF($B68="","Missing Location ID",IF(COUNTIFS(Locations!$C$5:$C$64,$B68,Locations!$A$5:$A$64,"Yes")=0,"Location not enabled",IF($C68="","Missing Rule Type",IF(AND($C68="Field Match",$D68=""),"Missing field",IF($F68="","Missing match/expression",IF($G68="","Invalid rule","OK")))))))</x:f>
        <x:v>Disabled</x:v>
      </x:c>
      <x:c r="I68" s="79" t="str"/>
      <x:c r="J68" s="118" t="str">
        <x:f>IF(H68="OK",B68&amp;"|"&amp;TEXT(COUNTIFS($B$5:B68,$B68,$H$5:H68,"OK"),"000"),"")</x:f>
      </x:c>
      <x:c r="K68" s="118" t="str">
        <x:f>IF(J68="","",IF(COUNTIFS($B$5:B68,$B68,$H$5:H68,"OK")=1,G68,IFERROR(VLOOKUP($B68&amp;"|"&amp;TEXT(COUNTIFS($B$5:B68,$B68,$H$5:H68,"OK")-1,"000"),$J$5:K67,2,FALSE),"")&amp;" OR "&amp;G68))</x:f>
      </x:c>
      <x:c r="L68" t="str">
        <x:f>IFERROR(VLOOKUP("LOCINPUT|"&amp;TEXT(ROW()-4,"000"),Locations!$W$5:$X$64,2,FALSE),"")</x:f>
      </x:c>
    </x:row>
    <x:row r="69">
      <x:c r="A69" s="79" t="str">
        <x:v>No</x:v>
      </x:c>
      <x:c r="B69" s="79" t="str"/>
      <x:c r="C69" s="79" t="str">
        <x:v>Field Match</x:v>
      </x:c>
      <x:c r="D69" s="79" t="str">
        <x:v>host</x:v>
      </x:c>
      <x:c r="E69" s="174" t="str">
        <x:v>=</x:v>
      </x:c>
      <x:c r="F69" s="79" t="str"/>
      <x:c r="G69" s="80" t="str">
        <x:f>IF($A69&lt;&gt;"Yes","",IF($C69="Raw SPL",$F69,IF(OR($D69="",$F69=""),"",$D69&amp;IF($E69="","=",$E69)&amp;CHAR(34)&amp;$F69&amp;CHAR(34))))</x:f>
      </x:c>
      <x:c r="H69" s="80" t="str">
        <x:f>IF($A69&lt;&gt;"Yes","Disabled",IF($B69="","Missing Location ID",IF(COUNTIFS(Locations!$C$5:$C$64,$B69,Locations!$A$5:$A$64,"Yes")=0,"Location not enabled",IF($C69="","Missing Rule Type",IF(AND($C69="Field Match",$D69=""),"Missing field",IF($F69="","Missing match/expression",IF($G69="","Invalid rule","OK")))))))</x:f>
        <x:v>Disabled</x:v>
      </x:c>
      <x:c r="I69" s="79" t="str"/>
      <x:c r="J69" s="118" t="str">
        <x:f>IF(H69="OK",B69&amp;"|"&amp;TEXT(COUNTIFS($B$5:B69,$B69,$H$5:H69,"OK"),"000"),"")</x:f>
      </x:c>
      <x:c r="K69" s="118" t="str">
        <x:f>IF(J69="","",IF(COUNTIFS($B$5:B69,$B69,$H$5:H69,"OK")=1,G69,IFERROR(VLOOKUP($B69&amp;"|"&amp;TEXT(COUNTIFS($B$5:B69,$B69,$H$5:H69,"OK")-1,"000"),$J$5:K68,2,FALSE),"")&amp;" OR "&amp;G69))</x:f>
      </x:c>
      <x:c r="L69" t="str">
        <x:f>IFERROR(VLOOKUP("LOCINPUT|"&amp;TEXT(ROW()-4,"000"),Locations!$W$5:$X$64,2,FALSE),"")</x:f>
      </x:c>
    </x:row>
    <x:row r="70">
      <x:c r="A70" s="79" t="str">
        <x:v>No</x:v>
      </x:c>
      <x:c r="B70" s="79" t="str"/>
      <x:c r="C70" s="79" t="str">
        <x:v>Field Match</x:v>
      </x:c>
      <x:c r="D70" s="79" t="str">
        <x:v>host</x:v>
      </x:c>
      <x:c r="E70" s="174" t="str">
        <x:v>=</x:v>
      </x:c>
      <x:c r="F70" s="79" t="str"/>
      <x:c r="G70" s="80" t="str">
        <x:f>IF($A70&lt;&gt;"Yes","",IF($C70="Raw SPL",$F70,IF(OR($D70="",$F70=""),"",$D70&amp;IF($E70="","=",$E70)&amp;CHAR(34)&amp;$F70&amp;CHAR(34))))</x:f>
      </x:c>
      <x:c r="H70" s="80" t="str">
        <x:f>IF($A70&lt;&gt;"Yes","Disabled",IF($B70="","Missing Location ID",IF(COUNTIFS(Locations!$C$5:$C$64,$B70,Locations!$A$5:$A$64,"Yes")=0,"Location not enabled",IF($C70="","Missing Rule Type",IF(AND($C70="Field Match",$D70=""),"Missing field",IF($F70="","Missing match/expression",IF($G70="","Invalid rule","OK")))))))</x:f>
        <x:v>Disabled</x:v>
      </x:c>
      <x:c r="I70" s="79" t="str"/>
      <x:c r="J70" s="118" t="str">
        <x:f>IF(H70="OK",B70&amp;"|"&amp;TEXT(COUNTIFS($B$5:B70,$B70,$H$5:H70,"OK"),"000"),"")</x:f>
      </x:c>
      <x:c r="K70" s="118" t="str">
        <x:f>IF(J70="","",IF(COUNTIFS($B$5:B70,$B70,$H$5:H70,"OK")=1,G70,IFERROR(VLOOKUP($B70&amp;"|"&amp;TEXT(COUNTIFS($B$5:B70,$B70,$H$5:H70,"OK")-1,"000"),$J$5:K69,2,FALSE),"")&amp;" OR "&amp;G70))</x:f>
      </x:c>
      <x:c r="L70" t="str">
        <x:f>IFERROR(VLOOKUP("LOCINPUT|"&amp;TEXT(ROW()-4,"000"),Locations!$W$5:$X$64,2,FALSE),"")</x:f>
      </x:c>
    </x:row>
    <x:row r="71">
      <x:c r="A71" s="79" t="str">
        <x:v>No</x:v>
      </x:c>
      <x:c r="B71" s="79" t="str"/>
      <x:c r="C71" s="79" t="str">
        <x:v>Field Match</x:v>
      </x:c>
      <x:c r="D71" s="79" t="str">
        <x:v>host</x:v>
      </x:c>
      <x:c r="E71" s="174" t="str">
        <x:v>=</x:v>
      </x:c>
      <x:c r="F71" s="79" t="str"/>
      <x:c r="G71" s="80" t="str">
        <x:f>IF($A71&lt;&gt;"Yes","",IF($C71="Raw SPL",$F71,IF(OR($D71="",$F71=""),"",$D71&amp;IF($E71="","=",$E71)&amp;CHAR(34)&amp;$F71&amp;CHAR(34))))</x:f>
      </x:c>
      <x:c r="H71" s="80" t="str">
        <x:f>IF($A71&lt;&gt;"Yes","Disabled",IF($B71="","Missing Location ID",IF(COUNTIFS(Locations!$C$5:$C$64,$B71,Locations!$A$5:$A$64,"Yes")=0,"Location not enabled",IF($C71="","Missing Rule Type",IF(AND($C71="Field Match",$D71=""),"Missing field",IF($F71="","Missing match/expression",IF($G71="","Invalid rule","OK")))))))</x:f>
        <x:v>Disabled</x:v>
      </x:c>
      <x:c r="I71" s="79" t="str"/>
      <x:c r="J71" s="118" t="str">
        <x:f>IF(H71="OK",B71&amp;"|"&amp;TEXT(COUNTIFS($B$5:B71,$B71,$H$5:H71,"OK"),"000"),"")</x:f>
      </x:c>
      <x:c r="K71" s="118" t="str">
        <x:f>IF(J71="","",IF(COUNTIFS($B$5:B71,$B71,$H$5:H71,"OK")=1,G71,IFERROR(VLOOKUP($B71&amp;"|"&amp;TEXT(COUNTIFS($B$5:B71,$B71,$H$5:H71,"OK")-1,"000"),$J$5:K70,2,FALSE),"")&amp;" OR "&amp;G71))</x:f>
      </x:c>
      <x:c r="L71" t="str">
        <x:f>IFERROR(VLOOKUP("LOCINPUT|"&amp;TEXT(ROW()-4,"000"),Locations!$W$5:$X$64,2,FALSE),"")</x:f>
      </x:c>
    </x:row>
    <x:row r="72">
      <x:c r="A72" s="79" t="str">
        <x:v>No</x:v>
      </x:c>
      <x:c r="B72" s="79" t="str"/>
      <x:c r="C72" s="79" t="str">
        <x:v>Field Match</x:v>
      </x:c>
      <x:c r="D72" s="79" t="str">
        <x:v>host</x:v>
      </x:c>
      <x:c r="E72" s="174" t="str">
        <x:v>=</x:v>
      </x:c>
      <x:c r="F72" s="79" t="str"/>
      <x:c r="G72" s="80" t="str">
        <x:f>IF($A72&lt;&gt;"Yes","",IF($C72="Raw SPL",$F72,IF(OR($D72="",$F72=""),"",$D72&amp;IF($E72="","=",$E72)&amp;CHAR(34)&amp;$F72&amp;CHAR(34))))</x:f>
      </x:c>
      <x:c r="H72" s="80" t="str">
        <x:f>IF($A72&lt;&gt;"Yes","Disabled",IF($B72="","Missing Location ID",IF(COUNTIFS(Locations!$C$5:$C$64,$B72,Locations!$A$5:$A$64,"Yes")=0,"Location not enabled",IF($C72="","Missing Rule Type",IF(AND($C72="Field Match",$D72=""),"Missing field",IF($F72="","Missing match/expression",IF($G72="","Invalid rule","OK")))))))</x:f>
        <x:v>Disabled</x:v>
      </x:c>
      <x:c r="I72" s="79" t="str"/>
      <x:c r="J72" s="118" t="str">
        <x:f>IF(H72="OK",B72&amp;"|"&amp;TEXT(COUNTIFS($B$5:B72,$B72,$H$5:H72,"OK"),"000"),"")</x:f>
      </x:c>
      <x:c r="K72" s="118" t="str">
        <x:f>IF(J72="","",IF(COUNTIFS($B$5:B72,$B72,$H$5:H72,"OK")=1,G72,IFERROR(VLOOKUP($B72&amp;"|"&amp;TEXT(COUNTIFS($B$5:B72,$B72,$H$5:H72,"OK")-1,"000"),$J$5:K71,2,FALSE),"")&amp;" OR "&amp;G72))</x:f>
      </x:c>
      <x:c r="L72" t="str">
        <x:f>IFERROR(VLOOKUP("LOCINPUT|"&amp;TEXT(ROW()-4,"000"),Locations!$W$5:$X$64,2,FALSE),"")</x:f>
      </x:c>
    </x:row>
    <x:row r="73">
      <x:c r="A73" s="79" t="str">
        <x:v>No</x:v>
      </x:c>
      <x:c r="B73" s="79" t="str"/>
      <x:c r="C73" s="79" t="str">
        <x:v>Field Match</x:v>
      </x:c>
      <x:c r="D73" s="79" t="str">
        <x:v>host</x:v>
      </x:c>
      <x:c r="E73" s="174" t="str">
        <x:v>=</x:v>
      </x:c>
      <x:c r="F73" s="79" t="str"/>
      <x:c r="G73" s="80" t="str">
        <x:f>IF($A73&lt;&gt;"Yes","",IF($C73="Raw SPL",$F73,IF(OR($D73="",$F73=""),"",$D73&amp;IF($E73="","=",$E73)&amp;CHAR(34)&amp;$F73&amp;CHAR(34))))</x:f>
      </x:c>
      <x:c r="H73" s="80" t="str">
        <x:f>IF($A73&lt;&gt;"Yes","Disabled",IF($B73="","Missing Location ID",IF(COUNTIFS(Locations!$C$5:$C$64,$B73,Locations!$A$5:$A$64,"Yes")=0,"Location not enabled",IF($C73="","Missing Rule Type",IF(AND($C73="Field Match",$D73=""),"Missing field",IF($F73="","Missing match/expression",IF($G73="","Invalid rule","OK")))))))</x:f>
        <x:v>Disabled</x:v>
      </x:c>
      <x:c r="I73" s="79" t="str"/>
      <x:c r="J73" s="118" t="str">
        <x:f>IF(H73="OK",B73&amp;"|"&amp;TEXT(COUNTIFS($B$5:B73,$B73,$H$5:H73,"OK"),"000"),"")</x:f>
      </x:c>
      <x:c r="K73" s="118" t="str">
        <x:f>IF(J73="","",IF(COUNTIFS($B$5:B73,$B73,$H$5:H73,"OK")=1,G73,IFERROR(VLOOKUP($B73&amp;"|"&amp;TEXT(COUNTIFS($B$5:B73,$B73,$H$5:H73,"OK")-1,"000"),$J$5:K72,2,FALSE),"")&amp;" OR "&amp;G73))</x:f>
      </x:c>
      <x:c r="L73" t="str">
        <x:f>IFERROR(VLOOKUP("LOCINPUT|"&amp;TEXT(ROW()-4,"000"),Locations!$W$5:$X$64,2,FALSE),"")</x:f>
      </x:c>
    </x:row>
    <x:row r="74">
      <x:c r="A74" s="79" t="str">
        <x:v>No</x:v>
      </x:c>
      <x:c r="B74" s="79" t="str"/>
      <x:c r="C74" s="79" t="str">
        <x:v>Field Match</x:v>
      </x:c>
      <x:c r="D74" s="79" t="str">
        <x:v>host</x:v>
      </x:c>
      <x:c r="E74" s="174" t="str">
        <x:v>=</x:v>
      </x:c>
      <x:c r="F74" s="79" t="str"/>
      <x:c r="G74" s="80" t="str">
        <x:f>IF($A74&lt;&gt;"Yes","",IF($C74="Raw SPL",$F74,IF(OR($D74="",$F74=""),"",$D74&amp;IF($E74="","=",$E74)&amp;CHAR(34)&amp;$F74&amp;CHAR(34))))</x:f>
      </x:c>
      <x:c r="H74" s="80" t="str">
        <x:f>IF($A74&lt;&gt;"Yes","Disabled",IF($B74="","Missing Location ID",IF(COUNTIFS(Locations!$C$5:$C$64,$B74,Locations!$A$5:$A$64,"Yes")=0,"Location not enabled",IF($C74="","Missing Rule Type",IF(AND($C74="Field Match",$D74=""),"Missing field",IF($F74="","Missing match/expression",IF($G74="","Invalid rule","OK")))))))</x:f>
        <x:v>Disabled</x:v>
      </x:c>
      <x:c r="I74" s="79" t="str"/>
      <x:c r="J74" s="118" t="str">
        <x:f>IF(H74="OK",B74&amp;"|"&amp;TEXT(COUNTIFS($B$5:B74,$B74,$H$5:H74,"OK"),"000"),"")</x:f>
      </x:c>
      <x:c r="K74" s="118" t="str">
        <x:f>IF(J74="","",IF(COUNTIFS($B$5:B74,$B74,$H$5:H74,"OK")=1,G74,IFERROR(VLOOKUP($B74&amp;"|"&amp;TEXT(COUNTIFS($B$5:B74,$B74,$H$5:H74,"OK")-1,"000"),$J$5:K73,2,FALSE),"")&amp;" OR "&amp;G74))</x:f>
      </x:c>
      <x:c r="L74" t="str">
        <x:f>IFERROR(VLOOKUP("LOCINPUT|"&amp;TEXT(ROW()-4,"000"),Locations!$W$5:$X$64,2,FALSE),"")</x:f>
      </x:c>
    </x:row>
    <x:row r="75">
      <x:c r="A75" s="79" t="str">
        <x:v>No</x:v>
      </x:c>
      <x:c r="B75" s="79" t="str"/>
      <x:c r="C75" s="79" t="str">
        <x:v>Field Match</x:v>
      </x:c>
      <x:c r="D75" s="79" t="str">
        <x:v>host</x:v>
      </x:c>
      <x:c r="E75" s="174" t="str">
        <x:v>=</x:v>
      </x:c>
      <x:c r="F75" s="79" t="str"/>
      <x:c r="G75" s="80" t="str">
        <x:f>IF($A75&lt;&gt;"Yes","",IF($C75="Raw SPL",$F75,IF(OR($D75="",$F75=""),"",$D75&amp;IF($E75="","=",$E75)&amp;CHAR(34)&amp;$F75&amp;CHAR(34))))</x:f>
      </x:c>
      <x:c r="H75" s="80" t="str">
        <x:f>IF($A75&lt;&gt;"Yes","Disabled",IF($B75="","Missing Location ID",IF(COUNTIFS(Locations!$C$5:$C$64,$B75,Locations!$A$5:$A$64,"Yes")=0,"Location not enabled",IF($C75="","Missing Rule Type",IF(AND($C75="Field Match",$D75=""),"Missing field",IF($F75="","Missing match/expression",IF($G75="","Invalid rule","OK")))))))</x:f>
        <x:v>Disabled</x:v>
      </x:c>
      <x:c r="I75" s="79" t="str"/>
      <x:c r="J75" s="118" t="str">
        <x:f>IF(H75="OK",B75&amp;"|"&amp;TEXT(COUNTIFS($B$5:B75,$B75,$H$5:H75,"OK"),"000"),"")</x:f>
      </x:c>
      <x:c r="K75" s="118" t="str">
        <x:f>IF(J75="","",IF(COUNTIFS($B$5:B75,$B75,$H$5:H75,"OK")=1,G75,IFERROR(VLOOKUP($B75&amp;"|"&amp;TEXT(COUNTIFS($B$5:B75,$B75,$H$5:H75,"OK")-1,"000"),$J$5:K74,2,FALSE),"")&amp;" OR "&amp;G75))</x:f>
      </x:c>
      <x:c r="L75" t="str">
        <x:f>IFERROR(VLOOKUP("LOCINPUT|"&amp;TEXT(ROW()-4,"000"),Locations!$W$5:$X$64,2,FALSE),"")</x:f>
      </x:c>
    </x:row>
    <x:row r="76">
      <x:c r="A76" s="79" t="str">
        <x:v>No</x:v>
      </x:c>
      <x:c r="B76" s="79" t="str"/>
      <x:c r="C76" s="79" t="str">
        <x:v>Field Match</x:v>
      </x:c>
      <x:c r="D76" s="79" t="str">
        <x:v>host</x:v>
      </x:c>
      <x:c r="E76" s="174" t="str">
        <x:v>=</x:v>
      </x:c>
      <x:c r="F76" s="79" t="str"/>
      <x:c r="G76" s="80" t="str">
        <x:f>IF($A76&lt;&gt;"Yes","",IF($C76="Raw SPL",$F76,IF(OR($D76="",$F76=""),"",$D76&amp;IF($E76="","=",$E76)&amp;CHAR(34)&amp;$F76&amp;CHAR(34))))</x:f>
      </x:c>
      <x:c r="H76" s="80" t="str">
        <x:f>IF($A76&lt;&gt;"Yes","Disabled",IF($B76="","Missing Location ID",IF(COUNTIFS(Locations!$C$5:$C$64,$B76,Locations!$A$5:$A$64,"Yes")=0,"Location not enabled",IF($C76="","Missing Rule Type",IF(AND($C76="Field Match",$D76=""),"Missing field",IF($F76="","Missing match/expression",IF($G76="","Invalid rule","OK")))))))</x:f>
        <x:v>Disabled</x:v>
      </x:c>
      <x:c r="I76" s="79" t="str"/>
      <x:c r="J76" s="118" t="str">
        <x:f>IF(H76="OK",B76&amp;"|"&amp;TEXT(COUNTIFS($B$5:B76,$B76,$H$5:H76,"OK"),"000"),"")</x:f>
      </x:c>
      <x:c r="K76" s="118" t="str">
        <x:f>IF(J76="","",IF(COUNTIFS($B$5:B76,$B76,$H$5:H76,"OK")=1,G76,IFERROR(VLOOKUP($B76&amp;"|"&amp;TEXT(COUNTIFS($B$5:B76,$B76,$H$5:H76,"OK")-1,"000"),$J$5:K75,2,FALSE),"")&amp;" OR "&amp;G76))</x:f>
      </x:c>
      <x:c r="L76" t="str">
        <x:f>IFERROR(VLOOKUP("LOCINPUT|"&amp;TEXT(ROW()-4,"000"),Locations!$W$5:$X$64,2,FALSE),"")</x:f>
      </x:c>
    </x:row>
    <x:row r="77">
      <x:c r="A77" s="79" t="str">
        <x:v>No</x:v>
      </x:c>
      <x:c r="B77" s="79" t="str"/>
      <x:c r="C77" s="79" t="str">
        <x:v>Field Match</x:v>
      </x:c>
      <x:c r="D77" s="79" t="str">
        <x:v>host</x:v>
      </x:c>
      <x:c r="E77" s="174" t="str">
        <x:v>=</x:v>
      </x:c>
      <x:c r="F77" s="79" t="str"/>
      <x:c r="G77" s="80" t="str">
        <x:f>IF($A77&lt;&gt;"Yes","",IF($C77="Raw SPL",$F77,IF(OR($D77="",$F77=""),"",$D77&amp;IF($E77="","=",$E77)&amp;CHAR(34)&amp;$F77&amp;CHAR(34))))</x:f>
      </x:c>
      <x:c r="H77" s="80" t="str">
        <x:f>IF($A77&lt;&gt;"Yes","Disabled",IF($B77="","Missing Location ID",IF(COUNTIFS(Locations!$C$5:$C$64,$B77,Locations!$A$5:$A$64,"Yes")=0,"Location not enabled",IF($C77="","Missing Rule Type",IF(AND($C77="Field Match",$D77=""),"Missing field",IF($F77="","Missing match/expression",IF($G77="","Invalid rule","OK")))))))</x:f>
        <x:v>Disabled</x:v>
      </x:c>
      <x:c r="I77" s="79" t="str"/>
      <x:c r="J77" s="118" t="str">
        <x:f>IF(H77="OK",B77&amp;"|"&amp;TEXT(COUNTIFS($B$5:B77,$B77,$H$5:H77,"OK"),"000"),"")</x:f>
      </x:c>
      <x:c r="K77" s="118" t="str">
        <x:f>IF(J77="","",IF(COUNTIFS($B$5:B77,$B77,$H$5:H77,"OK")=1,G77,IFERROR(VLOOKUP($B77&amp;"|"&amp;TEXT(COUNTIFS($B$5:B77,$B77,$H$5:H77,"OK")-1,"000"),$J$5:K76,2,FALSE),"")&amp;" OR "&amp;G77))</x:f>
      </x:c>
      <x:c r="L77" t="str">
        <x:f>IFERROR(VLOOKUP("LOCINPUT|"&amp;TEXT(ROW()-4,"000"),Locations!$W$5:$X$64,2,FALSE),"")</x:f>
      </x:c>
    </x:row>
    <x:row r="78">
      <x:c r="A78" s="79" t="str">
        <x:v>No</x:v>
      </x:c>
      <x:c r="B78" s="79" t="str"/>
      <x:c r="C78" s="79" t="str">
        <x:v>Field Match</x:v>
      </x:c>
      <x:c r="D78" s="79" t="str">
        <x:v>host</x:v>
      </x:c>
      <x:c r="E78" s="174" t="str">
        <x:v>=</x:v>
      </x:c>
      <x:c r="F78" s="79" t="str"/>
      <x:c r="G78" s="80" t="str">
        <x:f>IF($A78&lt;&gt;"Yes","",IF($C78="Raw SPL",$F78,IF(OR($D78="",$F78=""),"",$D78&amp;IF($E78="","=",$E78)&amp;CHAR(34)&amp;$F78&amp;CHAR(34))))</x:f>
      </x:c>
      <x:c r="H78" s="80" t="str">
        <x:f>IF($A78&lt;&gt;"Yes","Disabled",IF($B78="","Missing Location ID",IF(COUNTIFS(Locations!$C$5:$C$64,$B78,Locations!$A$5:$A$64,"Yes")=0,"Location not enabled",IF($C78="","Missing Rule Type",IF(AND($C78="Field Match",$D78=""),"Missing field",IF($F78="","Missing match/expression",IF($G78="","Invalid rule","OK")))))))</x:f>
        <x:v>Disabled</x:v>
      </x:c>
      <x:c r="I78" s="79" t="str"/>
      <x:c r="J78" s="118" t="str">
        <x:f>IF(H78="OK",B78&amp;"|"&amp;TEXT(COUNTIFS($B$5:B78,$B78,$H$5:H78,"OK"),"000"),"")</x:f>
      </x:c>
      <x:c r="K78" s="118" t="str">
        <x:f>IF(J78="","",IF(COUNTIFS($B$5:B78,$B78,$H$5:H78,"OK")=1,G78,IFERROR(VLOOKUP($B78&amp;"|"&amp;TEXT(COUNTIFS($B$5:B78,$B78,$H$5:H78,"OK")-1,"000"),$J$5:K77,2,FALSE),"")&amp;" OR "&amp;G78))</x:f>
      </x:c>
      <x:c r="L78" t="str">
        <x:f>IFERROR(VLOOKUP("LOCINPUT|"&amp;TEXT(ROW()-4,"000"),Locations!$W$5:$X$64,2,FALSE),"")</x:f>
      </x:c>
    </x:row>
    <x:row r="79">
      <x:c r="A79" s="79" t="str">
        <x:v>No</x:v>
      </x:c>
      <x:c r="B79" s="79" t="str"/>
      <x:c r="C79" s="79" t="str">
        <x:v>Field Match</x:v>
      </x:c>
      <x:c r="D79" s="79" t="str">
        <x:v>host</x:v>
      </x:c>
      <x:c r="E79" s="174" t="str">
        <x:v>=</x:v>
      </x:c>
      <x:c r="F79" s="79" t="str"/>
      <x:c r="G79" s="80" t="str">
        <x:f>IF($A79&lt;&gt;"Yes","",IF($C79="Raw SPL",$F79,IF(OR($D79="",$F79=""),"",$D79&amp;IF($E79="","=",$E79)&amp;CHAR(34)&amp;$F79&amp;CHAR(34))))</x:f>
      </x:c>
      <x:c r="H79" s="80" t="str">
        <x:f>IF($A79&lt;&gt;"Yes","Disabled",IF($B79="","Missing Location ID",IF(COUNTIFS(Locations!$C$5:$C$64,$B79,Locations!$A$5:$A$64,"Yes")=0,"Location not enabled",IF($C79="","Missing Rule Type",IF(AND($C79="Field Match",$D79=""),"Missing field",IF($F79="","Missing match/expression",IF($G79="","Invalid rule","OK")))))))</x:f>
        <x:v>Disabled</x:v>
      </x:c>
      <x:c r="I79" s="79" t="str"/>
      <x:c r="J79" s="118" t="str">
        <x:f>IF(H79="OK",B79&amp;"|"&amp;TEXT(COUNTIFS($B$5:B79,$B79,$H$5:H79,"OK"),"000"),"")</x:f>
      </x:c>
      <x:c r="K79" s="118" t="str">
        <x:f>IF(J79="","",IF(COUNTIFS($B$5:B79,$B79,$H$5:H79,"OK")=1,G79,IFERROR(VLOOKUP($B79&amp;"|"&amp;TEXT(COUNTIFS($B$5:B79,$B79,$H$5:H79,"OK")-1,"000"),$J$5:K78,2,FALSE),"")&amp;" OR "&amp;G79))</x:f>
      </x:c>
      <x:c r="L79" t="str">
        <x:f>IFERROR(VLOOKUP("LOCINPUT|"&amp;TEXT(ROW()-4,"000"),Locations!$W$5:$X$64,2,FALSE),"")</x:f>
      </x:c>
    </x:row>
    <x:row r="80">
      <x:c r="A80" s="79" t="str">
        <x:v>No</x:v>
      </x:c>
      <x:c r="B80" s="79" t="str"/>
      <x:c r="C80" s="79" t="str">
        <x:v>Field Match</x:v>
      </x:c>
      <x:c r="D80" s="79" t="str">
        <x:v>host</x:v>
      </x:c>
      <x:c r="E80" s="174" t="str">
        <x:v>=</x:v>
      </x:c>
      <x:c r="F80" s="79" t="str"/>
      <x:c r="G80" s="80" t="str">
        <x:f>IF($A80&lt;&gt;"Yes","",IF($C80="Raw SPL",$F80,IF(OR($D80="",$F80=""),"",$D80&amp;IF($E80="","=",$E80)&amp;CHAR(34)&amp;$F80&amp;CHAR(34))))</x:f>
      </x:c>
      <x:c r="H80" s="80" t="str">
        <x:f>IF($A80&lt;&gt;"Yes","Disabled",IF($B80="","Missing Location ID",IF(COUNTIFS(Locations!$C$5:$C$64,$B80,Locations!$A$5:$A$64,"Yes")=0,"Location not enabled",IF($C80="","Missing Rule Type",IF(AND($C80="Field Match",$D80=""),"Missing field",IF($F80="","Missing match/expression",IF($G80="","Invalid rule","OK")))))))</x:f>
        <x:v>Disabled</x:v>
      </x:c>
      <x:c r="I80" s="79" t="str"/>
      <x:c r="J80" s="118" t="str">
        <x:f>IF(H80="OK",B80&amp;"|"&amp;TEXT(COUNTIFS($B$5:B80,$B80,$H$5:H80,"OK"),"000"),"")</x:f>
      </x:c>
      <x:c r="K80" s="118" t="str">
        <x:f>IF(J80="","",IF(COUNTIFS($B$5:B80,$B80,$H$5:H80,"OK")=1,G80,IFERROR(VLOOKUP($B80&amp;"|"&amp;TEXT(COUNTIFS($B$5:B80,$B80,$H$5:H80,"OK")-1,"000"),$J$5:K79,2,FALSE),"")&amp;" OR "&amp;G80))</x:f>
      </x:c>
      <x:c r="L80" t="str">
        <x:f>IFERROR(VLOOKUP("LOCINPUT|"&amp;TEXT(ROW()-4,"000"),Locations!$W$5:$X$64,2,FALSE),"")</x:f>
      </x:c>
    </x:row>
    <x:row r="81">
      <x:c r="A81" s="79" t="str">
        <x:v>No</x:v>
      </x:c>
      <x:c r="B81" s="79" t="str"/>
      <x:c r="C81" s="79" t="str">
        <x:v>Field Match</x:v>
      </x:c>
      <x:c r="D81" s="79" t="str">
        <x:v>host</x:v>
      </x:c>
      <x:c r="E81" s="174" t="str">
        <x:v>=</x:v>
      </x:c>
      <x:c r="F81" s="79" t="str"/>
      <x:c r="G81" s="80" t="str">
        <x:f>IF($A81&lt;&gt;"Yes","",IF($C81="Raw SPL",$F81,IF(OR($D81="",$F81=""),"",$D81&amp;IF($E81="","=",$E81)&amp;CHAR(34)&amp;$F81&amp;CHAR(34))))</x:f>
      </x:c>
      <x:c r="H81" s="80" t="str">
        <x:f>IF($A81&lt;&gt;"Yes","Disabled",IF($B81="","Missing Location ID",IF(COUNTIFS(Locations!$C$5:$C$64,$B81,Locations!$A$5:$A$64,"Yes")=0,"Location not enabled",IF($C81="","Missing Rule Type",IF(AND($C81="Field Match",$D81=""),"Missing field",IF($F81="","Missing match/expression",IF($G81="","Invalid rule","OK")))))))</x:f>
        <x:v>Disabled</x:v>
      </x:c>
      <x:c r="I81" s="79" t="str"/>
      <x:c r="J81" s="118" t="str">
        <x:f>IF(H81="OK",B81&amp;"|"&amp;TEXT(COUNTIFS($B$5:B81,$B81,$H$5:H81,"OK"),"000"),"")</x:f>
      </x:c>
      <x:c r="K81" s="118" t="str">
        <x:f>IF(J81="","",IF(COUNTIFS($B$5:B81,$B81,$H$5:H81,"OK")=1,G81,IFERROR(VLOOKUP($B81&amp;"|"&amp;TEXT(COUNTIFS($B$5:B81,$B81,$H$5:H81,"OK")-1,"000"),$J$5:K80,2,FALSE),"")&amp;" OR "&amp;G81))</x:f>
      </x:c>
      <x:c r="L81" t="str">
        <x:f>IFERROR(VLOOKUP("LOCINPUT|"&amp;TEXT(ROW()-4,"000"),Locations!$W$5:$X$64,2,FALSE),"")</x:f>
      </x:c>
    </x:row>
    <x:row r="82">
      <x:c r="A82" s="79" t="str">
        <x:v>No</x:v>
      </x:c>
      <x:c r="B82" s="79" t="str"/>
      <x:c r="C82" s="79" t="str">
        <x:v>Field Match</x:v>
      </x:c>
      <x:c r="D82" s="79" t="str">
        <x:v>host</x:v>
      </x:c>
      <x:c r="E82" s="174" t="str">
        <x:v>=</x:v>
      </x:c>
      <x:c r="F82" s="79" t="str"/>
      <x:c r="G82" s="80" t="str">
        <x:f>IF($A82&lt;&gt;"Yes","",IF($C82="Raw SPL",$F82,IF(OR($D82="",$F82=""),"",$D82&amp;IF($E82="","=",$E82)&amp;CHAR(34)&amp;$F82&amp;CHAR(34))))</x:f>
      </x:c>
      <x:c r="H82" s="80" t="str">
        <x:f>IF($A82&lt;&gt;"Yes","Disabled",IF($B82="","Missing Location ID",IF(COUNTIFS(Locations!$C$5:$C$64,$B82,Locations!$A$5:$A$64,"Yes")=0,"Location not enabled",IF($C82="","Missing Rule Type",IF(AND($C82="Field Match",$D82=""),"Missing field",IF($F82="","Missing match/expression",IF($G82="","Invalid rule","OK")))))))</x:f>
        <x:v>Disabled</x:v>
      </x:c>
      <x:c r="I82" s="79" t="str"/>
      <x:c r="J82" s="118" t="str">
        <x:f>IF(H82="OK",B82&amp;"|"&amp;TEXT(COUNTIFS($B$5:B82,$B82,$H$5:H82,"OK"),"000"),"")</x:f>
      </x:c>
      <x:c r="K82" s="118" t="str">
        <x:f>IF(J82="","",IF(COUNTIFS($B$5:B82,$B82,$H$5:H82,"OK")=1,G82,IFERROR(VLOOKUP($B82&amp;"|"&amp;TEXT(COUNTIFS($B$5:B82,$B82,$H$5:H82,"OK")-1,"000"),$J$5:K81,2,FALSE),"")&amp;" OR "&amp;G82))</x:f>
      </x:c>
      <x:c r="L82" t="str">
        <x:f>IFERROR(VLOOKUP("LOCINPUT|"&amp;TEXT(ROW()-4,"000"),Locations!$W$5:$X$64,2,FALSE),"")</x:f>
      </x:c>
    </x:row>
    <x:row r="83">
      <x:c r="A83" s="79" t="str">
        <x:v>No</x:v>
      </x:c>
      <x:c r="B83" s="79" t="str"/>
      <x:c r="C83" s="79" t="str">
        <x:v>Field Match</x:v>
      </x:c>
      <x:c r="D83" s="79" t="str">
        <x:v>host</x:v>
      </x:c>
      <x:c r="E83" s="174" t="str">
        <x:v>=</x:v>
      </x:c>
      <x:c r="F83" s="79" t="str"/>
      <x:c r="G83" s="80" t="str">
        <x:f>IF($A83&lt;&gt;"Yes","",IF($C83="Raw SPL",$F83,IF(OR($D83="",$F83=""),"",$D83&amp;IF($E83="","=",$E83)&amp;CHAR(34)&amp;$F83&amp;CHAR(34))))</x:f>
      </x:c>
      <x:c r="H83" s="80" t="str">
        <x:f>IF($A83&lt;&gt;"Yes","Disabled",IF($B83="","Missing Location ID",IF(COUNTIFS(Locations!$C$5:$C$64,$B83,Locations!$A$5:$A$64,"Yes")=0,"Location not enabled",IF($C83="","Missing Rule Type",IF(AND($C83="Field Match",$D83=""),"Missing field",IF($F83="","Missing match/expression",IF($G83="","Invalid rule","OK")))))))</x:f>
        <x:v>Disabled</x:v>
      </x:c>
      <x:c r="I83" s="79" t="str"/>
      <x:c r="J83" s="118" t="str">
        <x:f>IF(H83="OK",B83&amp;"|"&amp;TEXT(COUNTIFS($B$5:B83,$B83,$H$5:H83,"OK"),"000"),"")</x:f>
      </x:c>
      <x:c r="K83" s="118" t="str">
        <x:f>IF(J83="","",IF(COUNTIFS($B$5:B83,$B83,$H$5:H83,"OK")=1,G83,IFERROR(VLOOKUP($B83&amp;"|"&amp;TEXT(COUNTIFS($B$5:B83,$B83,$H$5:H83,"OK")-1,"000"),$J$5:K82,2,FALSE),"")&amp;" OR "&amp;G83))</x:f>
      </x:c>
      <x:c r="L83" t="str">
        <x:f>IFERROR(VLOOKUP("LOCINPUT|"&amp;TEXT(ROW()-4,"000"),Locations!$W$5:$X$64,2,FALSE),"")</x:f>
      </x:c>
    </x:row>
    <x:row r="84">
      <x:c r="A84" s="79" t="str">
        <x:v>No</x:v>
      </x:c>
      <x:c r="B84" s="79" t="str"/>
      <x:c r="C84" s="79" t="str">
        <x:v>Field Match</x:v>
      </x:c>
      <x:c r="D84" s="79" t="str">
        <x:v>host</x:v>
      </x:c>
      <x:c r="E84" s="174" t="str">
        <x:v>=</x:v>
      </x:c>
      <x:c r="F84" s="79" t="str"/>
      <x:c r="G84" s="80" t="str">
        <x:f>IF($A84&lt;&gt;"Yes","",IF($C84="Raw SPL",$F84,IF(OR($D84="",$F84=""),"",$D84&amp;IF($E84="","=",$E84)&amp;CHAR(34)&amp;$F84&amp;CHAR(34))))</x:f>
      </x:c>
      <x:c r="H84" s="80" t="str">
        <x:f>IF($A84&lt;&gt;"Yes","Disabled",IF($B84="","Missing Location ID",IF(COUNTIFS(Locations!$C$5:$C$64,$B84,Locations!$A$5:$A$64,"Yes")=0,"Location not enabled",IF($C84="","Missing Rule Type",IF(AND($C84="Field Match",$D84=""),"Missing field",IF($F84="","Missing match/expression",IF($G84="","Invalid rule","OK")))))))</x:f>
        <x:v>Disabled</x:v>
      </x:c>
      <x:c r="I84" s="79" t="str"/>
      <x:c r="J84" s="118" t="str">
        <x:f>IF(H84="OK",B84&amp;"|"&amp;TEXT(COUNTIFS($B$5:B84,$B84,$H$5:H84,"OK"),"000"),"")</x:f>
      </x:c>
      <x:c r="K84" s="118" t="str">
        <x:f>IF(J84="","",IF(COUNTIFS($B$5:B84,$B84,$H$5:H84,"OK")=1,G84,IFERROR(VLOOKUP($B84&amp;"|"&amp;TEXT(COUNTIFS($B$5:B84,$B84,$H$5:H84,"OK")-1,"000"),$J$5:K83,2,FALSE),"")&amp;" OR "&amp;G84))</x:f>
      </x:c>
      <x:c r="L84" t="str">
        <x:f>IFERROR(VLOOKUP("LOCINPUT|"&amp;TEXT(ROW()-4,"000"),Locations!$W$5:$X$64,2,FALSE),"")</x:f>
      </x:c>
    </x:row>
    <x:row r="85">
      <x:c r="A85" s="79" t="str">
        <x:v>No</x:v>
      </x:c>
      <x:c r="B85" s="79" t="str"/>
      <x:c r="C85" s="79" t="str">
        <x:v>Field Match</x:v>
      </x:c>
      <x:c r="D85" s="79" t="str">
        <x:v>host</x:v>
      </x:c>
      <x:c r="E85" s="174" t="str">
        <x:v>=</x:v>
      </x:c>
      <x:c r="F85" s="79" t="str"/>
      <x:c r="G85" s="80" t="str">
        <x:f>IF($A85&lt;&gt;"Yes","",IF($C85="Raw SPL",$F85,IF(OR($D85="",$F85=""),"",$D85&amp;IF($E85="","=",$E85)&amp;CHAR(34)&amp;$F85&amp;CHAR(34))))</x:f>
      </x:c>
      <x:c r="H85" s="80" t="str">
        <x:f>IF($A85&lt;&gt;"Yes","Disabled",IF($B85="","Missing Location ID",IF(COUNTIFS(Locations!$C$5:$C$64,$B85,Locations!$A$5:$A$64,"Yes")=0,"Location not enabled",IF($C85="","Missing Rule Type",IF(AND($C85="Field Match",$D85=""),"Missing field",IF($F85="","Missing match/expression",IF($G85="","Invalid rule","OK")))))))</x:f>
        <x:v>Disabled</x:v>
      </x:c>
      <x:c r="I85" s="79" t="str"/>
      <x:c r="J85" s="118" t="str">
        <x:f>IF(H85="OK",B85&amp;"|"&amp;TEXT(COUNTIFS($B$5:B85,$B85,$H$5:H85,"OK"),"000"),"")</x:f>
      </x:c>
      <x:c r="K85" s="118" t="str">
        <x:f>IF(J85="","",IF(COUNTIFS($B$5:B85,$B85,$H$5:H85,"OK")=1,G85,IFERROR(VLOOKUP($B85&amp;"|"&amp;TEXT(COUNTIFS($B$5:B85,$B85,$H$5:H85,"OK")-1,"000"),$J$5:K84,2,FALSE),"")&amp;" OR "&amp;G85))</x:f>
      </x:c>
      <x:c r="L85" t="str">
        <x:f>IFERROR(VLOOKUP("LOCINPUT|"&amp;TEXT(ROW()-4,"000"),Locations!$W$5:$X$64,2,FALSE),"")</x:f>
      </x:c>
    </x:row>
    <x:row r="86">
      <x:c r="A86" s="79" t="str">
        <x:v>No</x:v>
      </x:c>
      <x:c r="B86" s="79" t="str"/>
      <x:c r="C86" s="79" t="str">
        <x:v>Field Match</x:v>
      </x:c>
      <x:c r="D86" s="79" t="str">
        <x:v>host</x:v>
      </x:c>
      <x:c r="E86" s="174" t="str">
        <x:v>=</x:v>
      </x:c>
      <x:c r="F86" s="79" t="str"/>
      <x:c r="G86" s="80" t="str">
        <x:f>IF($A86&lt;&gt;"Yes","",IF($C86="Raw SPL",$F86,IF(OR($D86="",$F86=""),"",$D86&amp;IF($E86="","=",$E86)&amp;CHAR(34)&amp;$F86&amp;CHAR(34))))</x:f>
      </x:c>
      <x:c r="H86" s="80" t="str">
        <x:f>IF($A86&lt;&gt;"Yes","Disabled",IF($B86="","Missing Location ID",IF(COUNTIFS(Locations!$C$5:$C$64,$B86,Locations!$A$5:$A$64,"Yes")=0,"Location not enabled",IF($C86="","Missing Rule Type",IF(AND($C86="Field Match",$D86=""),"Missing field",IF($F86="","Missing match/expression",IF($G86="","Invalid rule","OK")))))))</x:f>
        <x:v>Disabled</x:v>
      </x:c>
      <x:c r="I86" s="79" t="str"/>
      <x:c r="J86" s="118" t="str">
        <x:f>IF(H86="OK",B86&amp;"|"&amp;TEXT(COUNTIFS($B$5:B86,$B86,$H$5:H86,"OK"),"000"),"")</x:f>
      </x:c>
      <x:c r="K86" s="118" t="str">
        <x:f>IF(J86="","",IF(COUNTIFS($B$5:B86,$B86,$H$5:H86,"OK")=1,G86,IFERROR(VLOOKUP($B86&amp;"|"&amp;TEXT(COUNTIFS($B$5:B86,$B86,$H$5:H86,"OK")-1,"000"),$J$5:K85,2,FALSE),"")&amp;" OR "&amp;G86))</x:f>
      </x:c>
      <x:c r="L86" t="str">
        <x:f>IFERROR(VLOOKUP("LOCINPUT|"&amp;TEXT(ROW()-4,"000"),Locations!$W$5:$X$64,2,FALSE),"")</x:f>
      </x:c>
    </x:row>
    <x:row r="87">
      <x:c r="A87" s="79" t="str">
        <x:v>No</x:v>
      </x:c>
      <x:c r="B87" s="79" t="str"/>
      <x:c r="C87" s="79" t="str">
        <x:v>Field Match</x:v>
      </x:c>
      <x:c r="D87" s="79" t="str">
        <x:v>host</x:v>
      </x:c>
      <x:c r="E87" s="174" t="str">
        <x:v>=</x:v>
      </x:c>
      <x:c r="F87" s="79" t="str"/>
      <x:c r="G87" s="80" t="str">
        <x:f>IF($A87&lt;&gt;"Yes","",IF($C87="Raw SPL",$F87,IF(OR($D87="",$F87=""),"",$D87&amp;IF($E87="","=",$E87)&amp;CHAR(34)&amp;$F87&amp;CHAR(34))))</x:f>
      </x:c>
      <x:c r="H87" s="80" t="str">
        <x:f>IF($A87&lt;&gt;"Yes","Disabled",IF($B87="","Missing Location ID",IF(COUNTIFS(Locations!$C$5:$C$64,$B87,Locations!$A$5:$A$64,"Yes")=0,"Location not enabled",IF($C87="","Missing Rule Type",IF(AND($C87="Field Match",$D87=""),"Missing field",IF($F87="","Missing match/expression",IF($G87="","Invalid rule","OK")))))))</x:f>
        <x:v>Disabled</x:v>
      </x:c>
      <x:c r="I87" s="79" t="str"/>
      <x:c r="J87" s="118" t="str">
        <x:f>IF(H87="OK",B87&amp;"|"&amp;TEXT(COUNTIFS($B$5:B87,$B87,$H$5:H87,"OK"),"000"),"")</x:f>
      </x:c>
      <x:c r="K87" s="118" t="str">
        <x:f>IF(J87="","",IF(COUNTIFS($B$5:B87,$B87,$H$5:H87,"OK")=1,G87,IFERROR(VLOOKUP($B87&amp;"|"&amp;TEXT(COUNTIFS($B$5:B87,$B87,$H$5:H87,"OK")-1,"000"),$J$5:K86,2,FALSE),"")&amp;" OR "&amp;G87))</x:f>
      </x:c>
      <x:c r="L87" t="str">
        <x:f>IFERROR(VLOOKUP("LOCINPUT|"&amp;TEXT(ROW()-4,"000"),Locations!$W$5:$X$64,2,FALSE),"")</x:f>
      </x:c>
    </x:row>
    <x:row r="88">
      <x:c r="A88" s="79" t="str">
        <x:v>No</x:v>
      </x:c>
      <x:c r="B88" s="79" t="str"/>
      <x:c r="C88" s="79" t="str">
        <x:v>Field Match</x:v>
      </x:c>
      <x:c r="D88" s="79" t="str">
        <x:v>host</x:v>
      </x:c>
      <x:c r="E88" s="174" t="str">
        <x:v>=</x:v>
      </x:c>
      <x:c r="F88" s="79" t="str"/>
      <x:c r="G88" s="80" t="str">
        <x:f>IF($A88&lt;&gt;"Yes","",IF($C88="Raw SPL",$F88,IF(OR($D88="",$F88=""),"",$D88&amp;IF($E88="","=",$E88)&amp;CHAR(34)&amp;$F88&amp;CHAR(34))))</x:f>
      </x:c>
      <x:c r="H88" s="80" t="str">
        <x:f>IF($A88&lt;&gt;"Yes","Disabled",IF($B88="","Missing Location ID",IF(COUNTIFS(Locations!$C$5:$C$64,$B88,Locations!$A$5:$A$64,"Yes")=0,"Location not enabled",IF($C88="","Missing Rule Type",IF(AND($C88="Field Match",$D88=""),"Missing field",IF($F88="","Missing match/expression",IF($G88="","Invalid rule","OK")))))))</x:f>
        <x:v>Disabled</x:v>
      </x:c>
      <x:c r="I88" s="79" t="str"/>
      <x:c r="J88" s="118" t="str">
        <x:f>IF(H88="OK",B88&amp;"|"&amp;TEXT(COUNTIFS($B$5:B88,$B88,$H$5:H88,"OK"),"000"),"")</x:f>
      </x:c>
      <x:c r="K88" s="118" t="str">
        <x:f>IF(J88="","",IF(COUNTIFS($B$5:B88,$B88,$H$5:H88,"OK")=1,G88,IFERROR(VLOOKUP($B88&amp;"|"&amp;TEXT(COUNTIFS($B$5:B88,$B88,$H$5:H88,"OK")-1,"000"),$J$5:K87,2,FALSE),"")&amp;" OR "&amp;G88))</x:f>
      </x:c>
      <x:c r="L88" t="str">
        <x:f>IFERROR(VLOOKUP("LOCINPUT|"&amp;TEXT(ROW()-4,"000"),Locations!$W$5:$X$64,2,FALSE),"")</x:f>
      </x:c>
    </x:row>
    <x:row r="89">
      <x:c r="A89" s="79" t="str">
        <x:v>No</x:v>
      </x:c>
      <x:c r="B89" s="79" t="str"/>
      <x:c r="C89" s="79" t="str">
        <x:v>Field Match</x:v>
      </x:c>
      <x:c r="D89" s="79" t="str">
        <x:v>host</x:v>
      </x:c>
      <x:c r="E89" s="174" t="str">
        <x:v>=</x:v>
      </x:c>
      <x:c r="F89" s="79" t="str"/>
      <x:c r="G89" s="80" t="str">
        <x:f>IF($A89&lt;&gt;"Yes","",IF($C89="Raw SPL",$F89,IF(OR($D89="",$F89=""),"",$D89&amp;IF($E89="","=",$E89)&amp;CHAR(34)&amp;$F89&amp;CHAR(34))))</x:f>
      </x:c>
      <x:c r="H89" s="80" t="str">
        <x:f>IF($A89&lt;&gt;"Yes","Disabled",IF($B89="","Missing Location ID",IF(COUNTIFS(Locations!$C$5:$C$64,$B89,Locations!$A$5:$A$64,"Yes")=0,"Location not enabled",IF($C89="","Missing Rule Type",IF(AND($C89="Field Match",$D89=""),"Missing field",IF($F89="","Missing match/expression",IF($G89="","Invalid rule","OK")))))))</x:f>
        <x:v>Disabled</x:v>
      </x:c>
      <x:c r="I89" s="79" t="str"/>
      <x:c r="J89" s="118" t="str">
        <x:f>IF(H89="OK",B89&amp;"|"&amp;TEXT(COUNTIFS($B$5:B89,$B89,$H$5:H89,"OK"),"000"),"")</x:f>
      </x:c>
      <x:c r="K89" s="118" t="str">
        <x:f>IF(J89="","",IF(COUNTIFS($B$5:B89,$B89,$H$5:H89,"OK")=1,G89,IFERROR(VLOOKUP($B89&amp;"|"&amp;TEXT(COUNTIFS($B$5:B89,$B89,$H$5:H89,"OK")-1,"000"),$J$5:K88,2,FALSE),"")&amp;" OR "&amp;G89))</x:f>
      </x:c>
      <x:c r="L89" t="str">
        <x:f>IFERROR(VLOOKUP("LOCINPUT|"&amp;TEXT(ROW()-4,"000"),Locations!$W$5:$X$64,2,FALSE),"")</x:f>
      </x:c>
    </x:row>
    <x:row r="90">
      <x:c r="A90" s="79" t="str">
        <x:v>No</x:v>
      </x:c>
      <x:c r="B90" s="79" t="str"/>
      <x:c r="C90" s="79" t="str">
        <x:v>Field Match</x:v>
      </x:c>
      <x:c r="D90" s="79" t="str">
        <x:v>host</x:v>
      </x:c>
      <x:c r="E90" s="174" t="str">
        <x:v>=</x:v>
      </x:c>
      <x:c r="F90" s="79" t="str"/>
      <x:c r="G90" s="80" t="str">
        <x:f>IF($A90&lt;&gt;"Yes","",IF($C90="Raw SPL",$F90,IF(OR($D90="",$F90=""),"",$D90&amp;IF($E90="","=",$E90)&amp;CHAR(34)&amp;$F90&amp;CHAR(34))))</x:f>
      </x:c>
      <x:c r="H90" s="80" t="str">
        <x:f>IF($A90&lt;&gt;"Yes","Disabled",IF($B90="","Missing Location ID",IF(COUNTIFS(Locations!$C$5:$C$64,$B90,Locations!$A$5:$A$64,"Yes")=0,"Location not enabled",IF($C90="","Missing Rule Type",IF(AND($C90="Field Match",$D90=""),"Missing field",IF($F90="","Missing match/expression",IF($G90="","Invalid rule","OK")))))))</x:f>
        <x:v>Disabled</x:v>
      </x:c>
      <x:c r="I90" s="79" t="str"/>
      <x:c r="J90" s="118" t="str">
        <x:f>IF(H90="OK",B90&amp;"|"&amp;TEXT(COUNTIFS($B$5:B90,$B90,$H$5:H90,"OK"),"000"),"")</x:f>
      </x:c>
      <x:c r="K90" s="118" t="str">
        <x:f>IF(J90="","",IF(COUNTIFS($B$5:B90,$B90,$H$5:H90,"OK")=1,G90,IFERROR(VLOOKUP($B90&amp;"|"&amp;TEXT(COUNTIFS($B$5:B90,$B90,$H$5:H90,"OK")-1,"000"),$J$5:K89,2,FALSE),"")&amp;" OR "&amp;G90))</x:f>
      </x:c>
      <x:c r="L90" t="str">
        <x:f>IFERROR(VLOOKUP("LOCINPUT|"&amp;TEXT(ROW()-4,"000"),Locations!$W$5:$X$64,2,FALSE),"")</x:f>
      </x:c>
    </x:row>
    <x:row r="91">
      <x:c r="A91" s="79" t="str">
        <x:v>No</x:v>
      </x:c>
      <x:c r="B91" s="79" t="str"/>
      <x:c r="C91" s="79" t="str">
        <x:v>Field Match</x:v>
      </x:c>
      <x:c r="D91" s="79" t="str">
        <x:v>host</x:v>
      </x:c>
      <x:c r="E91" s="174" t="str">
        <x:v>=</x:v>
      </x:c>
      <x:c r="F91" s="79" t="str"/>
      <x:c r="G91" s="80" t="str">
        <x:f>IF($A91&lt;&gt;"Yes","",IF($C91="Raw SPL",$F91,IF(OR($D91="",$F91=""),"",$D91&amp;IF($E91="","=",$E91)&amp;CHAR(34)&amp;$F91&amp;CHAR(34))))</x:f>
      </x:c>
      <x:c r="H91" s="80" t="str">
        <x:f>IF($A91&lt;&gt;"Yes","Disabled",IF($B91="","Missing Location ID",IF(COUNTIFS(Locations!$C$5:$C$64,$B91,Locations!$A$5:$A$64,"Yes")=0,"Location not enabled",IF($C91="","Missing Rule Type",IF(AND($C91="Field Match",$D91=""),"Missing field",IF($F91="","Missing match/expression",IF($G91="","Invalid rule","OK")))))))</x:f>
        <x:v>Disabled</x:v>
      </x:c>
      <x:c r="I91" s="79" t="str"/>
      <x:c r="J91" s="118" t="str">
        <x:f>IF(H91="OK",B91&amp;"|"&amp;TEXT(COUNTIFS($B$5:B91,$B91,$H$5:H91,"OK"),"000"),"")</x:f>
      </x:c>
      <x:c r="K91" s="118" t="str">
        <x:f>IF(J91="","",IF(COUNTIFS($B$5:B91,$B91,$H$5:H91,"OK")=1,G91,IFERROR(VLOOKUP($B91&amp;"|"&amp;TEXT(COUNTIFS($B$5:B91,$B91,$H$5:H91,"OK")-1,"000"),$J$5:K90,2,FALSE),"")&amp;" OR "&amp;G91))</x:f>
      </x:c>
      <x:c r="L91" t="str">
        <x:f>IFERROR(VLOOKUP("LOCINPUT|"&amp;TEXT(ROW()-4,"000"),Locations!$W$5:$X$64,2,FALSE),"")</x:f>
      </x:c>
    </x:row>
    <x:row r="92">
      <x:c r="A92" s="79" t="str">
        <x:v>No</x:v>
      </x:c>
      <x:c r="B92" s="79" t="str"/>
      <x:c r="C92" s="79" t="str">
        <x:v>Field Match</x:v>
      </x:c>
      <x:c r="D92" s="79" t="str">
        <x:v>host</x:v>
      </x:c>
      <x:c r="E92" s="174" t="str">
        <x:v>=</x:v>
      </x:c>
      <x:c r="F92" s="79" t="str"/>
      <x:c r="G92" s="80" t="str">
        <x:f>IF($A92&lt;&gt;"Yes","",IF($C92="Raw SPL",$F92,IF(OR($D92="",$F92=""),"",$D92&amp;IF($E92="","=",$E92)&amp;CHAR(34)&amp;$F92&amp;CHAR(34))))</x:f>
      </x:c>
      <x:c r="H92" s="80" t="str">
        <x:f>IF($A92&lt;&gt;"Yes","Disabled",IF($B92="","Missing Location ID",IF(COUNTIFS(Locations!$C$5:$C$64,$B92,Locations!$A$5:$A$64,"Yes")=0,"Location not enabled",IF($C92="","Missing Rule Type",IF(AND($C92="Field Match",$D92=""),"Missing field",IF($F92="","Missing match/expression",IF($G92="","Invalid rule","OK")))))))</x:f>
        <x:v>Disabled</x:v>
      </x:c>
      <x:c r="I92" s="79" t="str"/>
      <x:c r="J92" s="118" t="str">
        <x:f>IF(H92="OK",B92&amp;"|"&amp;TEXT(COUNTIFS($B$5:B92,$B92,$H$5:H92,"OK"),"000"),"")</x:f>
      </x:c>
      <x:c r="K92" s="118" t="str">
        <x:f>IF(J92="","",IF(COUNTIFS($B$5:B92,$B92,$H$5:H92,"OK")=1,G92,IFERROR(VLOOKUP($B92&amp;"|"&amp;TEXT(COUNTIFS($B$5:B92,$B92,$H$5:H92,"OK")-1,"000"),$J$5:K91,2,FALSE),"")&amp;" OR "&amp;G92))</x:f>
      </x:c>
      <x:c r="L92" t="str">
        <x:f>IFERROR(VLOOKUP("LOCINPUT|"&amp;TEXT(ROW()-4,"000"),Locations!$W$5:$X$64,2,FALSE),"")</x:f>
      </x:c>
    </x:row>
    <x:row r="93">
      <x:c r="A93" s="79" t="str">
        <x:v>No</x:v>
      </x:c>
      <x:c r="B93" s="79" t="str"/>
      <x:c r="C93" s="79" t="str">
        <x:v>Field Match</x:v>
      </x:c>
      <x:c r="D93" s="79" t="str">
        <x:v>host</x:v>
      </x:c>
      <x:c r="E93" s="174" t="str">
        <x:v>=</x:v>
      </x:c>
      <x:c r="F93" s="79" t="str"/>
      <x:c r="G93" s="80" t="str">
        <x:f>IF($A93&lt;&gt;"Yes","",IF($C93="Raw SPL",$F93,IF(OR($D93="",$F93=""),"",$D93&amp;IF($E93="","=",$E93)&amp;CHAR(34)&amp;$F93&amp;CHAR(34))))</x:f>
      </x:c>
      <x:c r="H93" s="80" t="str">
        <x:f>IF($A93&lt;&gt;"Yes","Disabled",IF($B93="","Missing Location ID",IF(COUNTIFS(Locations!$C$5:$C$64,$B93,Locations!$A$5:$A$64,"Yes")=0,"Location not enabled",IF($C93="","Missing Rule Type",IF(AND($C93="Field Match",$D93=""),"Missing field",IF($F93="","Missing match/expression",IF($G93="","Invalid rule","OK")))))))</x:f>
        <x:v>Disabled</x:v>
      </x:c>
      <x:c r="I93" s="79" t="str"/>
      <x:c r="J93" s="118" t="str">
        <x:f>IF(H93="OK",B93&amp;"|"&amp;TEXT(COUNTIFS($B$5:B93,$B93,$H$5:H93,"OK"),"000"),"")</x:f>
      </x:c>
      <x:c r="K93" s="118" t="str">
        <x:f>IF(J93="","",IF(COUNTIFS($B$5:B93,$B93,$H$5:H93,"OK")=1,G93,IFERROR(VLOOKUP($B93&amp;"|"&amp;TEXT(COUNTIFS($B$5:B93,$B93,$H$5:H93,"OK")-1,"000"),$J$5:K92,2,FALSE),"")&amp;" OR "&amp;G93))</x:f>
      </x:c>
      <x:c r="L93" t="str">
        <x:f>IFERROR(VLOOKUP("LOCINPUT|"&amp;TEXT(ROW()-4,"000"),Locations!$W$5:$X$64,2,FALSE),"")</x:f>
      </x:c>
    </x:row>
    <x:row r="94">
      <x:c r="A94" s="79" t="str">
        <x:v>No</x:v>
      </x:c>
      <x:c r="B94" s="79" t="str"/>
      <x:c r="C94" s="79" t="str">
        <x:v>Field Match</x:v>
      </x:c>
      <x:c r="D94" s="79" t="str">
        <x:v>host</x:v>
      </x:c>
      <x:c r="E94" s="174" t="str">
        <x:v>=</x:v>
      </x:c>
      <x:c r="F94" s="79" t="str"/>
      <x:c r="G94" s="80" t="str">
        <x:f>IF($A94&lt;&gt;"Yes","",IF($C94="Raw SPL",$F94,IF(OR($D94="",$F94=""),"",$D94&amp;IF($E94="","=",$E94)&amp;CHAR(34)&amp;$F94&amp;CHAR(34))))</x:f>
      </x:c>
      <x:c r="H94" s="80" t="str">
        <x:f>IF($A94&lt;&gt;"Yes","Disabled",IF($B94="","Missing Location ID",IF(COUNTIFS(Locations!$C$5:$C$64,$B94,Locations!$A$5:$A$64,"Yes")=0,"Location not enabled",IF($C94="","Missing Rule Type",IF(AND($C94="Field Match",$D94=""),"Missing field",IF($F94="","Missing match/expression",IF($G94="","Invalid rule","OK")))))))</x:f>
        <x:v>Disabled</x:v>
      </x:c>
      <x:c r="I94" s="79" t="str"/>
      <x:c r="J94" s="118" t="str">
        <x:f>IF(H94="OK",B94&amp;"|"&amp;TEXT(COUNTIFS($B$5:B94,$B94,$H$5:H94,"OK"),"000"),"")</x:f>
      </x:c>
      <x:c r="K94" s="118" t="str">
        <x:f>IF(J94="","",IF(COUNTIFS($B$5:B94,$B94,$H$5:H94,"OK")=1,G94,IFERROR(VLOOKUP($B94&amp;"|"&amp;TEXT(COUNTIFS($B$5:B94,$B94,$H$5:H94,"OK")-1,"000"),$J$5:K93,2,FALSE),"")&amp;" OR "&amp;G94))</x:f>
      </x:c>
      <x:c r="L94" t="str">
        <x:f>IFERROR(VLOOKUP("LOCINPUT|"&amp;TEXT(ROW()-4,"000"),Locations!$W$5:$X$64,2,FALSE),"")</x:f>
      </x:c>
    </x:row>
    <x:row r="95">
      <x:c r="A95" s="79" t="str">
        <x:v>No</x:v>
      </x:c>
      <x:c r="B95" s="79" t="str"/>
      <x:c r="C95" s="79" t="str">
        <x:v>Field Match</x:v>
      </x:c>
      <x:c r="D95" s="79" t="str">
        <x:v>host</x:v>
      </x:c>
      <x:c r="E95" s="174" t="str">
        <x:v>=</x:v>
      </x:c>
      <x:c r="F95" s="79" t="str"/>
      <x:c r="G95" s="80" t="str">
        <x:f>IF($A95&lt;&gt;"Yes","",IF($C95="Raw SPL",$F95,IF(OR($D95="",$F95=""),"",$D95&amp;IF($E95="","=",$E95)&amp;CHAR(34)&amp;$F95&amp;CHAR(34))))</x:f>
      </x:c>
      <x:c r="H95" s="80" t="str">
        <x:f>IF($A95&lt;&gt;"Yes","Disabled",IF($B95="","Missing Location ID",IF(COUNTIFS(Locations!$C$5:$C$64,$B95,Locations!$A$5:$A$64,"Yes")=0,"Location not enabled",IF($C95="","Missing Rule Type",IF(AND($C95="Field Match",$D95=""),"Missing field",IF($F95="","Missing match/expression",IF($G95="","Invalid rule","OK")))))))</x:f>
        <x:v>Disabled</x:v>
      </x:c>
      <x:c r="I95" s="79" t="str"/>
      <x:c r="J95" s="118" t="str">
        <x:f>IF(H95="OK",B95&amp;"|"&amp;TEXT(COUNTIFS($B$5:B95,$B95,$H$5:H95,"OK"),"000"),"")</x:f>
      </x:c>
      <x:c r="K95" s="118" t="str">
        <x:f>IF(J95="","",IF(COUNTIFS($B$5:B95,$B95,$H$5:H95,"OK")=1,G95,IFERROR(VLOOKUP($B95&amp;"|"&amp;TEXT(COUNTIFS($B$5:B95,$B95,$H$5:H95,"OK")-1,"000"),$J$5:K94,2,FALSE),"")&amp;" OR "&amp;G95))</x:f>
      </x:c>
      <x:c r="L95" t="str">
        <x:f>IFERROR(VLOOKUP("LOCINPUT|"&amp;TEXT(ROW()-4,"000"),Locations!$W$5:$X$64,2,FALSE),"")</x:f>
      </x:c>
    </x:row>
    <x:row r="96">
      <x:c r="A96" s="79" t="str">
        <x:v>No</x:v>
      </x:c>
      <x:c r="B96" s="79" t="str"/>
      <x:c r="C96" s="79" t="str">
        <x:v>Field Match</x:v>
      </x:c>
      <x:c r="D96" s="79" t="str">
        <x:v>host</x:v>
      </x:c>
      <x:c r="E96" s="174" t="str">
        <x:v>=</x:v>
      </x:c>
      <x:c r="F96" s="79" t="str"/>
      <x:c r="G96" s="80" t="str">
        <x:f>IF($A96&lt;&gt;"Yes","",IF($C96="Raw SPL",$F96,IF(OR($D96="",$F96=""),"",$D96&amp;IF($E96="","=",$E96)&amp;CHAR(34)&amp;$F96&amp;CHAR(34))))</x:f>
      </x:c>
      <x:c r="H96" s="80" t="str">
        <x:f>IF($A96&lt;&gt;"Yes","Disabled",IF($B96="","Missing Location ID",IF(COUNTIFS(Locations!$C$5:$C$64,$B96,Locations!$A$5:$A$64,"Yes")=0,"Location not enabled",IF($C96="","Missing Rule Type",IF(AND($C96="Field Match",$D96=""),"Missing field",IF($F96="","Missing match/expression",IF($G96="","Invalid rule","OK")))))))</x:f>
        <x:v>Disabled</x:v>
      </x:c>
      <x:c r="I96" s="79" t="str"/>
      <x:c r="J96" s="118" t="str">
        <x:f>IF(H96="OK",B96&amp;"|"&amp;TEXT(COUNTIFS($B$5:B96,$B96,$H$5:H96,"OK"),"000"),"")</x:f>
      </x:c>
      <x:c r="K96" s="118" t="str">
        <x:f>IF(J96="","",IF(COUNTIFS($B$5:B96,$B96,$H$5:H96,"OK")=1,G96,IFERROR(VLOOKUP($B96&amp;"|"&amp;TEXT(COUNTIFS($B$5:B96,$B96,$H$5:H96,"OK")-1,"000"),$J$5:K95,2,FALSE),"")&amp;" OR "&amp;G96))</x:f>
      </x:c>
      <x:c r="L96" t="str">
        <x:f>IFERROR(VLOOKUP("LOCINPUT|"&amp;TEXT(ROW()-4,"000"),Locations!$W$5:$X$64,2,FALSE),"")</x:f>
      </x:c>
    </x:row>
    <x:row r="97">
      <x:c r="A97" s="79" t="str">
        <x:v>No</x:v>
      </x:c>
      <x:c r="B97" s="79" t="str"/>
      <x:c r="C97" s="79" t="str">
        <x:v>Field Match</x:v>
      </x:c>
      <x:c r="D97" s="79" t="str">
        <x:v>host</x:v>
      </x:c>
      <x:c r="E97" s="174" t="str">
        <x:v>=</x:v>
      </x:c>
      <x:c r="F97" s="79" t="str"/>
      <x:c r="G97" s="80" t="str">
        <x:f>IF($A97&lt;&gt;"Yes","",IF($C97="Raw SPL",$F97,IF(OR($D97="",$F97=""),"",$D97&amp;IF($E97="","=",$E97)&amp;CHAR(34)&amp;$F97&amp;CHAR(34))))</x:f>
      </x:c>
      <x:c r="H97" s="80" t="str">
        <x:f>IF($A97&lt;&gt;"Yes","Disabled",IF($B97="","Missing Location ID",IF(COUNTIFS(Locations!$C$5:$C$64,$B97,Locations!$A$5:$A$64,"Yes")=0,"Location not enabled",IF($C97="","Missing Rule Type",IF(AND($C97="Field Match",$D97=""),"Missing field",IF($F97="","Missing match/expression",IF($G97="","Invalid rule","OK")))))))</x:f>
        <x:v>Disabled</x:v>
      </x:c>
      <x:c r="I97" s="79" t="str"/>
      <x:c r="J97" s="118" t="str">
        <x:f>IF(H97="OK",B97&amp;"|"&amp;TEXT(COUNTIFS($B$5:B97,$B97,$H$5:H97,"OK"),"000"),"")</x:f>
      </x:c>
      <x:c r="K97" s="118" t="str">
        <x:f>IF(J97="","",IF(COUNTIFS($B$5:B97,$B97,$H$5:H97,"OK")=1,G97,IFERROR(VLOOKUP($B97&amp;"|"&amp;TEXT(COUNTIFS($B$5:B97,$B97,$H$5:H97,"OK")-1,"000"),$J$5:K96,2,FALSE),"")&amp;" OR "&amp;G97))</x:f>
      </x:c>
      <x:c r="L97" t="str">
        <x:f>IFERROR(VLOOKUP("LOCINPUT|"&amp;TEXT(ROW()-4,"000"),Locations!$W$5:$X$64,2,FALSE),"")</x:f>
      </x:c>
    </x:row>
    <x:row r="98">
      <x:c r="A98" s="79" t="str">
        <x:v>No</x:v>
      </x:c>
      <x:c r="B98" s="79" t="str"/>
      <x:c r="C98" s="79" t="str">
        <x:v>Field Match</x:v>
      </x:c>
      <x:c r="D98" s="79" t="str">
        <x:v>host</x:v>
      </x:c>
      <x:c r="E98" s="174" t="str">
        <x:v>=</x:v>
      </x:c>
      <x:c r="F98" s="79" t="str"/>
      <x:c r="G98" s="80" t="str">
        <x:f>IF($A98&lt;&gt;"Yes","",IF($C98="Raw SPL",$F98,IF(OR($D98="",$F98=""),"",$D98&amp;IF($E98="","=",$E98)&amp;CHAR(34)&amp;$F98&amp;CHAR(34))))</x:f>
      </x:c>
      <x:c r="H98" s="80" t="str">
        <x:f>IF($A98&lt;&gt;"Yes","Disabled",IF($B98="","Missing Location ID",IF(COUNTIFS(Locations!$C$5:$C$64,$B98,Locations!$A$5:$A$64,"Yes")=0,"Location not enabled",IF($C98="","Missing Rule Type",IF(AND($C98="Field Match",$D98=""),"Missing field",IF($F98="","Missing match/expression",IF($G98="","Invalid rule","OK")))))))</x:f>
        <x:v>Disabled</x:v>
      </x:c>
      <x:c r="I98" s="79" t="str"/>
      <x:c r="J98" s="118" t="str">
        <x:f>IF(H98="OK",B98&amp;"|"&amp;TEXT(COUNTIFS($B$5:B98,$B98,$H$5:H98,"OK"),"000"),"")</x:f>
      </x:c>
      <x:c r="K98" s="118" t="str">
        <x:f>IF(J98="","",IF(COUNTIFS($B$5:B98,$B98,$H$5:H98,"OK")=1,G98,IFERROR(VLOOKUP($B98&amp;"|"&amp;TEXT(COUNTIFS($B$5:B98,$B98,$H$5:H98,"OK")-1,"000"),$J$5:K97,2,FALSE),"")&amp;" OR "&amp;G98))</x:f>
      </x:c>
      <x:c r="L98" t="str">
        <x:f>IFERROR(VLOOKUP("LOCINPUT|"&amp;TEXT(ROW()-4,"000"),Locations!$W$5:$X$64,2,FALSE),"")</x:f>
      </x:c>
    </x:row>
    <x:row r="99">
      <x:c r="A99" s="79" t="str">
        <x:v>No</x:v>
      </x:c>
      <x:c r="B99" s="79" t="str"/>
      <x:c r="C99" s="79" t="str">
        <x:v>Field Match</x:v>
      </x:c>
      <x:c r="D99" s="79" t="str">
        <x:v>host</x:v>
      </x:c>
      <x:c r="E99" s="174" t="str">
        <x:v>=</x:v>
      </x:c>
      <x:c r="F99" s="79" t="str"/>
      <x:c r="G99" s="80" t="str">
        <x:f>IF($A99&lt;&gt;"Yes","",IF($C99="Raw SPL",$F99,IF(OR($D99="",$F99=""),"",$D99&amp;IF($E99="","=",$E99)&amp;CHAR(34)&amp;$F99&amp;CHAR(34))))</x:f>
      </x:c>
      <x:c r="H99" s="80" t="str">
        <x:f>IF($A99&lt;&gt;"Yes","Disabled",IF($B99="","Missing Location ID",IF(COUNTIFS(Locations!$C$5:$C$64,$B99,Locations!$A$5:$A$64,"Yes")=0,"Location not enabled",IF($C99="","Missing Rule Type",IF(AND($C99="Field Match",$D99=""),"Missing field",IF($F99="","Missing match/expression",IF($G99="","Invalid rule","OK")))))))</x:f>
        <x:v>Disabled</x:v>
      </x:c>
      <x:c r="I99" s="79" t="str"/>
      <x:c r="J99" s="118" t="str">
        <x:f>IF(H99="OK",B99&amp;"|"&amp;TEXT(COUNTIFS($B$5:B99,$B99,$H$5:H99,"OK"),"000"),"")</x:f>
      </x:c>
      <x:c r="K99" s="118" t="str">
        <x:f>IF(J99="","",IF(COUNTIFS($B$5:B99,$B99,$H$5:H99,"OK")=1,G99,IFERROR(VLOOKUP($B99&amp;"|"&amp;TEXT(COUNTIFS($B$5:B99,$B99,$H$5:H99,"OK")-1,"000"),$J$5:K98,2,FALSE),"")&amp;" OR "&amp;G99))</x:f>
      </x:c>
      <x:c r="L99" t="str">
        <x:f>IFERROR(VLOOKUP("LOCINPUT|"&amp;TEXT(ROW()-4,"000"),Locations!$W$5:$X$64,2,FALSE),"")</x:f>
      </x:c>
    </x:row>
    <x:row r="100">
      <x:c r="A100" s="79" t="str">
        <x:v>No</x:v>
      </x:c>
      <x:c r="B100" s="79" t="str"/>
      <x:c r="C100" s="79" t="str">
        <x:v>Field Match</x:v>
      </x:c>
      <x:c r="D100" s="79" t="str">
        <x:v>host</x:v>
      </x:c>
      <x:c r="E100" s="174" t="str">
        <x:v>=</x:v>
      </x:c>
      <x:c r="F100" s="79" t="str"/>
      <x:c r="G100" s="80" t="str">
        <x:f>IF($A100&lt;&gt;"Yes","",IF($C100="Raw SPL",$F100,IF(OR($D100="",$F100=""),"",$D100&amp;IF($E100="","=",$E100)&amp;CHAR(34)&amp;$F100&amp;CHAR(34))))</x:f>
      </x:c>
      <x:c r="H100" s="80" t="str">
        <x:f>IF($A100&lt;&gt;"Yes","Disabled",IF($B100="","Missing Location ID",IF(COUNTIFS(Locations!$C$5:$C$64,$B100,Locations!$A$5:$A$64,"Yes")=0,"Location not enabled",IF($C100="","Missing Rule Type",IF(AND($C100="Field Match",$D100=""),"Missing field",IF($F100="","Missing match/expression",IF($G100="","Invalid rule","OK")))))))</x:f>
        <x:v>Disabled</x:v>
      </x:c>
      <x:c r="I100" s="79" t="str"/>
      <x:c r="J100" s="118" t="str">
        <x:f>IF(H100="OK",B100&amp;"|"&amp;TEXT(COUNTIFS($B$5:B100,$B100,$H$5:H100,"OK"),"000"),"")</x:f>
      </x:c>
      <x:c r="K100" s="118" t="str">
        <x:f>IF(J100="","",IF(COUNTIFS($B$5:B100,$B100,$H$5:H100,"OK")=1,G100,IFERROR(VLOOKUP($B100&amp;"|"&amp;TEXT(COUNTIFS($B$5:B100,$B100,$H$5:H100,"OK")-1,"000"),$J$5:K99,2,FALSE),"")&amp;" OR "&amp;G100))</x:f>
      </x:c>
      <x:c r="L100" t="str">
        <x:f>IFERROR(VLOOKUP("LOCINPUT|"&amp;TEXT(ROW()-4,"000"),Locations!$W$5:$X$64,2,FALSE),"")</x:f>
      </x:c>
    </x:row>
    <x:row r="101">
      <x:c r="A101" s="79" t="str">
        <x:v>No</x:v>
      </x:c>
      <x:c r="B101" s="79" t="str"/>
      <x:c r="C101" s="79" t="str">
        <x:v>Field Match</x:v>
      </x:c>
      <x:c r="D101" s="79" t="str">
        <x:v>host</x:v>
      </x:c>
      <x:c r="E101" s="174" t="str">
        <x:v>=</x:v>
      </x:c>
      <x:c r="F101" s="79" t="str"/>
      <x:c r="G101" s="80" t="str">
        <x:f>IF($A101&lt;&gt;"Yes","",IF($C101="Raw SPL",$F101,IF(OR($D101="",$F101=""),"",$D101&amp;IF($E101="","=",$E101)&amp;CHAR(34)&amp;$F101&amp;CHAR(34))))</x:f>
      </x:c>
      <x:c r="H101" s="80" t="str">
        <x:f>IF($A101&lt;&gt;"Yes","Disabled",IF($B101="","Missing Location ID",IF(COUNTIFS(Locations!$C$5:$C$64,$B101,Locations!$A$5:$A$64,"Yes")=0,"Location not enabled",IF($C101="","Missing Rule Type",IF(AND($C101="Field Match",$D101=""),"Missing field",IF($F101="","Missing match/expression",IF($G101="","Invalid rule","OK")))))))</x:f>
        <x:v>Disabled</x:v>
      </x:c>
      <x:c r="I101" s="79" t="str"/>
      <x:c r="J101" s="118" t="str">
        <x:f>IF(H101="OK",B101&amp;"|"&amp;TEXT(COUNTIFS($B$5:B101,$B101,$H$5:H101,"OK"),"000"),"")</x:f>
      </x:c>
      <x:c r="K101" s="118" t="str">
        <x:f>IF(J101="","",IF(COUNTIFS($B$5:B101,$B101,$H$5:H101,"OK")=1,G101,IFERROR(VLOOKUP($B101&amp;"|"&amp;TEXT(COUNTIFS($B$5:B101,$B101,$H$5:H101,"OK")-1,"000"),$J$5:K100,2,FALSE),"")&amp;" OR "&amp;G101))</x:f>
      </x:c>
      <x:c r="L101" t="str">
        <x:f>IFERROR(VLOOKUP("LOCINPUT|"&amp;TEXT(ROW()-4,"000"),Locations!$W$5:$X$64,2,FALSE),"")</x:f>
      </x:c>
    </x:row>
    <x:row r="102">
      <x:c r="A102" s="79" t="str">
        <x:v>No</x:v>
      </x:c>
      <x:c r="B102" s="79" t="str"/>
      <x:c r="C102" s="79" t="str">
        <x:v>Field Match</x:v>
      </x:c>
      <x:c r="D102" s="79" t="str">
        <x:v>host</x:v>
      </x:c>
      <x:c r="E102" s="174" t="str">
        <x:v>=</x:v>
      </x:c>
      <x:c r="F102" s="79" t="str"/>
      <x:c r="G102" s="80" t="str">
        <x:f>IF($A102&lt;&gt;"Yes","",IF($C102="Raw SPL",$F102,IF(OR($D102="",$F102=""),"",$D102&amp;IF($E102="","=",$E102)&amp;CHAR(34)&amp;$F102&amp;CHAR(34))))</x:f>
      </x:c>
      <x:c r="H102" s="80" t="str">
        <x:f>IF($A102&lt;&gt;"Yes","Disabled",IF($B102="","Missing Location ID",IF(COUNTIFS(Locations!$C$5:$C$64,$B102,Locations!$A$5:$A$64,"Yes")=0,"Location not enabled",IF($C102="","Missing Rule Type",IF(AND($C102="Field Match",$D102=""),"Missing field",IF($F102="","Missing match/expression",IF($G102="","Invalid rule","OK")))))))</x:f>
        <x:v>Disabled</x:v>
      </x:c>
      <x:c r="I102" s="79" t="str"/>
      <x:c r="J102" s="118" t="str">
        <x:f>IF(H102="OK",B102&amp;"|"&amp;TEXT(COUNTIFS($B$5:B102,$B102,$H$5:H102,"OK"),"000"),"")</x:f>
      </x:c>
      <x:c r="K102" s="118" t="str">
        <x:f>IF(J102="","",IF(COUNTIFS($B$5:B102,$B102,$H$5:H102,"OK")=1,G102,IFERROR(VLOOKUP($B102&amp;"|"&amp;TEXT(COUNTIFS($B$5:B102,$B102,$H$5:H102,"OK")-1,"000"),$J$5:K101,2,FALSE),"")&amp;" OR "&amp;G102))</x:f>
      </x:c>
      <x:c r="L102" t="str">
        <x:f>IFERROR(VLOOKUP("LOCINPUT|"&amp;TEXT(ROW()-4,"000"),Locations!$W$5:$X$64,2,FALSE),"")</x:f>
      </x:c>
    </x:row>
    <x:row r="103">
      <x:c r="A103" s="79" t="str">
        <x:v>No</x:v>
      </x:c>
      <x:c r="B103" s="79" t="str"/>
      <x:c r="C103" s="79" t="str">
        <x:v>Field Match</x:v>
      </x:c>
      <x:c r="D103" s="79" t="str">
        <x:v>host</x:v>
      </x:c>
      <x:c r="E103" s="174" t="str">
        <x:v>=</x:v>
      </x:c>
      <x:c r="F103" s="79" t="str"/>
      <x:c r="G103" s="80" t="str">
        <x:f>IF($A103&lt;&gt;"Yes","",IF($C103="Raw SPL",$F103,IF(OR($D103="",$F103=""),"",$D103&amp;IF($E103="","=",$E103)&amp;CHAR(34)&amp;$F103&amp;CHAR(34))))</x:f>
      </x:c>
      <x:c r="H103" s="80" t="str">
        <x:f>IF($A103&lt;&gt;"Yes","Disabled",IF($B103="","Missing Location ID",IF(COUNTIFS(Locations!$C$5:$C$64,$B103,Locations!$A$5:$A$64,"Yes")=0,"Location not enabled",IF($C103="","Missing Rule Type",IF(AND($C103="Field Match",$D103=""),"Missing field",IF($F103="","Missing match/expression",IF($G103="","Invalid rule","OK")))))))</x:f>
        <x:v>Disabled</x:v>
      </x:c>
      <x:c r="I103" s="79" t="str"/>
      <x:c r="J103" s="118" t="str">
        <x:f>IF(H103="OK",B103&amp;"|"&amp;TEXT(COUNTIFS($B$5:B103,$B103,$H$5:H103,"OK"),"000"),"")</x:f>
      </x:c>
      <x:c r="K103" s="118" t="str">
        <x:f>IF(J103="","",IF(COUNTIFS($B$5:B103,$B103,$H$5:H103,"OK")=1,G103,IFERROR(VLOOKUP($B103&amp;"|"&amp;TEXT(COUNTIFS($B$5:B103,$B103,$H$5:H103,"OK")-1,"000"),$J$5:K102,2,FALSE),"")&amp;" OR "&amp;G103))</x:f>
      </x:c>
      <x:c r="L103" t="str">
        <x:f>IFERROR(VLOOKUP("LOCINPUT|"&amp;TEXT(ROW()-4,"000"),Locations!$W$5:$X$64,2,FALSE),"")</x:f>
      </x:c>
    </x:row>
    <x:row r="104">
      <x:c r="A104" s="79" t="str">
        <x:v>No</x:v>
      </x:c>
      <x:c r="B104" s="79" t="str"/>
      <x:c r="C104" s="79" t="str">
        <x:v>Field Match</x:v>
      </x:c>
      <x:c r="D104" s="79" t="str">
        <x:v>host</x:v>
      </x:c>
      <x:c r="E104" s="174" t="str">
        <x:v>=</x:v>
      </x:c>
      <x:c r="F104" s="79" t="str"/>
      <x:c r="G104" s="80" t="str">
        <x:f>IF($A104&lt;&gt;"Yes","",IF($C104="Raw SPL",$F104,IF(OR($D104="",$F104=""),"",$D104&amp;IF($E104="","=",$E104)&amp;CHAR(34)&amp;$F104&amp;CHAR(34))))</x:f>
      </x:c>
      <x:c r="H104" s="80" t="str">
        <x:f>IF($A104&lt;&gt;"Yes","Disabled",IF($B104="","Missing Location ID",IF(COUNTIFS(Locations!$C$5:$C$64,$B104,Locations!$A$5:$A$64,"Yes")=0,"Location not enabled",IF($C104="","Missing Rule Type",IF(AND($C104="Field Match",$D104=""),"Missing field",IF($F104="","Missing match/expression",IF($G104="","Invalid rule","OK")))))))</x:f>
        <x:v>Disabled</x:v>
      </x:c>
      <x:c r="I104" s="79" t="str"/>
      <x:c r="J104" s="118" t="str">
        <x:f>IF(H104="OK",B104&amp;"|"&amp;TEXT(COUNTIFS($B$5:B104,$B104,$H$5:H104,"OK"),"000"),"")</x:f>
      </x:c>
      <x:c r="K104" s="118" t="str">
        <x:f>IF(J104="","",IF(COUNTIFS($B$5:B104,$B104,$H$5:H104,"OK")=1,G104,IFERROR(VLOOKUP($B104&amp;"|"&amp;TEXT(COUNTIFS($B$5:B104,$B104,$H$5:H104,"OK")-1,"000"),$J$5:K103,2,FALSE),"")&amp;" OR "&amp;G104))</x:f>
      </x:c>
      <x:c r="L104" t="str">
        <x:f>IFERROR(VLOOKUP("LOCINPUT|"&amp;TEXT(ROW()-4,"000"),Locations!$W$5:$X$64,2,FALSE),"")</x:f>
      </x:c>
    </x:row>
  </x:sheetData>
  <x:mergeCells>
    <x:mergeCell ref="A1:I1"/>
    <x:mergeCell ref="A2:I2"/>
  </x:mergeCells>
  <x:conditionalFormatting sqref="H5:H104">
    <x:cfRule type="expression" dxfId="5" priority="1">
      <x:formula>H5="OK"</x:formula>
    </x:cfRule>
    <x:cfRule type="expression" dxfId="6" priority="2">
      <x:formula>AND(H5&lt;&gt;"",H5&lt;&gt;"OK",H5&lt;&gt;"Disabled")</x:formula>
    </x:cfRule>
  </x:conditionalFormatting>
  <x:dataValidations count="4">
    <x:dataValidation type="list" sqref="A5:A104">
      <x:formula1>"Yes,No"</x:formula1>
    </x:dataValidation>
    <x:dataValidation type="list" errorStyle="stop" allowBlank="1" showDropDown="0" showErrorMessage="1" errorTitle="Choose a configured Location" error="Select a Location ID from the dropdown. Create/enable it on the Locations sheet first." sqref="B5:B104">
      <x:formula1>$L$5:$L$64</x:formula1>
    </x:dataValidation>
    <x:dataValidation type="list" sqref="C5:C104">
      <x:formula1>"Field Match,Raw SPL"</x:formula1>
    </x:dataValidation>
    <x:dataValidation type="list" sqref="E5:E104">
      <x:formula1>"=,!=,&gt;,&lt;,&gt;=,&lt;="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7f2d31ee74428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28" hidden="0" customWidth="1"/>
    <x:col min="5" max="5" width="62" hidden="0" customWidth="1"/>
    <x:col min="6" max="6" width="12" hidden="0" customWidth="1"/>
    <x:col min="7" max="7" width="14" hidden="0" customWidth="1"/>
    <x:col min="8" max="8" width="12" hidden="0" customWidth="1"/>
  </x:cols>
  <x:sheetData>
    <x:row r="1">
      <x:c r="A1" s="123" t="str">
        <x:v>Scope Lookup Export — save this sheet as CSV for Splunk</x:v>
      </x:c>
      <x:c r="B1" s="123"/>
      <x:c r="C1" s="123"/>
      <x:c r="D1" s="123"/>
      <x:c r="E1" s="123"/>
      <x:c r="F1" s="123"/>
      <x:c r="G1" s="123"/>
      <x:c r="H1" s="123"/>
    </x:row>
    <x:row r="2">
      <x:c r="A2" s="124" t="str">
        <x:v>Current V3 export: one row per valid managed Location. NOC choices are derived directly from these Location rows.</x:v>
      </x:c>
      <x:c r="B2" s="124"/>
      <x:c r="C2" s="124"/>
      <x:c r="D2" s="124"/>
      <x:c r="E2" s="124"/>
      <x:c r="F2" s="124"/>
      <x:c r="G2" s="124"/>
      <x:c r="H2" s="124"/>
    </x:row>
    <x:row r="3">
      <x:c r="A3" s="125"/>
      <x:c r="B3" s="125"/>
      <x:c r="C3" s="125"/>
      <x:c r="D3" s="125"/>
      <x:c r="E3" s="125"/>
      <x:c r="F3" s="125"/>
      <x:c r="G3" s="125"/>
      <x:c r="H3" s="125"/>
    </x:row>
    <x:row r="4">
      <x:c r="A4" s="126" t="str">
        <x:v>noc_id</x:v>
      </x:c>
      <x:c r="B4" s="126" t="str">
        <x:v>noc_label</x:v>
      </x:c>
      <x:c r="C4" s="126" t="str">
        <x:v>location_id</x:v>
      </x:c>
      <x:c r="D4" s="126" t="str">
        <x:v>scope_label</x:v>
      </x:c>
      <x:c r="E4" s="126" t="str">
        <x:v>scope_value</x:v>
      </x:c>
      <x:c r="F4" s="126" t="str">
        <x:v>scope_sort</x:v>
      </x:c>
      <x:c r="G4" s="126" t="str">
        <x:v>record_type</x:v>
      </x:c>
      <x:c r="H4" s="126" t="str">
        <x:v>status</x:v>
      </x:c>
    </x:row>
    <x:row r="5">
      <x:c r="A5" s="127" t="str">
        <x:f>IF(AND(Locations!A5="Yes",Locations!I5="OK"),Locations!B5,"")</x:f>
        <x:v>NOC_CURRENT</x:v>
      </x:c>
      <x:c r="B5" s="127" t="str">
        <x:f>IF($A5="","",IFERROR(VLOOKUP(Locations!B5,NOCs!$B$5:$C$44,2,FALSE),""))</x:f>
        <x:v>Current / Sample NOC</x:v>
      </x:c>
      <x:c r="C5" s="127" t="str">
        <x:f>IF($A5="","",Locations!C5)</x:f>
        <x:v>LOC_CURRENT</x:v>
      </x:c>
      <x:c r="D5" s="127" t="str">
        <x:f>IF($A5="","",Locations!D5)</x:f>
        <x:v>Current Draft Scope</x:v>
      </x:c>
      <x:c r="E5" s="127" t="str">
        <x:f>IF($A5="","",Locations!F5)</x:f>
        <x:v>(host="syr*" OR host="salep*" OR host="144.219.*" OR host="144.221.*")</x:v>
      </x:c>
      <x:c r="F5" s="127" t="n">
        <x:f>IF($A5="","",Locations!E5)</x:f>
        <x:v>10</x:v>
      </x:c>
      <x:c r="G5" s="127" t="str">
        <x:f>IF($A5="","","LOCATION")</x:f>
        <x:v>LOCATION</x:v>
      </x:c>
      <x:c r="H5" s="127" t="str">
        <x:f>IF($A5="","","OK")</x:f>
        <x:v>OK</x:v>
      </x:c>
    </x:row>
    <x:row r="6">
      <x:c r="A6" s="127" t="str">
        <x:f>IF(AND(Locations!A6="Yes",Locations!I6="OK"),Locations!B6,"")</x:f>
      </x:c>
      <x:c r="B6" s="127" t="str">
        <x:f>IF($A6="","",IFERROR(VLOOKUP(Locations!B6,NOCs!$B$5:$C$44,2,FALSE),""))</x:f>
      </x:c>
      <x:c r="C6" s="127" t="str">
        <x:f>IF($A6="","",Locations!C6)</x:f>
      </x:c>
      <x:c r="D6" s="127" t="str">
        <x:f>IF($A6="","",Locations!D6)</x:f>
      </x:c>
      <x:c r="E6" s="127" t="str">
        <x:f>IF($A6="","",Locations!F6)</x:f>
      </x:c>
      <x:c r="F6" s="127" t="str">
        <x:f>IF($A6="","",Locations!E6)</x:f>
      </x:c>
      <x:c r="G6" s="127" t="str">
        <x:f>IF($A6="","","LOCATION")</x:f>
      </x:c>
      <x:c r="H6" s="127" t="str">
        <x:f>IF($A6="","","OK")</x:f>
      </x:c>
    </x:row>
    <x:row r="7">
      <x:c r="A7" s="127" t="str">
        <x:f>IF(AND(Locations!A7="Yes",Locations!I7="OK"),Locations!B7,"")</x:f>
      </x:c>
      <x:c r="B7" s="127" t="str">
        <x:f>IF($A7="","",IFERROR(VLOOKUP(Locations!B7,NOCs!$B$5:$C$44,2,FALSE),""))</x:f>
      </x:c>
      <x:c r="C7" s="127" t="str">
        <x:f>IF($A7="","",Locations!C7)</x:f>
      </x:c>
      <x:c r="D7" s="127" t="str">
        <x:f>IF($A7="","",Locations!D7)</x:f>
      </x:c>
      <x:c r="E7" s="127" t="str">
        <x:f>IF($A7="","",Locations!F7)</x:f>
      </x:c>
      <x:c r="F7" s="127" t="str">
        <x:f>IF($A7="","",Locations!E7)</x:f>
      </x:c>
      <x:c r="G7" s="127" t="str">
        <x:f>IF($A7="","","LOCATION")</x:f>
      </x:c>
      <x:c r="H7" s="127" t="str">
        <x:f>IF($A7="","","OK")</x:f>
      </x:c>
    </x:row>
    <x:row r="8">
      <x:c r="A8" s="127" t="str">
        <x:f>IF(AND(Locations!A8="Yes",Locations!I8="OK"),Locations!B8,"")</x:f>
      </x:c>
      <x:c r="B8" s="127" t="str">
        <x:f>IF($A8="","",IFERROR(VLOOKUP(Locations!B8,NOCs!$B$5:$C$44,2,FALSE),""))</x:f>
      </x:c>
      <x:c r="C8" s="127" t="str">
        <x:f>IF($A8="","",Locations!C8)</x:f>
      </x:c>
      <x:c r="D8" s="127" t="str">
        <x:f>IF($A8="","",Locations!D8)</x:f>
      </x:c>
      <x:c r="E8" s="127" t="str">
        <x:f>IF($A8="","",Locations!F8)</x:f>
      </x:c>
      <x:c r="F8" s="127" t="str">
        <x:f>IF($A8="","",Locations!E8)</x:f>
      </x:c>
      <x:c r="G8" s="127" t="str">
        <x:f>IF($A8="","","LOCATION")</x:f>
      </x:c>
      <x:c r="H8" s="127" t="str">
        <x:f>IF($A8="","","OK")</x:f>
      </x:c>
    </x:row>
    <x:row r="9">
      <x:c r="A9" s="127" t="str">
        <x:f>IF(AND(Locations!A9="Yes",Locations!I9="OK"),Locations!B9,"")</x:f>
      </x:c>
      <x:c r="B9" s="127" t="str">
        <x:f>IF($A9="","",IFERROR(VLOOKUP(Locations!B9,NOCs!$B$5:$C$44,2,FALSE),""))</x:f>
      </x:c>
      <x:c r="C9" s="127" t="str">
        <x:f>IF($A9="","",Locations!C9)</x:f>
      </x:c>
      <x:c r="D9" s="127" t="str">
        <x:f>IF($A9="","",Locations!D9)</x:f>
      </x:c>
      <x:c r="E9" s="127" t="str">
        <x:f>IF($A9="","",Locations!F9)</x:f>
      </x:c>
      <x:c r="F9" s="127" t="str">
        <x:f>IF($A9="","",Locations!E9)</x:f>
      </x:c>
      <x:c r="G9" s="127" t="str">
        <x:f>IF($A9="","","LOCATION")</x:f>
      </x:c>
      <x:c r="H9" s="127" t="str">
        <x:f>IF($A9="","","OK")</x:f>
      </x:c>
    </x:row>
    <x:row r="10">
      <x:c r="A10" s="127" t="str">
        <x:f>IF(AND(Locations!A10="Yes",Locations!I10="OK"),Locations!B10,"")</x:f>
      </x:c>
      <x:c r="B10" s="127" t="str">
        <x:f>IF($A10="","",IFERROR(VLOOKUP(Locations!B10,NOCs!$B$5:$C$44,2,FALSE),""))</x:f>
      </x:c>
      <x:c r="C10" s="127" t="str">
        <x:f>IF($A10="","",Locations!C10)</x:f>
      </x:c>
      <x:c r="D10" s="127" t="str">
        <x:f>IF($A10="","",Locations!D10)</x:f>
      </x:c>
      <x:c r="E10" s="127" t="str">
        <x:f>IF($A10="","",Locations!F10)</x:f>
      </x:c>
      <x:c r="F10" s="127" t="str">
        <x:f>IF($A10="","",Locations!E10)</x:f>
      </x:c>
      <x:c r="G10" s="127" t="str">
        <x:f>IF($A10="","","LOCATION")</x:f>
      </x:c>
      <x:c r="H10" s="127" t="str">
        <x:f>IF($A10="","","OK")</x:f>
      </x:c>
    </x:row>
    <x:row r="11">
      <x:c r="A11" s="127" t="str">
        <x:f>IF(AND(Locations!A11="Yes",Locations!I11="OK"),Locations!B11,"")</x:f>
      </x:c>
      <x:c r="B11" s="127" t="str">
        <x:f>IF($A11="","",IFERROR(VLOOKUP(Locations!B11,NOCs!$B$5:$C$44,2,FALSE),""))</x:f>
      </x:c>
      <x:c r="C11" s="127" t="str">
        <x:f>IF($A11="","",Locations!C11)</x:f>
      </x:c>
      <x:c r="D11" s="127" t="str">
        <x:f>IF($A11="","",Locations!D11)</x:f>
      </x:c>
      <x:c r="E11" s="127" t="str">
        <x:f>IF($A11="","",Locations!F11)</x:f>
      </x:c>
      <x:c r="F11" s="127" t="str">
        <x:f>IF($A11="","",Locations!E11)</x:f>
      </x:c>
      <x:c r="G11" s="127" t="str">
        <x:f>IF($A11="","","LOCATION")</x:f>
      </x:c>
      <x:c r="H11" s="127" t="str">
        <x:f>IF($A11="","","OK")</x:f>
      </x:c>
    </x:row>
    <x:row r="12">
      <x:c r="A12" s="127" t="str">
        <x:f>IF(AND(Locations!A12="Yes",Locations!I12="OK"),Locations!B12,"")</x:f>
      </x:c>
      <x:c r="B12" s="127" t="str">
        <x:f>IF($A12="","",IFERROR(VLOOKUP(Locations!B12,NOCs!$B$5:$C$44,2,FALSE),""))</x:f>
      </x:c>
      <x:c r="C12" s="127" t="str">
        <x:f>IF($A12="","",Locations!C12)</x:f>
      </x:c>
      <x:c r="D12" s="127" t="str">
        <x:f>IF($A12="","",Locations!D12)</x:f>
      </x:c>
      <x:c r="E12" s="127" t="str">
        <x:f>IF($A12="","",Locations!F12)</x:f>
      </x:c>
      <x:c r="F12" s="127" t="str">
        <x:f>IF($A12="","",Locations!E12)</x:f>
      </x:c>
      <x:c r="G12" s="127" t="str">
        <x:f>IF($A12="","","LOCATION")</x:f>
      </x:c>
      <x:c r="H12" s="127" t="str">
        <x:f>IF($A12="","","OK")</x:f>
      </x:c>
    </x:row>
    <x:row r="13">
      <x:c r="A13" s="127" t="str">
        <x:f>IF(AND(Locations!A13="Yes",Locations!I13="OK"),Locations!B13,"")</x:f>
      </x:c>
      <x:c r="B13" s="127" t="str">
        <x:f>IF($A13="","",IFERROR(VLOOKUP(Locations!B13,NOCs!$B$5:$C$44,2,FALSE),""))</x:f>
      </x:c>
      <x:c r="C13" s="127" t="str">
        <x:f>IF($A13="","",Locations!C13)</x:f>
      </x:c>
      <x:c r="D13" s="127" t="str">
        <x:f>IF($A13="","",Locations!D13)</x:f>
      </x:c>
      <x:c r="E13" s="127" t="str">
        <x:f>IF($A13="","",Locations!F13)</x:f>
      </x:c>
      <x:c r="F13" s="127" t="str">
        <x:f>IF($A13="","",Locations!E13)</x:f>
      </x:c>
      <x:c r="G13" s="127" t="str">
        <x:f>IF($A13="","","LOCATION")</x:f>
      </x:c>
      <x:c r="H13" s="127" t="str">
        <x:f>IF($A13="","","OK")</x:f>
      </x:c>
    </x:row>
    <x:row r="14">
      <x:c r="A14" s="127" t="str">
        <x:f>IF(AND(Locations!A14="Yes",Locations!I14="OK"),Locations!B14,"")</x:f>
      </x:c>
      <x:c r="B14" s="127" t="str">
        <x:f>IF($A14="","",IFERROR(VLOOKUP(Locations!B14,NOCs!$B$5:$C$44,2,FALSE),""))</x:f>
      </x:c>
      <x:c r="C14" s="127" t="str">
        <x:f>IF($A14="","",Locations!C14)</x:f>
      </x:c>
      <x:c r="D14" s="127" t="str">
        <x:f>IF($A14="","",Locations!D14)</x:f>
      </x:c>
      <x:c r="E14" s="127" t="str">
        <x:f>IF($A14="","",Locations!F14)</x:f>
      </x:c>
      <x:c r="F14" s="127" t="str">
        <x:f>IF($A14="","",Locations!E14)</x:f>
      </x:c>
      <x:c r="G14" s="127" t="str">
        <x:f>IF($A14="","","LOCATION")</x:f>
      </x:c>
      <x:c r="H14" s="127" t="str">
        <x:f>IF($A14="","","OK")</x:f>
      </x:c>
    </x:row>
    <x:row r="15">
      <x:c r="A15" s="127" t="str">
        <x:f>IF(AND(Locations!A15="Yes",Locations!I15="OK"),Locations!B15,"")</x:f>
      </x:c>
      <x:c r="B15" s="127" t="str">
        <x:f>IF($A15="","",IFERROR(VLOOKUP(Locations!B15,NOCs!$B$5:$C$44,2,FALSE),""))</x:f>
      </x:c>
      <x:c r="C15" s="127" t="str">
        <x:f>IF($A15="","",Locations!C15)</x:f>
      </x:c>
      <x:c r="D15" s="127" t="str">
        <x:f>IF($A15="","",Locations!D15)</x:f>
      </x:c>
      <x:c r="E15" s="127" t="str">
        <x:f>IF($A15="","",Locations!F15)</x:f>
      </x:c>
      <x:c r="F15" s="127" t="str">
        <x:f>IF($A15="","",Locations!E15)</x:f>
      </x:c>
      <x:c r="G15" s="127" t="str">
        <x:f>IF($A15="","","LOCATION")</x:f>
      </x:c>
      <x:c r="H15" s="127" t="str">
        <x:f>IF($A15="","","OK")</x:f>
      </x:c>
    </x:row>
    <x:row r="16">
      <x:c r="A16" s="127" t="str">
        <x:f>IF(AND(Locations!A16="Yes",Locations!I16="OK"),Locations!B16,"")</x:f>
      </x:c>
      <x:c r="B16" s="127" t="str">
        <x:f>IF($A16="","",IFERROR(VLOOKUP(Locations!B16,NOCs!$B$5:$C$44,2,FALSE),""))</x:f>
      </x:c>
      <x:c r="C16" s="127" t="str">
        <x:f>IF($A16="","",Locations!C16)</x:f>
      </x:c>
      <x:c r="D16" s="127" t="str">
        <x:f>IF($A16="","",Locations!D16)</x:f>
      </x:c>
      <x:c r="E16" s="127" t="str">
        <x:f>IF($A16="","",Locations!F16)</x:f>
      </x:c>
      <x:c r="F16" s="127" t="str">
        <x:f>IF($A16="","",Locations!E16)</x:f>
      </x:c>
      <x:c r="G16" s="127" t="str">
        <x:f>IF($A16="","","LOCATION")</x:f>
      </x:c>
      <x:c r="H16" s="127" t="str">
        <x:f>IF($A16="","","OK")</x:f>
      </x:c>
    </x:row>
    <x:row r="17">
      <x:c r="A17" s="127" t="str">
        <x:f>IF(AND(Locations!A17="Yes",Locations!I17="OK"),Locations!B17,"")</x:f>
      </x:c>
      <x:c r="B17" s="127" t="str">
        <x:f>IF($A17="","",IFERROR(VLOOKUP(Locations!B17,NOCs!$B$5:$C$44,2,FALSE),""))</x:f>
      </x:c>
      <x:c r="C17" s="127" t="str">
        <x:f>IF($A17="","",Locations!C17)</x:f>
      </x:c>
      <x:c r="D17" s="127" t="str">
        <x:f>IF($A17="","",Locations!D17)</x:f>
      </x:c>
      <x:c r="E17" s="127" t="str">
        <x:f>IF($A17="","",Locations!F17)</x:f>
      </x:c>
      <x:c r="F17" s="127" t="str">
        <x:f>IF($A17="","",Locations!E17)</x:f>
      </x:c>
      <x:c r="G17" s="127" t="str">
        <x:f>IF($A17="","","LOCATION")</x:f>
      </x:c>
      <x:c r="H17" s="127" t="str">
        <x:f>IF($A17="","","OK")</x:f>
      </x:c>
    </x:row>
    <x:row r="18">
      <x:c r="A18" s="127" t="str">
        <x:f>IF(AND(Locations!A18="Yes",Locations!I18="OK"),Locations!B18,"")</x:f>
      </x:c>
      <x:c r="B18" s="127" t="str">
        <x:f>IF($A18="","",IFERROR(VLOOKUP(Locations!B18,NOCs!$B$5:$C$44,2,FALSE),""))</x:f>
      </x:c>
      <x:c r="C18" s="127" t="str">
        <x:f>IF($A18="","",Locations!C18)</x:f>
      </x:c>
      <x:c r="D18" s="127" t="str">
        <x:f>IF($A18="","",Locations!D18)</x:f>
      </x:c>
      <x:c r="E18" s="127" t="str">
        <x:f>IF($A18="","",Locations!F18)</x:f>
      </x:c>
      <x:c r="F18" s="127" t="str">
        <x:f>IF($A18="","",Locations!E18)</x:f>
      </x:c>
      <x:c r="G18" s="127" t="str">
        <x:f>IF($A18="","","LOCATION")</x:f>
      </x:c>
      <x:c r="H18" s="127" t="str">
        <x:f>IF($A18="","","OK")</x:f>
      </x:c>
    </x:row>
    <x:row r="19">
      <x:c r="A19" s="127" t="str">
        <x:f>IF(AND(Locations!A19="Yes",Locations!I19="OK"),Locations!B19,"")</x:f>
      </x:c>
      <x:c r="B19" s="127" t="str">
        <x:f>IF($A19="","",IFERROR(VLOOKUP(Locations!B19,NOCs!$B$5:$C$44,2,FALSE),""))</x:f>
      </x:c>
      <x:c r="C19" s="127" t="str">
        <x:f>IF($A19="","",Locations!C19)</x:f>
      </x:c>
      <x:c r="D19" s="127" t="str">
        <x:f>IF($A19="","",Locations!D19)</x:f>
      </x:c>
      <x:c r="E19" s="127" t="str">
        <x:f>IF($A19="","",Locations!F19)</x:f>
      </x:c>
      <x:c r="F19" s="127" t="str">
        <x:f>IF($A19="","",Locations!E19)</x:f>
      </x:c>
      <x:c r="G19" s="127" t="str">
        <x:f>IF($A19="","","LOCATION")</x:f>
      </x:c>
      <x:c r="H19" s="127" t="str">
        <x:f>IF($A19="","","OK")</x:f>
      </x:c>
    </x:row>
    <x:row r="20">
      <x:c r="A20" s="127" t="str">
        <x:f>IF(AND(Locations!A20="Yes",Locations!I20="OK"),Locations!B20,"")</x:f>
      </x:c>
      <x:c r="B20" s="127" t="str">
        <x:f>IF($A20="","",IFERROR(VLOOKUP(Locations!B20,NOCs!$B$5:$C$44,2,FALSE),""))</x:f>
      </x:c>
      <x:c r="C20" s="127" t="str">
        <x:f>IF($A20="","",Locations!C20)</x:f>
      </x:c>
      <x:c r="D20" s="127" t="str">
        <x:f>IF($A20="","",Locations!D20)</x:f>
      </x:c>
      <x:c r="E20" s="127" t="str">
        <x:f>IF($A20="","",Locations!F20)</x:f>
      </x:c>
      <x:c r="F20" s="127" t="str">
        <x:f>IF($A20="","",Locations!E20)</x:f>
      </x:c>
      <x:c r="G20" s="127" t="str">
        <x:f>IF($A20="","","LOCATION")</x:f>
      </x:c>
      <x:c r="H20" s="127" t="str">
        <x:f>IF($A20="","","OK")</x:f>
      </x:c>
    </x:row>
    <x:row r="21">
      <x:c r="A21" s="127" t="str">
        <x:f>IF(AND(Locations!A21="Yes",Locations!I21="OK"),Locations!B21,"")</x:f>
      </x:c>
      <x:c r="B21" s="127" t="str">
        <x:f>IF($A21="","",IFERROR(VLOOKUP(Locations!B21,NOCs!$B$5:$C$44,2,FALSE),""))</x:f>
      </x:c>
      <x:c r="C21" s="127" t="str">
        <x:f>IF($A21="","",Locations!C21)</x:f>
      </x:c>
      <x:c r="D21" s="127" t="str">
        <x:f>IF($A21="","",Locations!D21)</x:f>
      </x:c>
      <x:c r="E21" s="127" t="str">
        <x:f>IF($A21="","",Locations!F21)</x:f>
      </x:c>
      <x:c r="F21" s="127" t="str">
        <x:f>IF($A21="","",Locations!E21)</x:f>
      </x:c>
      <x:c r="G21" s="127" t="str">
        <x:f>IF($A21="","","LOCATION")</x:f>
      </x:c>
      <x:c r="H21" s="127" t="str">
        <x:f>IF($A21="","","OK")</x:f>
      </x:c>
    </x:row>
    <x:row r="22">
      <x:c r="A22" s="127" t="str">
        <x:f>IF(AND(Locations!A22="Yes",Locations!I22="OK"),Locations!B22,"")</x:f>
      </x:c>
      <x:c r="B22" s="127" t="str">
        <x:f>IF($A22="","",IFERROR(VLOOKUP(Locations!B22,NOCs!$B$5:$C$44,2,FALSE),""))</x:f>
      </x:c>
      <x:c r="C22" s="127" t="str">
        <x:f>IF($A22="","",Locations!C22)</x:f>
      </x:c>
      <x:c r="D22" s="127" t="str">
        <x:f>IF($A22="","",Locations!D22)</x:f>
      </x:c>
      <x:c r="E22" s="127" t="str">
        <x:f>IF($A22="","",Locations!F22)</x:f>
      </x:c>
      <x:c r="F22" s="127" t="str">
        <x:f>IF($A22="","",Locations!E22)</x:f>
      </x:c>
      <x:c r="G22" s="127" t="str">
        <x:f>IF($A22="","","LOCATION")</x:f>
      </x:c>
      <x:c r="H22" s="127" t="str">
        <x:f>IF($A22="","","OK")</x:f>
      </x:c>
    </x:row>
    <x:row r="23">
      <x:c r="A23" s="127" t="str">
        <x:f>IF(AND(Locations!A23="Yes",Locations!I23="OK"),Locations!B23,"")</x:f>
      </x:c>
      <x:c r="B23" s="127" t="str">
        <x:f>IF($A23="","",IFERROR(VLOOKUP(Locations!B23,NOCs!$B$5:$C$44,2,FALSE),""))</x:f>
      </x:c>
      <x:c r="C23" s="127" t="str">
        <x:f>IF($A23="","",Locations!C23)</x:f>
      </x:c>
      <x:c r="D23" s="127" t="str">
        <x:f>IF($A23="","",Locations!D23)</x:f>
      </x:c>
      <x:c r="E23" s="127" t="str">
        <x:f>IF($A23="","",Locations!F23)</x:f>
      </x:c>
      <x:c r="F23" s="127" t="str">
        <x:f>IF($A23="","",Locations!E23)</x:f>
      </x:c>
      <x:c r="G23" s="127" t="str">
        <x:f>IF($A23="","","LOCATION")</x:f>
      </x:c>
      <x:c r="H23" s="127" t="str">
        <x:f>IF($A23="","","OK")</x:f>
      </x:c>
    </x:row>
    <x:row r="24">
      <x:c r="A24" s="127" t="str">
        <x:f>IF(AND(Locations!A24="Yes",Locations!I24="OK"),Locations!B24,"")</x:f>
      </x:c>
      <x:c r="B24" s="127" t="str">
        <x:f>IF($A24="","",IFERROR(VLOOKUP(Locations!B24,NOCs!$B$5:$C$44,2,FALSE),""))</x:f>
      </x:c>
      <x:c r="C24" s="127" t="str">
        <x:f>IF($A24="","",Locations!C24)</x:f>
      </x:c>
      <x:c r="D24" s="127" t="str">
        <x:f>IF($A24="","",Locations!D24)</x:f>
      </x:c>
      <x:c r="E24" s="127" t="str">
        <x:f>IF($A24="","",Locations!F24)</x:f>
      </x:c>
      <x:c r="F24" s="127" t="str">
        <x:f>IF($A24="","",Locations!E24)</x:f>
      </x:c>
      <x:c r="G24" s="127" t="str">
        <x:f>IF($A24="","","LOCATION")</x:f>
      </x:c>
      <x:c r="H24" s="127" t="str">
        <x:f>IF($A24="","","OK")</x:f>
      </x:c>
    </x:row>
    <x:row r="25">
      <x:c r="A25" s="127" t="str">
        <x:f>IF(AND(Locations!A25="Yes",Locations!I25="OK"),Locations!B25,"")</x:f>
      </x:c>
      <x:c r="B25" s="127" t="str">
        <x:f>IF($A25="","",IFERROR(VLOOKUP(Locations!B25,NOCs!$B$5:$C$44,2,FALSE),""))</x:f>
      </x:c>
      <x:c r="C25" s="127" t="str">
        <x:f>IF($A25="","",Locations!C25)</x:f>
      </x:c>
      <x:c r="D25" s="127" t="str">
        <x:f>IF($A25="","",Locations!D25)</x:f>
      </x:c>
      <x:c r="E25" s="127" t="str">
        <x:f>IF($A25="","",Locations!F25)</x:f>
      </x:c>
      <x:c r="F25" s="127" t="str">
        <x:f>IF($A25="","",Locations!E25)</x:f>
      </x:c>
      <x:c r="G25" s="127" t="str">
        <x:f>IF($A25="","","LOCATION")</x:f>
      </x:c>
      <x:c r="H25" s="127" t="str">
        <x:f>IF($A25="","","OK")</x:f>
      </x:c>
    </x:row>
    <x:row r="26">
      <x:c r="A26" s="127" t="str">
        <x:f>IF(AND(Locations!A26="Yes",Locations!I26="OK"),Locations!B26,"")</x:f>
      </x:c>
      <x:c r="B26" s="127" t="str">
        <x:f>IF($A26="","",IFERROR(VLOOKUP(Locations!B26,NOCs!$B$5:$C$44,2,FALSE),""))</x:f>
      </x:c>
      <x:c r="C26" s="127" t="str">
        <x:f>IF($A26="","",Locations!C26)</x:f>
      </x:c>
      <x:c r="D26" s="127" t="str">
        <x:f>IF($A26="","",Locations!D26)</x:f>
      </x:c>
      <x:c r="E26" s="127" t="str">
        <x:f>IF($A26="","",Locations!F26)</x:f>
      </x:c>
      <x:c r="F26" s="127" t="str">
        <x:f>IF($A26="","",Locations!E26)</x:f>
      </x:c>
      <x:c r="G26" s="127" t="str">
        <x:f>IF($A26="","","LOCATION")</x:f>
      </x:c>
      <x:c r="H26" s="127" t="str">
        <x:f>IF($A26="","","OK")</x:f>
      </x:c>
    </x:row>
    <x:row r="27">
      <x:c r="A27" s="127" t="str">
        <x:f>IF(AND(Locations!A27="Yes",Locations!I27="OK"),Locations!B27,"")</x:f>
      </x:c>
      <x:c r="B27" s="127" t="str">
        <x:f>IF($A27="","",IFERROR(VLOOKUP(Locations!B27,NOCs!$B$5:$C$44,2,FALSE),""))</x:f>
      </x:c>
      <x:c r="C27" s="127" t="str">
        <x:f>IF($A27="","",Locations!C27)</x:f>
      </x:c>
      <x:c r="D27" s="127" t="str">
        <x:f>IF($A27="","",Locations!D27)</x:f>
      </x:c>
      <x:c r="E27" s="127" t="str">
        <x:f>IF($A27="","",Locations!F27)</x:f>
      </x:c>
      <x:c r="F27" s="127" t="str">
        <x:f>IF($A27="","",Locations!E27)</x:f>
      </x:c>
      <x:c r="G27" s="127" t="str">
        <x:f>IF($A27="","","LOCATION")</x:f>
      </x:c>
      <x:c r="H27" s="127" t="str">
        <x:f>IF($A27="","","OK")</x:f>
      </x:c>
    </x:row>
    <x:row r="28">
      <x:c r="A28" s="127" t="str">
        <x:f>IF(AND(Locations!A28="Yes",Locations!I28="OK"),Locations!B28,"")</x:f>
      </x:c>
      <x:c r="B28" s="127" t="str">
        <x:f>IF($A28="","",IFERROR(VLOOKUP(Locations!B28,NOCs!$B$5:$C$44,2,FALSE),""))</x:f>
      </x:c>
      <x:c r="C28" s="127" t="str">
        <x:f>IF($A28="","",Locations!C28)</x:f>
      </x:c>
      <x:c r="D28" s="127" t="str">
        <x:f>IF($A28="","",Locations!D28)</x:f>
      </x:c>
      <x:c r="E28" s="127" t="str">
        <x:f>IF($A28="","",Locations!F28)</x:f>
      </x:c>
      <x:c r="F28" s="127" t="str">
        <x:f>IF($A28="","",Locations!E28)</x:f>
      </x:c>
      <x:c r="G28" s="127" t="str">
        <x:f>IF($A28="","","LOCATION")</x:f>
      </x:c>
      <x:c r="H28" s="127" t="str">
        <x:f>IF($A28="","","OK")</x:f>
      </x:c>
    </x:row>
    <x:row r="29">
      <x:c r="A29" s="127" t="str">
        <x:f>IF(AND(Locations!A29="Yes",Locations!I29="OK"),Locations!B29,"")</x:f>
      </x:c>
      <x:c r="B29" s="127" t="str">
        <x:f>IF($A29="","",IFERROR(VLOOKUP(Locations!B29,NOCs!$B$5:$C$44,2,FALSE),""))</x:f>
      </x:c>
      <x:c r="C29" s="127" t="str">
        <x:f>IF($A29="","",Locations!C29)</x:f>
      </x:c>
      <x:c r="D29" s="127" t="str">
        <x:f>IF($A29="","",Locations!D29)</x:f>
      </x:c>
      <x:c r="E29" s="127" t="str">
        <x:f>IF($A29="","",Locations!F29)</x:f>
      </x:c>
      <x:c r="F29" s="127" t="str">
        <x:f>IF($A29="","",Locations!E29)</x:f>
      </x:c>
      <x:c r="G29" s="127" t="str">
        <x:f>IF($A29="","","LOCATION")</x:f>
      </x:c>
      <x:c r="H29" s="127" t="str">
        <x:f>IF($A29="","","OK")</x:f>
      </x:c>
    </x:row>
    <x:row r="30">
      <x:c r="A30" s="127" t="str">
        <x:f>IF(AND(Locations!A30="Yes",Locations!I30="OK"),Locations!B30,"")</x:f>
      </x:c>
      <x:c r="B30" s="127" t="str">
        <x:f>IF($A30="","",IFERROR(VLOOKUP(Locations!B30,NOCs!$B$5:$C$44,2,FALSE),""))</x:f>
      </x:c>
      <x:c r="C30" s="127" t="str">
        <x:f>IF($A30="","",Locations!C30)</x:f>
      </x:c>
      <x:c r="D30" s="127" t="str">
        <x:f>IF($A30="","",Locations!D30)</x:f>
      </x:c>
      <x:c r="E30" s="127" t="str">
        <x:f>IF($A30="","",Locations!F30)</x:f>
      </x:c>
      <x:c r="F30" s="127" t="str">
        <x:f>IF($A30="","",Locations!E30)</x:f>
      </x:c>
      <x:c r="G30" s="127" t="str">
        <x:f>IF($A30="","","LOCATION")</x:f>
      </x:c>
      <x:c r="H30" s="127" t="str">
        <x:f>IF($A30="","","OK")</x:f>
      </x:c>
    </x:row>
    <x:row r="31">
      <x:c r="A31" s="127" t="str">
        <x:f>IF(AND(Locations!A31="Yes",Locations!I31="OK"),Locations!B31,"")</x:f>
      </x:c>
      <x:c r="B31" s="127" t="str">
        <x:f>IF($A31="","",IFERROR(VLOOKUP(Locations!B31,NOCs!$B$5:$C$44,2,FALSE),""))</x:f>
      </x:c>
      <x:c r="C31" s="127" t="str">
        <x:f>IF($A31="","",Locations!C31)</x:f>
      </x:c>
      <x:c r="D31" s="127" t="str">
        <x:f>IF($A31="","",Locations!D31)</x:f>
      </x:c>
      <x:c r="E31" s="127" t="str">
        <x:f>IF($A31="","",Locations!F31)</x:f>
      </x:c>
      <x:c r="F31" s="127" t="str">
        <x:f>IF($A31="","",Locations!E31)</x:f>
      </x:c>
      <x:c r="G31" s="127" t="str">
        <x:f>IF($A31="","","LOCATION")</x:f>
      </x:c>
      <x:c r="H31" s="127" t="str">
        <x:f>IF($A31="","","OK")</x:f>
      </x:c>
    </x:row>
    <x:row r="32">
      <x:c r="A32" s="127" t="str">
        <x:f>IF(AND(Locations!A32="Yes",Locations!I32="OK"),Locations!B32,"")</x:f>
      </x:c>
      <x:c r="B32" s="127" t="str">
        <x:f>IF($A32="","",IFERROR(VLOOKUP(Locations!B32,NOCs!$B$5:$C$44,2,FALSE),""))</x:f>
      </x:c>
      <x:c r="C32" s="127" t="str">
        <x:f>IF($A32="","",Locations!C32)</x:f>
      </x:c>
      <x:c r="D32" s="127" t="str">
        <x:f>IF($A32="","",Locations!D32)</x:f>
      </x:c>
      <x:c r="E32" s="127" t="str">
        <x:f>IF($A32="","",Locations!F32)</x:f>
      </x:c>
      <x:c r="F32" s="127" t="str">
        <x:f>IF($A32="","",Locations!E32)</x:f>
      </x:c>
      <x:c r="G32" s="127" t="str">
        <x:f>IF($A32="","","LOCATION")</x:f>
      </x:c>
      <x:c r="H32" s="127" t="str">
        <x:f>IF($A32="","","OK")</x:f>
      </x:c>
    </x:row>
    <x:row r="33">
      <x:c r="A33" s="127" t="str">
        <x:f>IF(AND(Locations!A33="Yes",Locations!I33="OK"),Locations!B33,"")</x:f>
      </x:c>
      <x:c r="B33" s="127" t="str">
        <x:f>IF($A33="","",IFERROR(VLOOKUP(Locations!B33,NOCs!$B$5:$C$44,2,FALSE),""))</x:f>
      </x:c>
      <x:c r="C33" s="127" t="str">
        <x:f>IF($A33="","",Locations!C33)</x:f>
      </x:c>
      <x:c r="D33" s="127" t="str">
        <x:f>IF($A33="","",Locations!D33)</x:f>
      </x:c>
      <x:c r="E33" s="127" t="str">
        <x:f>IF($A33="","",Locations!F33)</x:f>
      </x:c>
      <x:c r="F33" s="127" t="str">
        <x:f>IF($A33="","",Locations!E33)</x:f>
      </x:c>
      <x:c r="G33" s="127" t="str">
        <x:f>IF($A33="","","LOCATION")</x:f>
      </x:c>
      <x:c r="H33" s="127" t="str">
        <x:f>IF($A33="","","OK")</x:f>
      </x:c>
    </x:row>
    <x:row r="34">
      <x:c r="A34" s="127" t="str">
        <x:f>IF(AND(Locations!A34="Yes",Locations!I34="OK"),Locations!B34,"")</x:f>
      </x:c>
      <x:c r="B34" s="127" t="str">
        <x:f>IF($A34="","",IFERROR(VLOOKUP(Locations!B34,NOCs!$B$5:$C$44,2,FALSE),""))</x:f>
      </x:c>
      <x:c r="C34" s="127" t="str">
        <x:f>IF($A34="","",Locations!C34)</x:f>
      </x:c>
      <x:c r="D34" s="127" t="str">
        <x:f>IF($A34="","",Locations!D34)</x:f>
      </x:c>
      <x:c r="E34" s="127" t="str">
        <x:f>IF($A34="","",Locations!F34)</x:f>
      </x:c>
      <x:c r="F34" s="127" t="str">
        <x:f>IF($A34="","",Locations!E34)</x:f>
      </x:c>
      <x:c r="G34" s="127" t="str">
        <x:f>IF($A34="","","LOCATION")</x:f>
      </x:c>
      <x:c r="H34" s="127" t="str">
        <x:f>IF($A34="","","OK")</x:f>
      </x:c>
    </x:row>
    <x:row r="35">
      <x:c r="A35" s="127" t="str">
        <x:f>IF(AND(Locations!A35="Yes",Locations!I35="OK"),Locations!B35,"")</x:f>
      </x:c>
      <x:c r="B35" s="127" t="str">
        <x:f>IF($A35="","",IFERROR(VLOOKUP(Locations!B35,NOCs!$B$5:$C$44,2,FALSE),""))</x:f>
      </x:c>
      <x:c r="C35" s="127" t="str">
        <x:f>IF($A35="","",Locations!C35)</x:f>
      </x:c>
      <x:c r="D35" s="127" t="str">
        <x:f>IF($A35="","",Locations!D35)</x:f>
      </x:c>
      <x:c r="E35" s="127" t="str">
        <x:f>IF($A35="","",Locations!F35)</x:f>
      </x:c>
      <x:c r="F35" s="127" t="str">
        <x:f>IF($A35="","",Locations!E35)</x:f>
      </x:c>
      <x:c r="G35" s="127" t="str">
        <x:f>IF($A35="","","LOCATION")</x:f>
      </x:c>
      <x:c r="H35" s="127" t="str">
        <x:f>IF($A35="","","OK")</x:f>
      </x:c>
    </x:row>
    <x:row r="36">
      <x:c r="A36" s="127" t="str">
        <x:f>IF(AND(Locations!A36="Yes",Locations!I36="OK"),Locations!B36,"")</x:f>
      </x:c>
      <x:c r="B36" s="127" t="str">
        <x:f>IF($A36="","",IFERROR(VLOOKUP(Locations!B36,NOCs!$B$5:$C$44,2,FALSE),""))</x:f>
      </x:c>
      <x:c r="C36" s="127" t="str">
        <x:f>IF($A36="","",Locations!C36)</x:f>
      </x:c>
      <x:c r="D36" s="127" t="str">
        <x:f>IF($A36="","",Locations!D36)</x:f>
      </x:c>
      <x:c r="E36" s="127" t="str">
        <x:f>IF($A36="","",Locations!F36)</x:f>
      </x:c>
      <x:c r="F36" s="127" t="str">
        <x:f>IF($A36="","",Locations!E36)</x:f>
      </x:c>
      <x:c r="G36" s="127" t="str">
        <x:f>IF($A36="","","LOCATION")</x:f>
      </x:c>
      <x:c r="H36" s="127" t="str">
        <x:f>IF($A36="","","OK")</x:f>
      </x:c>
    </x:row>
    <x:row r="37">
      <x:c r="A37" s="127" t="str">
        <x:f>IF(AND(Locations!A37="Yes",Locations!I37="OK"),Locations!B37,"")</x:f>
      </x:c>
      <x:c r="B37" s="127" t="str">
        <x:f>IF($A37="","",IFERROR(VLOOKUP(Locations!B37,NOCs!$B$5:$C$44,2,FALSE),""))</x:f>
      </x:c>
      <x:c r="C37" s="127" t="str">
        <x:f>IF($A37="","",Locations!C37)</x:f>
      </x:c>
      <x:c r="D37" s="127" t="str">
        <x:f>IF($A37="","",Locations!D37)</x:f>
      </x:c>
      <x:c r="E37" s="127" t="str">
        <x:f>IF($A37="","",Locations!F37)</x:f>
      </x:c>
      <x:c r="F37" s="127" t="str">
        <x:f>IF($A37="","",Locations!E37)</x:f>
      </x:c>
      <x:c r="G37" s="127" t="str">
        <x:f>IF($A37="","","LOCATION")</x:f>
      </x:c>
      <x:c r="H37" s="127" t="str">
        <x:f>IF($A37="","","OK")</x:f>
      </x:c>
    </x:row>
    <x:row r="38">
      <x:c r="A38" s="127" t="str">
        <x:f>IF(AND(Locations!A38="Yes",Locations!I38="OK"),Locations!B38,"")</x:f>
      </x:c>
      <x:c r="B38" s="127" t="str">
        <x:f>IF($A38="","",IFERROR(VLOOKUP(Locations!B38,NOCs!$B$5:$C$44,2,FALSE),""))</x:f>
      </x:c>
      <x:c r="C38" s="127" t="str">
        <x:f>IF($A38="","",Locations!C38)</x:f>
      </x:c>
      <x:c r="D38" s="127" t="str">
        <x:f>IF($A38="","",Locations!D38)</x:f>
      </x:c>
      <x:c r="E38" s="127" t="str">
        <x:f>IF($A38="","",Locations!F38)</x:f>
      </x:c>
      <x:c r="F38" s="127" t="str">
        <x:f>IF($A38="","",Locations!E38)</x:f>
      </x:c>
      <x:c r="G38" s="127" t="str">
        <x:f>IF($A38="","","LOCATION")</x:f>
      </x:c>
      <x:c r="H38" s="127" t="str">
        <x:f>IF($A38="","","OK")</x:f>
      </x:c>
    </x:row>
    <x:row r="39">
      <x:c r="A39" s="127" t="str">
        <x:f>IF(AND(Locations!A39="Yes",Locations!I39="OK"),Locations!B39,"")</x:f>
      </x:c>
      <x:c r="B39" s="127" t="str">
        <x:f>IF($A39="","",IFERROR(VLOOKUP(Locations!B39,NOCs!$B$5:$C$44,2,FALSE),""))</x:f>
      </x:c>
      <x:c r="C39" s="127" t="str">
        <x:f>IF($A39="","",Locations!C39)</x:f>
      </x:c>
      <x:c r="D39" s="127" t="str">
        <x:f>IF($A39="","",Locations!D39)</x:f>
      </x:c>
      <x:c r="E39" s="127" t="str">
        <x:f>IF($A39="","",Locations!F39)</x:f>
      </x:c>
      <x:c r="F39" s="127" t="str">
        <x:f>IF($A39="","",Locations!E39)</x:f>
      </x:c>
      <x:c r="G39" s="127" t="str">
        <x:f>IF($A39="","","LOCATION")</x:f>
      </x:c>
      <x:c r="H39" s="127" t="str">
        <x:f>IF($A39="","","OK")</x:f>
      </x:c>
    </x:row>
    <x:row r="40">
      <x:c r="A40" s="127" t="str">
        <x:f>IF(AND(Locations!A40="Yes",Locations!I40="OK"),Locations!B40,"")</x:f>
      </x:c>
      <x:c r="B40" s="127" t="str">
        <x:f>IF($A40="","",IFERROR(VLOOKUP(Locations!B40,NOCs!$B$5:$C$44,2,FALSE),""))</x:f>
      </x:c>
      <x:c r="C40" s="127" t="str">
        <x:f>IF($A40="","",Locations!C40)</x:f>
      </x:c>
      <x:c r="D40" s="127" t="str">
        <x:f>IF($A40="","",Locations!D40)</x:f>
      </x:c>
      <x:c r="E40" s="127" t="str">
        <x:f>IF($A40="","",Locations!F40)</x:f>
      </x:c>
      <x:c r="F40" s="127" t="str">
        <x:f>IF($A40="","",Locations!E40)</x:f>
      </x:c>
      <x:c r="G40" s="127" t="str">
        <x:f>IF($A40="","","LOCATION")</x:f>
      </x:c>
      <x:c r="H40" s="127" t="str">
        <x:f>IF($A40="","","OK")</x:f>
      </x:c>
    </x:row>
    <x:row r="41">
      <x:c r="A41" s="127" t="str">
        <x:f>IF(AND(Locations!A41="Yes",Locations!I41="OK"),Locations!B41,"")</x:f>
      </x:c>
      <x:c r="B41" s="127" t="str">
        <x:f>IF($A41="","",IFERROR(VLOOKUP(Locations!B41,NOCs!$B$5:$C$44,2,FALSE),""))</x:f>
      </x:c>
      <x:c r="C41" s="127" t="str">
        <x:f>IF($A41="","",Locations!C41)</x:f>
      </x:c>
      <x:c r="D41" s="127" t="str">
        <x:f>IF($A41="","",Locations!D41)</x:f>
      </x:c>
      <x:c r="E41" s="127" t="str">
        <x:f>IF($A41="","",Locations!F41)</x:f>
      </x:c>
      <x:c r="F41" s="127" t="str">
        <x:f>IF($A41="","",Locations!E41)</x:f>
      </x:c>
      <x:c r="G41" s="127" t="str">
        <x:f>IF($A41="","","LOCATION")</x:f>
      </x:c>
      <x:c r="H41" s="127" t="str">
        <x:f>IF($A41="","","OK")</x:f>
      </x:c>
    </x:row>
    <x:row r="42">
      <x:c r="A42" s="127" t="str">
        <x:f>IF(AND(Locations!A42="Yes",Locations!I42="OK"),Locations!B42,"")</x:f>
      </x:c>
      <x:c r="B42" s="127" t="str">
        <x:f>IF($A42="","",IFERROR(VLOOKUP(Locations!B42,NOCs!$B$5:$C$44,2,FALSE),""))</x:f>
      </x:c>
      <x:c r="C42" s="127" t="str">
        <x:f>IF($A42="","",Locations!C42)</x:f>
      </x:c>
      <x:c r="D42" s="127" t="str">
        <x:f>IF($A42="","",Locations!D42)</x:f>
      </x:c>
      <x:c r="E42" s="127" t="str">
        <x:f>IF($A42="","",Locations!F42)</x:f>
      </x:c>
      <x:c r="F42" s="127" t="str">
        <x:f>IF($A42="","",Locations!E42)</x:f>
      </x:c>
      <x:c r="G42" s="127" t="str">
        <x:f>IF($A42="","","LOCATION")</x:f>
      </x:c>
      <x:c r="H42" s="127" t="str">
        <x:f>IF($A42="","","OK")</x:f>
      </x:c>
    </x:row>
    <x:row r="43">
      <x:c r="A43" s="127" t="str">
        <x:f>IF(AND(Locations!A43="Yes",Locations!I43="OK"),Locations!B43,"")</x:f>
      </x:c>
      <x:c r="B43" s="127" t="str">
        <x:f>IF($A43="","",IFERROR(VLOOKUP(Locations!B43,NOCs!$B$5:$C$44,2,FALSE),""))</x:f>
      </x:c>
      <x:c r="C43" s="127" t="str">
        <x:f>IF($A43="","",Locations!C43)</x:f>
      </x:c>
      <x:c r="D43" s="127" t="str">
        <x:f>IF($A43="","",Locations!D43)</x:f>
      </x:c>
      <x:c r="E43" s="127" t="str">
        <x:f>IF($A43="","",Locations!F43)</x:f>
      </x:c>
      <x:c r="F43" s="127" t="str">
        <x:f>IF($A43="","",Locations!E43)</x:f>
      </x:c>
      <x:c r="G43" s="127" t="str">
        <x:f>IF($A43="","","LOCATION")</x:f>
      </x:c>
      <x:c r="H43" s="127" t="str">
        <x:f>IF($A43="","","OK")</x:f>
      </x:c>
    </x:row>
    <x:row r="44">
      <x:c r="A44" s="127" t="str">
        <x:f>IF(AND(Locations!A44="Yes",Locations!I44="OK"),Locations!B44,"")</x:f>
      </x:c>
      <x:c r="B44" s="127" t="str">
        <x:f>IF($A44="","",IFERROR(VLOOKUP(Locations!B44,NOCs!$B$5:$C$44,2,FALSE),""))</x:f>
      </x:c>
      <x:c r="C44" s="127" t="str">
        <x:f>IF($A44="","",Locations!C44)</x:f>
      </x:c>
      <x:c r="D44" s="127" t="str">
        <x:f>IF($A44="","",Locations!D44)</x:f>
      </x:c>
      <x:c r="E44" s="127" t="str">
        <x:f>IF($A44="","",Locations!F44)</x:f>
      </x:c>
      <x:c r="F44" s="127" t="str">
        <x:f>IF($A44="","",Locations!E44)</x:f>
      </x:c>
      <x:c r="G44" s="127" t="str">
        <x:f>IF($A44="","","LOCATION")</x:f>
      </x:c>
      <x:c r="H44" s="127" t="str">
        <x:f>IF($A44="","","OK")</x:f>
      </x:c>
    </x:row>
    <x:row r="45">
      <x:c r="A45" s="127" t="str">
        <x:f>IF(AND(Locations!A45="Yes",Locations!I45="OK"),Locations!B45,"")</x:f>
      </x:c>
      <x:c r="B45" s="127" t="str">
        <x:f>IF($A45="","",IFERROR(VLOOKUP(Locations!B45,NOCs!$B$5:$C$44,2,FALSE),""))</x:f>
      </x:c>
      <x:c r="C45" s="127" t="str">
        <x:f>IF($A45="","",Locations!C45)</x:f>
      </x:c>
      <x:c r="D45" s="127" t="str">
        <x:f>IF($A45="","",Locations!D45)</x:f>
      </x:c>
      <x:c r="E45" s="127" t="str">
        <x:f>IF($A45="","",Locations!F45)</x:f>
      </x:c>
      <x:c r="F45" s="127" t="str">
        <x:f>IF($A45="","",Locations!E45)</x:f>
      </x:c>
      <x:c r="G45" s="127" t="str">
        <x:f>IF($A45="","","LOCATION")</x:f>
      </x:c>
      <x:c r="H45" s="127" t="str">
        <x:f>IF($A45="","","OK")</x:f>
      </x:c>
    </x:row>
    <x:row r="46">
      <x:c r="A46" s="127" t="str">
        <x:f>IF(AND(Locations!A46="Yes",Locations!I46="OK"),Locations!B46,"")</x:f>
      </x:c>
      <x:c r="B46" s="127" t="str">
        <x:f>IF($A46="","",IFERROR(VLOOKUP(Locations!B46,NOCs!$B$5:$C$44,2,FALSE),""))</x:f>
      </x:c>
      <x:c r="C46" s="127" t="str">
        <x:f>IF($A46="","",Locations!C46)</x:f>
      </x:c>
      <x:c r="D46" s="127" t="str">
        <x:f>IF($A46="","",Locations!D46)</x:f>
      </x:c>
      <x:c r="E46" s="127" t="str">
        <x:f>IF($A46="","",Locations!F46)</x:f>
      </x:c>
      <x:c r="F46" s="127" t="str">
        <x:f>IF($A46="","",Locations!E46)</x:f>
      </x:c>
      <x:c r="G46" s="127" t="str">
        <x:f>IF($A46="","","LOCATION")</x:f>
      </x:c>
      <x:c r="H46" s="127" t="str">
        <x:f>IF($A46="","","OK")</x:f>
      </x:c>
    </x:row>
    <x:row r="47">
      <x:c r="A47" s="127" t="str">
        <x:f>IF(AND(Locations!A47="Yes",Locations!I47="OK"),Locations!B47,"")</x:f>
      </x:c>
      <x:c r="B47" s="127" t="str">
        <x:f>IF($A47="","",IFERROR(VLOOKUP(Locations!B47,NOCs!$B$5:$C$44,2,FALSE),""))</x:f>
      </x:c>
      <x:c r="C47" s="127" t="str">
        <x:f>IF($A47="","",Locations!C47)</x:f>
      </x:c>
      <x:c r="D47" s="127" t="str">
        <x:f>IF($A47="","",Locations!D47)</x:f>
      </x:c>
      <x:c r="E47" s="127" t="str">
        <x:f>IF($A47="","",Locations!F47)</x:f>
      </x:c>
      <x:c r="F47" s="127" t="str">
        <x:f>IF($A47="","",Locations!E47)</x:f>
      </x:c>
      <x:c r="G47" s="127" t="str">
        <x:f>IF($A47="","","LOCATION")</x:f>
      </x:c>
      <x:c r="H47" s="127" t="str">
        <x:f>IF($A47="","","OK")</x:f>
      </x:c>
    </x:row>
    <x:row r="48">
      <x:c r="A48" s="127" t="str">
        <x:f>IF(AND(Locations!A48="Yes",Locations!I48="OK"),Locations!B48,"")</x:f>
      </x:c>
      <x:c r="B48" s="127" t="str">
        <x:f>IF($A48="","",IFERROR(VLOOKUP(Locations!B48,NOCs!$B$5:$C$44,2,FALSE),""))</x:f>
      </x:c>
      <x:c r="C48" s="127" t="str">
        <x:f>IF($A48="","",Locations!C48)</x:f>
      </x:c>
      <x:c r="D48" s="127" t="str">
        <x:f>IF($A48="","",Locations!D48)</x:f>
      </x:c>
      <x:c r="E48" s="127" t="str">
        <x:f>IF($A48="","",Locations!F48)</x:f>
      </x:c>
      <x:c r="F48" s="127" t="str">
        <x:f>IF($A48="","",Locations!E48)</x:f>
      </x:c>
      <x:c r="G48" s="127" t="str">
        <x:f>IF($A48="","","LOCATION")</x:f>
      </x:c>
      <x:c r="H48" s="127" t="str">
        <x:f>IF($A48="","","OK")</x:f>
      </x:c>
    </x:row>
    <x:row r="49">
      <x:c r="A49" s="127" t="str">
        <x:f>IF(AND(Locations!A49="Yes",Locations!I49="OK"),Locations!B49,"")</x:f>
      </x:c>
      <x:c r="B49" s="127" t="str">
        <x:f>IF($A49="","",IFERROR(VLOOKUP(Locations!B49,NOCs!$B$5:$C$44,2,FALSE),""))</x:f>
      </x:c>
      <x:c r="C49" s="127" t="str">
        <x:f>IF($A49="","",Locations!C49)</x:f>
      </x:c>
      <x:c r="D49" s="127" t="str">
        <x:f>IF($A49="","",Locations!D49)</x:f>
      </x:c>
      <x:c r="E49" s="127" t="str">
        <x:f>IF($A49="","",Locations!F49)</x:f>
      </x:c>
      <x:c r="F49" s="127" t="str">
        <x:f>IF($A49="","",Locations!E49)</x:f>
      </x:c>
      <x:c r="G49" s="127" t="str">
        <x:f>IF($A49="","","LOCATION")</x:f>
      </x:c>
      <x:c r="H49" s="127" t="str">
        <x:f>IF($A49="","","OK")</x:f>
      </x:c>
    </x:row>
    <x:row r="50">
      <x:c r="A50" s="127" t="str">
        <x:f>IF(AND(Locations!A50="Yes",Locations!I50="OK"),Locations!B50,"")</x:f>
      </x:c>
      <x:c r="B50" s="127" t="str">
        <x:f>IF($A50="","",IFERROR(VLOOKUP(Locations!B50,NOCs!$B$5:$C$44,2,FALSE),""))</x:f>
      </x:c>
      <x:c r="C50" s="127" t="str">
        <x:f>IF($A50="","",Locations!C50)</x:f>
      </x:c>
      <x:c r="D50" s="127" t="str">
        <x:f>IF($A50="","",Locations!D50)</x:f>
      </x:c>
      <x:c r="E50" s="127" t="str">
        <x:f>IF($A50="","",Locations!F50)</x:f>
      </x:c>
      <x:c r="F50" s="127" t="str">
        <x:f>IF($A50="","",Locations!E50)</x:f>
      </x:c>
      <x:c r="G50" s="127" t="str">
        <x:f>IF($A50="","","LOCATION")</x:f>
      </x:c>
      <x:c r="H50" s="127" t="str">
        <x:f>IF($A50="","","OK")</x:f>
      </x:c>
    </x:row>
    <x:row r="51">
      <x:c r="A51" s="127" t="str">
        <x:f>IF(AND(Locations!A51="Yes",Locations!I51="OK"),Locations!B51,"")</x:f>
      </x:c>
      <x:c r="B51" s="127" t="str">
        <x:f>IF($A51="","",IFERROR(VLOOKUP(Locations!B51,NOCs!$B$5:$C$44,2,FALSE),""))</x:f>
      </x:c>
      <x:c r="C51" s="127" t="str">
        <x:f>IF($A51="","",Locations!C51)</x:f>
      </x:c>
      <x:c r="D51" s="127" t="str">
        <x:f>IF($A51="","",Locations!D51)</x:f>
      </x:c>
      <x:c r="E51" s="127" t="str">
        <x:f>IF($A51="","",Locations!F51)</x:f>
      </x:c>
      <x:c r="F51" s="127" t="str">
        <x:f>IF($A51="","",Locations!E51)</x:f>
      </x:c>
      <x:c r="G51" s="127" t="str">
        <x:f>IF($A51="","","LOCATION")</x:f>
      </x:c>
      <x:c r="H51" s="127" t="str">
        <x:f>IF($A51="","","OK")</x:f>
      </x:c>
    </x:row>
    <x:row r="52">
      <x:c r="A52" s="127" t="str">
        <x:f>IF(AND(Locations!A52="Yes",Locations!I52="OK"),Locations!B52,"")</x:f>
      </x:c>
      <x:c r="B52" s="127" t="str">
        <x:f>IF($A52="","",IFERROR(VLOOKUP(Locations!B52,NOCs!$B$5:$C$44,2,FALSE),""))</x:f>
      </x:c>
      <x:c r="C52" s="127" t="str">
        <x:f>IF($A52="","",Locations!C52)</x:f>
      </x:c>
      <x:c r="D52" s="127" t="str">
        <x:f>IF($A52="","",Locations!D52)</x:f>
      </x:c>
      <x:c r="E52" s="127" t="str">
        <x:f>IF($A52="","",Locations!F52)</x:f>
      </x:c>
      <x:c r="F52" s="127" t="str">
        <x:f>IF($A52="","",Locations!E52)</x:f>
      </x:c>
      <x:c r="G52" s="127" t="str">
        <x:f>IF($A52="","","LOCATION")</x:f>
      </x:c>
      <x:c r="H52" s="127" t="str">
        <x:f>IF($A52="","","OK")</x:f>
      </x:c>
    </x:row>
    <x:row r="53">
      <x:c r="A53" s="127" t="str">
        <x:f>IF(AND(Locations!A53="Yes",Locations!I53="OK"),Locations!B53,"")</x:f>
      </x:c>
      <x:c r="B53" s="127" t="str">
        <x:f>IF($A53="","",IFERROR(VLOOKUP(Locations!B53,NOCs!$B$5:$C$44,2,FALSE),""))</x:f>
      </x:c>
      <x:c r="C53" s="127" t="str">
        <x:f>IF($A53="","",Locations!C53)</x:f>
      </x:c>
      <x:c r="D53" s="127" t="str">
        <x:f>IF($A53="","",Locations!D53)</x:f>
      </x:c>
      <x:c r="E53" s="127" t="str">
        <x:f>IF($A53="","",Locations!F53)</x:f>
      </x:c>
      <x:c r="F53" s="127" t="str">
        <x:f>IF($A53="","",Locations!E53)</x:f>
      </x:c>
      <x:c r="G53" s="127" t="str">
        <x:f>IF($A53="","","LOCATION")</x:f>
      </x:c>
      <x:c r="H53" s="127" t="str">
        <x:f>IF($A53="","","OK")</x:f>
      </x:c>
    </x:row>
    <x:row r="54">
      <x:c r="A54" s="127" t="str">
        <x:f>IF(AND(Locations!A54="Yes",Locations!I54="OK"),Locations!B54,"")</x:f>
      </x:c>
      <x:c r="B54" s="127" t="str">
        <x:f>IF($A54="","",IFERROR(VLOOKUP(Locations!B54,NOCs!$B$5:$C$44,2,FALSE),""))</x:f>
      </x:c>
      <x:c r="C54" s="127" t="str">
        <x:f>IF($A54="","",Locations!C54)</x:f>
      </x:c>
      <x:c r="D54" s="127" t="str">
        <x:f>IF($A54="","",Locations!D54)</x:f>
      </x:c>
      <x:c r="E54" s="127" t="str">
        <x:f>IF($A54="","",Locations!F54)</x:f>
      </x:c>
      <x:c r="F54" s="127" t="str">
        <x:f>IF($A54="","",Locations!E54)</x:f>
      </x:c>
      <x:c r="G54" s="127" t="str">
        <x:f>IF($A54="","","LOCATION")</x:f>
      </x:c>
      <x:c r="H54" s="127" t="str">
        <x:f>IF($A54="","","OK")</x:f>
      </x:c>
    </x:row>
    <x:row r="55">
      <x:c r="A55" s="127" t="str">
        <x:f>IF(AND(Locations!A55="Yes",Locations!I55="OK"),Locations!B55,"")</x:f>
      </x:c>
      <x:c r="B55" s="127" t="str">
        <x:f>IF($A55="","",IFERROR(VLOOKUP(Locations!B55,NOCs!$B$5:$C$44,2,FALSE),""))</x:f>
      </x:c>
      <x:c r="C55" s="127" t="str">
        <x:f>IF($A55="","",Locations!C55)</x:f>
      </x:c>
      <x:c r="D55" s="127" t="str">
        <x:f>IF($A55="","",Locations!D55)</x:f>
      </x:c>
      <x:c r="E55" s="127" t="str">
        <x:f>IF($A55="","",Locations!F55)</x:f>
      </x:c>
      <x:c r="F55" s="127" t="str">
        <x:f>IF($A55="","",Locations!E55)</x:f>
      </x:c>
      <x:c r="G55" s="127" t="str">
        <x:f>IF($A55="","","LOCATION")</x:f>
      </x:c>
      <x:c r="H55" s="127" t="str">
        <x:f>IF($A55="","","OK")</x:f>
      </x:c>
    </x:row>
    <x:row r="56">
      <x:c r="A56" s="127" t="str">
        <x:f>IF(AND(Locations!A56="Yes",Locations!I56="OK"),Locations!B56,"")</x:f>
      </x:c>
      <x:c r="B56" s="127" t="str">
        <x:f>IF($A56="","",IFERROR(VLOOKUP(Locations!B56,NOCs!$B$5:$C$44,2,FALSE),""))</x:f>
      </x:c>
      <x:c r="C56" s="127" t="str">
        <x:f>IF($A56="","",Locations!C56)</x:f>
      </x:c>
      <x:c r="D56" s="127" t="str">
        <x:f>IF($A56="","",Locations!D56)</x:f>
      </x:c>
      <x:c r="E56" s="127" t="str">
        <x:f>IF($A56="","",Locations!F56)</x:f>
      </x:c>
      <x:c r="F56" s="127" t="str">
        <x:f>IF($A56="","",Locations!E56)</x:f>
      </x:c>
      <x:c r="G56" s="127" t="str">
        <x:f>IF($A56="","","LOCATION")</x:f>
      </x:c>
      <x:c r="H56" s="127" t="str">
        <x:f>IF($A56="","","OK")</x:f>
      </x:c>
    </x:row>
    <x:row r="57">
      <x:c r="A57" s="127" t="str">
        <x:f>IF(AND(Locations!A57="Yes",Locations!I57="OK"),Locations!B57,"")</x:f>
      </x:c>
      <x:c r="B57" s="127" t="str">
        <x:f>IF($A57="","",IFERROR(VLOOKUP(Locations!B57,NOCs!$B$5:$C$44,2,FALSE),""))</x:f>
      </x:c>
      <x:c r="C57" s="127" t="str">
        <x:f>IF($A57="","",Locations!C57)</x:f>
      </x:c>
      <x:c r="D57" s="127" t="str">
        <x:f>IF($A57="","",Locations!D57)</x:f>
      </x:c>
      <x:c r="E57" s="127" t="str">
        <x:f>IF($A57="","",Locations!F57)</x:f>
      </x:c>
      <x:c r="F57" s="127" t="str">
        <x:f>IF($A57="","",Locations!E57)</x:f>
      </x:c>
      <x:c r="G57" s="127" t="str">
        <x:f>IF($A57="","","LOCATION")</x:f>
      </x:c>
      <x:c r="H57" s="127" t="str">
        <x:f>IF($A57="","","OK")</x:f>
      </x:c>
    </x:row>
    <x:row r="58">
      <x:c r="A58" s="127" t="str">
        <x:f>IF(AND(Locations!A58="Yes",Locations!I58="OK"),Locations!B58,"")</x:f>
      </x:c>
      <x:c r="B58" s="127" t="str">
        <x:f>IF($A58="","",IFERROR(VLOOKUP(Locations!B58,NOCs!$B$5:$C$44,2,FALSE),""))</x:f>
      </x:c>
      <x:c r="C58" s="127" t="str">
        <x:f>IF($A58="","",Locations!C58)</x:f>
      </x:c>
      <x:c r="D58" s="127" t="str">
        <x:f>IF($A58="","",Locations!D58)</x:f>
      </x:c>
      <x:c r="E58" s="127" t="str">
        <x:f>IF($A58="","",Locations!F58)</x:f>
      </x:c>
      <x:c r="F58" s="127" t="str">
        <x:f>IF($A58="","",Locations!E58)</x:f>
      </x:c>
      <x:c r="G58" s="127" t="str">
        <x:f>IF($A58="","","LOCATION")</x:f>
      </x:c>
      <x:c r="H58" s="127" t="str">
        <x:f>IF($A58="","","OK")</x:f>
      </x:c>
    </x:row>
    <x:row r="59">
      <x:c r="A59" s="127" t="str">
        <x:f>IF(AND(Locations!A59="Yes",Locations!I59="OK"),Locations!B59,"")</x:f>
      </x:c>
      <x:c r="B59" s="127" t="str">
        <x:f>IF($A59="","",IFERROR(VLOOKUP(Locations!B59,NOCs!$B$5:$C$44,2,FALSE),""))</x:f>
      </x:c>
      <x:c r="C59" s="127" t="str">
        <x:f>IF($A59="","",Locations!C59)</x:f>
      </x:c>
      <x:c r="D59" s="127" t="str">
        <x:f>IF($A59="","",Locations!D59)</x:f>
      </x:c>
      <x:c r="E59" s="127" t="str">
        <x:f>IF($A59="","",Locations!F59)</x:f>
      </x:c>
      <x:c r="F59" s="127" t="str">
        <x:f>IF($A59="","",Locations!E59)</x:f>
      </x:c>
      <x:c r="G59" s="127" t="str">
        <x:f>IF($A59="","","LOCATION")</x:f>
      </x:c>
      <x:c r="H59" s="127" t="str">
        <x:f>IF($A59="","","OK")</x:f>
      </x:c>
    </x:row>
    <x:row r="60">
      <x:c r="A60" s="127" t="str">
        <x:f>IF(AND(Locations!A60="Yes",Locations!I60="OK"),Locations!B60,"")</x:f>
      </x:c>
      <x:c r="B60" s="127" t="str">
        <x:f>IF($A60="","",IFERROR(VLOOKUP(Locations!B60,NOCs!$B$5:$C$44,2,FALSE),""))</x:f>
      </x:c>
      <x:c r="C60" s="127" t="str">
        <x:f>IF($A60="","",Locations!C60)</x:f>
      </x:c>
      <x:c r="D60" s="127" t="str">
        <x:f>IF($A60="","",Locations!D60)</x:f>
      </x:c>
      <x:c r="E60" s="127" t="str">
        <x:f>IF($A60="","",Locations!F60)</x:f>
      </x:c>
      <x:c r="F60" s="127" t="str">
        <x:f>IF($A60="","",Locations!E60)</x:f>
      </x:c>
      <x:c r="G60" s="127" t="str">
        <x:f>IF($A60="","","LOCATION")</x:f>
      </x:c>
      <x:c r="H60" s="127" t="str">
        <x:f>IF($A60="","","OK")</x:f>
      </x:c>
    </x:row>
    <x:row r="61">
      <x:c r="A61" s="127" t="str">
        <x:f>IF(AND(Locations!A61="Yes",Locations!I61="OK"),Locations!B61,"")</x:f>
      </x:c>
      <x:c r="B61" s="127" t="str">
        <x:f>IF($A61="","",IFERROR(VLOOKUP(Locations!B61,NOCs!$B$5:$C$44,2,FALSE),""))</x:f>
      </x:c>
      <x:c r="C61" s="127" t="str">
        <x:f>IF($A61="","",Locations!C61)</x:f>
      </x:c>
      <x:c r="D61" s="127" t="str">
        <x:f>IF($A61="","",Locations!D61)</x:f>
      </x:c>
      <x:c r="E61" s="127" t="str">
        <x:f>IF($A61="","",Locations!F61)</x:f>
      </x:c>
      <x:c r="F61" s="127" t="str">
        <x:f>IF($A61="","",Locations!E61)</x:f>
      </x:c>
      <x:c r="G61" s="127" t="str">
        <x:f>IF($A61="","","LOCATION")</x:f>
      </x:c>
      <x:c r="H61" s="127" t="str">
        <x:f>IF($A61="","","OK")</x:f>
      </x:c>
    </x:row>
    <x:row r="62">
      <x:c r="A62" s="127" t="str">
        <x:f>IF(AND(Locations!A62="Yes",Locations!I62="OK"),Locations!B62,"")</x:f>
      </x:c>
      <x:c r="B62" s="127" t="str">
        <x:f>IF($A62="","",IFERROR(VLOOKUP(Locations!B62,NOCs!$B$5:$C$44,2,FALSE),""))</x:f>
      </x:c>
      <x:c r="C62" s="127" t="str">
        <x:f>IF($A62="","",Locations!C62)</x:f>
      </x:c>
      <x:c r="D62" s="127" t="str">
        <x:f>IF($A62="","",Locations!D62)</x:f>
      </x:c>
      <x:c r="E62" s="127" t="str">
        <x:f>IF($A62="","",Locations!F62)</x:f>
      </x:c>
      <x:c r="F62" s="127" t="str">
        <x:f>IF($A62="","",Locations!E62)</x:f>
      </x:c>
      <x:c r="G62" s="127" t="str">
        <x:f>IF($A62="","","LOCATION")</x:f>
      </x:c>
      <x:c r="H62" s="127" t="str">
        <x:f>IF($A62="","","OK")</x:f>
      </x:c>
    </x:row>
    <x:row r="63">
      <x:c r="A63" s="127" t="str">
        <x:f>IF(AND(Locations!A63="Yes",Locations!I63="OK"),Locations!B63,"")</x:f>
      </x:c>
      <x:c r="B63" s="127" t="str">
        <x:f>IF($A63="","",IFERROR(VLOOKUP(Locations!B63,NOCs!$B$5:$C$44,2,FALSE),""))</x:f>
      </x:c>
      <x:c r="C63" s="127" t="str">
        <x:f>IF($A63="","",Locations!C63)</x:f>
      </x:c>
      <x:c r="D63" s="127" t="str">
        <x:f>IF($A63="","",Locations!D63)</x:f>
      </x:c>
      <x:c r="E63" s="127" t="str">
        <x:f>IF($A63="","",Locations!F63)</x:f>
      </x:c>
      <x:c r="F63" s="127" t="str">
        <x:f>IF($A63="","",Locations!E63)</x:f>
      </x:c>
      <x:c r="G63" s="127" t="str">
        <x:f>IF($A63="","","LOCATION")</x:f>
      </x:c>
      <x:c r="H63" s="127" t="str">
        <x:f>IF($A63="","","OK")</x:f>
      </x:c>
    </x:row>
    <x:row r="64">
      <x:c r="A64" s="127" t="str">
        <x:f>IF(AND(Locations!A64="Yes",Locations!I64="OK"),Locations!B64,"")</x:f>
      </x:c>
      <x:c r="B64" s="127" t="str">
        <x:f>IF($A64="","",IFERROR(VLOOKUP(Locations!B64,NOCs!$B$5:$C$44,2,FALSE),""))</x:f>
      </x:c>
      <x:c r="C64" s="127" t="str">
        <x:f>IF($A64="","",Locations!C64)</x:f>
      </x:c>
      <x:c r="D64" s="127" t="str">
        <x:f>IF($A64="","",Locations!D64)</x:f>
      </x:c>
      <x:c r="E64" s="127" t="str">
        <x:f>IF($A64="","",Locations!F64)</x:f>
      </x:c>
      <x:c r="F64" s="127" t="str">
        <x:f>IF($A64="","",Locations!E64)</x:f>
      </x:c>
      <x:c r="G64" s="127" t="str">
        <x:f>IF($A64="","","LOCATION")</x:f>
      </x:c>
      <x:c r="H64" s="127" t="str">
        <x:f>IF($A64="","","OK")</x:f>
      </x:c>
    </x:row>
    <x:row r="65">
      <x:c r="A65" s="127"/>
      <x:c r="B65" s="127"/>
      <x:c r="C65" s="127"/>
      <x:c r="D65" s="127"/>
      <x:c r="E65" s="127"/>
      <x:c r="F65" s="127"/>
      <x:c r="G65" s="127"/>
      <x:c r="H65" s="127"/>
    </x:row>
    <x:row r="66">
      <x:c r="A66" s="127"/>
      <x:c r="B66" s="127"/>
      <x:c r="C66" s="127"/>
      <x:c r="D66" s="127"/>
      <x:c r="E66" s="127"/>
      <x:c r="F66" s="127"/>
      <x:c r="G66" s="127"/>
      <x:c r="H66" s="127"/>
    </x:row>
    <x:row r="67">
      <x:c r="A67" s="127"/>
      <x:c r="B67" s="127"/>
      <x:c r="C67" s="127"/>
      <x:c r="D67" s="127"/>
      <x:c r="E67" s="127"/>
      <x:c r="F67" s="127"/>
      <x:c r="G67" s="127"/>
      <x:c r="H67" s="127"/>
    </x:row>
    <x:row r="68">
      <x:c r="A68" s="127"/>
      <x:c r="B68" s="127"/>
      <x:c r="C68" s="127"/>
      <x:c r="D68" s="127"/>
      <x:c r="E68" s="127"/>
      <x:c r="F68" s="127"/>
      <x:c r="G68" s="127"/>
      <x:c r="H68" s="127"/>
    </x:row>
    <x:row r="69">
      <x:c r="A69" s="127"/>
      <x:c r="B69" s="127"/>
      <x:c r="C69" s="127"/>
      <x:c r="D69" s="127"/>
      <x:c r="E69" s="127"/>
      <x:c r="F69" s="127"/>
      <x:c r="G69" s="127"/>
      <x:c r="H69" s="127"/>
    </x:row>
    <x:row r="70">
      <x:c r="A70" s="127"/>
      <x:c r="B70" s="127"/>
      <x:c r="C70" s="127"/>
      <x:c r="D70" s="127"/>
      <x:c r="E70" s="127"/>
      <x:c r="F70" s="127"/>
      <x:c r="G70" s="127"/>
      <x:c r="H70" s="127"/>
    </x:row>
    <x:row r="71">
      <x:c r="A71" s="127"/>
      <x:c r="B71" s="127"/>
      <x:c r="C71" s="127"/>
      <x:c r="D71" s="127"/>
      <x:c r="E71" s="127"/>
      <x:c r="F71" s="127"/>
      <x:c r="G71" s="127"/>
      <x:c r="H71" s="127"/>
    </x:row>
    <x:row r="72">
      <x:c r="A72" s="127"/>
      <x:c r="B72" s="127"/>
      <x:c r="C72" s="127"/>
      <x:c r="D72" s="127"/>
      <x:c r="E72" s="127"/>
      <x:c r="F72" s="127"/>
      <x:c r="G72" s="127"/>
      <x:c r="H72" s="127"/>
    </x:row>
    <x:row r="73">
      <x:c r="A73" s="127"/>
      <x:c r="B73" s="127"/>
      <x:c r="C73" s="127"/>
      <x:c r="D73" s="127"/>
      <x:c r="E73" s="127"/>
      <x:c r="F73" s="127"/>
      <x:c r="G73" s="127"/>
      <x:c r="H73" s="127"/>
    </x:row>
    <x:row r="74">
      <x:c r="A74" s="127"/>
      <x:c r="B74" s="127"/>
      <x:c r="C74" s="127"/>
      <x:c r="D74" s="127"/>
      <x:c r="E74" s="127"/>
      <x:c r="F74" s="127"/>
      <x:c r="G74" s="127"/>
      <x:c r="H74" s="127"/>
    </x:row>
    <x:row r="75">
      <x:c r="A75" s="127"/>
      <x:c r="B75" s="127"/>
      <x:c r="C75" s="127"/>
      <x:c r="D75" s="127"/>
      <x:c r="E75" s="127"/>
      <x:c r="F75" s="127"/>
      <x:c r="G75" s="127"/>
      <x:c r="H75" s="127"/>
    </x:row>
    <x:row r="76">
      <x:c r="A76" s="127"/>
      <x:c r="B76" s="127"/>
      <x:c r="C76" s="127"/>
      <x:c r="D76" s="127"/>
      <x:c r="E76" s="127"/>
      <x:c r="F76" s="127"/>
      <x:c r="G76" s="127"/>
      <x:c r="H76" s="127"/>
    </x:row>
    <x:row r="77">
      <x:c r="A77" s="127"/>
      <x:c r="B77" s="127"/>
      <x:c r="C77" s="127"/>
      <x:c r="D77" s="127"/>
      <x:c r="E77" s="127"/>
      <x:c r="F77" s="127"/>
      <x:c r="G77" s="127"/>
      <x:c r="H77" s="127"/>
    </x:row>
    <x:row r="78">
      <x:c r="A78" s="127"/>
      <x:c r="B78" s="127"/>
      <x:c r="C78" s="127"/>
      <x:c r="D78" s="127"/>
      <x:c r="E78" s="127"/>
      <x:c r="F78" s="127"/>
      <x:c r="G78" s="127"/>
      <x:c r="H78" s="127"/>
    </x:row>
    <x:row r="79">
      <x:c r="A79" s="127"/>
      <x:c r="B79" s="127"/>
      <x:c r="C79" s="127"/>
      <x:c r="D79" s="127"/>
      <x:c r="E79" s="127"/>
      <x:c r="F79" s="127"/>
      <x:c r="G79" s="127"/>
      <x:c r="H79" s="127"/>
    </x:row>
    <x:row r="80">
      <x:c r="A80" s="127"/>
      <x:c r="B80" s="127"/>
      <x:c r="C80" s="127"/>
      <x:c r="D80" s="127"/>
      <x:c r="E80" s="127"/>
      <x:c r="F80" s="127"/>
      <x:c r="G80" s="127"/>
      <x:c r="H80" s="127"/>
    </x:row>
    <x:row r="81">
      <x:c r="A81" s="127"/>
      <x:c r="B81" s="127"/>
      <x:c r="C81" s="127"/>
      <x:c r="D81" s="127"/>
      <x:c r="E81" s="127"/>
      <x:c r="F81" s="127"/>
      <x:c r="G81" s="127"/>
      <x:c r="H81" s="127"/>
    </x:row>
    <x:row r="82">
      <x:c r="A82" s="127"/>
      <x:c r="B82" s="127"/>
      <x:c r="C82" s="127"/>
      <x:c r="D82" s="127"/>
      <x:c r="E82" s="127"/>
      <x:c r="F82" s="127"/>
      <x:c r="G82" s="127"/>
      <x:c r="H82" s="127"/>
    </x:row>
    <x:row r="83">
      <x:c r="A83" s="127"/>
      <x:c r="B83" s="127"/>
      <x:c r="C83" s="127"/>
      <x:c r="D83" s="127"/>
      <x:c r="E83" s="127"/>
      <x:c r="F83" s="127"/>
      <x:c r="G83" s="127"/>
      <x:c r="H83" s="127"/>
    </x:row>
    <x:row r="84">
      <x:c r="A84" s="127"/>
      <x:c r="B84" s="127"/>
      <x:c r="C84" s="127"/>
      <x:c r="D84" s="127"/>
      <x:c r="E84" s="127"/>
      <x:c r="F84" s="127"/>
      <x:c r="G84" s="127"/>
      <x:c r="H84" s="127"/>
    </x:row>
    <x:row r="85">
      <x:c r="A85" s="127"/>
      <x:c r="B85" s="127"/>
      <x:c r="C85" s="127"/>
      <x:c r="D85" s="127"/>
      <x:c r="E85" s="127"/>
      <x:c r="F85" s="127"/>
      <x:c r="G85" s="127"/>
      <x:c r="H85" s="127"/>
    </x:row>
    <x:row r="86">
      <x:c r="A86" s="127"/>
      <x:c r="B86" s="127"/>
      <x:c r="C86" s="127"/>
      <x:c r="D86" s="127"/>
      <x:c r="E86" s="127"/>
      <x:c r="F86" s="127"/>
      <x:c r="G86" s="127"/>
      <x:c r="H86" s="127"/>
    </x:row>
    <x:row r="87">
      <x:c r="A87" s="127"/>
      <x:c r="B87" s="127"/>
      <x:c r="C87" s="127"/>
      <x:c r="D87" s="127"/>
      <x:c r="E87" s="127"/>
      <x:c r="F87" s="127"/>
      <x:c r="G87" s="127"/>
      <x:c r="H87" s="127"/>
    </x:row>
    <x:row r="88">
      <x:c r="A88" s="127"/>
      <x:c r="B88" s="127"/>
      <x:c r="C88" s="127"/>
      <x:c r="D88" s="127"/>
      <x:c r="E88" s="127"/>
      <x:c r="F88" s="127"/>
      <x:c r="G88" s="127"/>
      <x:c r="H88" s="127"/>
    </x:row>
    <x:row r="89">
      <x:c r="A89" s="127"/>
      <x:c r="B89" s="127"/>
      <x:c r="C89" s="127"/>
      <x:c r="D89" s="127"/>
      <x:c r="E89" s="127"/>
      <x:c r="F89" s="127"/>
      <x:c r="G89" s="127"/>
      <x:c r="H89" s="127"/>
    </x:row>
    <x:row r="90">
      <x:c r="A90" s="127"/>
      <x:c r="B90" s="127"/>
      <x:c r="C90" s="127"/>
      <x:c r="D90" s="127"/>
      <x:c r="E90" s="127"/>
      <x:c r="F90" s="127"/>
      <x:c r="G90" s="127"/>
      <x:c r="H90" s="127"/>
    </x:row>
    <x:row r="91">
      <x:c r="A91" s="127"/>
      <x:c r="B91" s="127"/>
      <x:c r="C91" s="127"/>
      <x:c r="D91" s="127"/>
      <x:c r="E91" s="127"/>
      <x:c r="F91" s="127"/>
      <x:c r="G91" s="127"/>
      <x:c r="H91" s="127"/>
    </x:row>
    <x:row r="92">
      <x:c r="A92" s="127"/>
      <x:c r="B92" s="127"/>
      <x:c r="C92" s="127"/>
      <x:c r="D92" s="127"/>
      <x:c r="E92" s="127"/>
      <x:c r="F92" s="127"/>
      <x:c r="G92" s="127"/>
      <x:c r="H92" s="127"/>
    </x:row>
    <x:row r="93">
      <x:c r="A93" s="127"/>
      <x:c r="B93" s="127"/>
      <x:c r="C93" s="127"/>
      <x:c r="D93" s="127"/>
      <x:c r="E93" s="127"/>
      <x:c r="F93" s="127"/>
      <x:c r="G93" s="127"/>
      <x:c r="H93" s="127"/>
    </x:row>
    <x:row r="94">
      <x:c r="A94" s="127"/>
      <x:c r="B94" s="127"/>
      <x:c r="C94" s="127"/>
      <x:c r="D94" s="127"/>
      <x:c r="E94" s="127"/>
      <x:c r="F94" s="127"/>
      <x:c r="G94" s="127"/>
      <x:c r="H94" s="127"/>
    </x:row>
    <x:row r="95">
      <x:c r="A95" s="127"/>
      <x:c r="B95" s="127"/>
      <x:c r="C95" s="127"/>
      <x:c r="D95" s="127"/>
      <x:c r="E95" s="127"/>
      <x:c r="F95" s="127"/>
      <x:c r="G95" s="127"/>
      <x:c r="H95" s="127"/>
    </x:row>
    <x:row r="96">
      <x:c r="A96" s="127"/>
      <x:c r="B96" s="127"/>
      <x:c r="C96" s="127"/>
      <x:c r="D96" s="127"/>
      <x:c r="E96" s="127"/>
      <x:c r="F96" s="127"/>
      <x:c r="G96" s="127"/>
      <x:c r="H96" s="127"/>
    </x:row>
    <x:row r="97">
      <x:c r="A97" s="127"/>
      <x:c r="B97" s="127"/>
      <x:c r="C97" s="127"/>
      <x:c r="D97" s="127"/>
      <x:c r="E97" s="127"/>
      <x:c r="F97" s="127"/>
      <x:c r="G97" s="127"/>
      <x:c r="H97" s="127"/>
    </x:row>
    <x:row r="98">
      <x:c r="A98" s="127"/>
      <x:c r="B98" s="127"/>
      <x:c r="C98" s="127"/>
      <x:c r="D98" s="127"/>
      <x:c r="E98" s="127"/>
      <x:c r="F98" s="127"/>
      <x:c r="G98" s="127"/>
      <x:c r="H98" s="127"/>
    </x:row>
    <x:row r="99">
      <x:c r="A99" s="127"/>
      <x:c r="B99" s="127"/>
      <x:c r="C99" s="127"/>
      <x:c r="D99" s="127"/>
      <x:c r="E99" s="127"/>
      <x:c r="F99" s="127"/>
      <x:c r="G99" s="127"/>
      <x:c r="H99" s="127"/>
    </x:row>
    <x:row r="100">
      <x:c r="A100" s="127"/>
      <x:c r="B100" s="127"/>
      <x:c r="C100" s="127"/>
      <x:c r="D100" s="127"/>
      <x:c r="E100" s="127"/>
      <x:c r="F100" s="127"/>
      <x:c r="G100" s="127"/>
      <x:c r="H100" s="127"/>
    </x:row>
    <x:row r="101">
      <x:c r="A101" s="127"/>
      <x:c r="B101" s="127"/>
      <x:c r="C101" s="127"/>
      <x:c r="D101" s="127"/>
      <x:c r="E101" s="127"/>
      <x:c r="F101" s="127"/>
      <x:c r="G101" s="127"/>
      <x:c r="H101" s="127"/>
    </x:row>
    <x:row r="102">
      <x:c r="A102" s="127"/>
      <x:c r="B102" s="127"/>
      <x:c r="C102" s="127"/>
      <x:c r="D102" s="127"/>
      <x:c r="E102" s="127"/>
      <x:c r="F102" s="127"/>
      <x:c r="G102" s="127"/>
      <x:c r="H102" s="127"/>
    </x:row>
    <x:row r="103">
      <x:c r="A103" s="127"/>
      <x:c r="B103" s="127"/>
      <x:c r="C103" s="127"/>
      <x:c r="D103" s="127"/>
      <x:c r="E103" s="127"/>
      <x:c r="F103" s="127"/>
      <x:c r="G103" s="127"/>
      <x:c r="H103" s="127"/>
    </x:row>
    <x:row r="104">
      <x:c r="A104" s="127"/>
      <x:c r="B104" s="127"/>
      <x:c r="C104" s="127"/>
      <x:c r="D104" s="127"/>
      <x:c r="E104" s="127"/>
      <x:c r="F104" s="127"/>
      <x:c r="G104" s="127"/>
      <x:c r="H104" s="127"/>
    </x:row>
    <x:row r="105">
      <x:c r="A105" s="127"/>
      <x:c r="B105" s="127"/>
      <x:c r="C105" s="127"/>
      <x:c r="D105" s="127"/>
      <x:c r="E105" s="127"/>
      <x:c r="F105" s="127"/>
      <x:c r="G105" s="127"/>
      <x:c r="H105" s="127"/>
    </x:row>
    <x:row r="106">
      <x:c r="A106" s="127"/>
      <x:c r="B106" s="127"/>
      <x:c r="C106" s="127"/>
      <x:c r="D106" s="127"/>
      <x:c r="E106" s="127"/>
      <x:c r="F106" s="127"/>
      <x:c r="G106" s="127"/>
      <x:c r="H106" s="127"/>
    </x:row>
    <x:row r="107">
      <x:c r="A107" s="127"/>
      <x:c r="B107" s="127"/>
      <x:c r="C107" s="127"/>
      <x:c r="D107" s="127"/>
      <x:c r="E107" s="127"/>
      <x:c r="F107" s="127"/>
      <x:c r="G107" s="127"/>
      <x:c r="H107" s="127"/>
    </x:row>
    <x:row r="108">
      <x:c r="A108" s="127"/>
      <x:c r="B108" s="127"/>
      <x:c r="C108" s="127"/>
      <x:c r="D108" s="127"/>
      <x:c r="E108" s="127"/>
      <x:c r="F108" s="127"/>
      <x:c r="G108" s="127"/>
      <x:c r="H108" s="127"/>
    </x:row>
    <x:row r="109">
      <x:c r="A109" s="127"/>
      <x:c r="B109" s="127"/>
      <x:c r="C109" s="127"/>
      <x:c r="D109" s="127"/>
      <x:c r="E109" s="127"/>
      <x:c r="F109" s="127"/>
      <x:c r="G109" s="127"/>
      <x:c r="H109" s="127"/>
    </x:row>
    <x:row r="110">
      <x:c r="A110" s="127"/>
      <x:c r="B110" s="127"/>
      <x:c r="C110" s="127"/>
      <x:c r="D110" s="127"/>
      <x:c r="E110" s="127"/>
      <x:c r="F110" s="127"/>
      <x:c r="G110" s="127"/>
      <x:c r="H110" s="127"/>
    </x:row>
    <x:row r="111">
      <x:c r="A111" s="127"/>
      <x:c r="B111" s="127"/>
      <x:c r="C111" s="127"/>
      <x:c r="D111" s="127"/>
      <x:c r="E111" s="127"/>
      <x:c r="F111" s="127"/>
      <x:c r="G111" s="127"/>
      <x:c r="H111" s="127"/>
    </x:row>
    <x:row r="112">
      <x:c r="A112" s="127"/>
      <x:c r="B112" s="127"/>
      <x:c r="C112" s="127"/>
      <x:c r="D112" s="127"/>
      <x:c r="E112" s="127"/>
      <x:c r="F112" s="127"/>
      <x:c r="G112" s="127"/>
      <x:c r="H112" s="127"/>
    </x:row>
    <x:row r="113">
      <x:c r="A113" s="127"/>
      <x:c r="B113" s="127"/>
      <x:c r="C113" s="127"/>
      <x:c r="D113" s="127"/>
      <x:c r="E113" s="127"/>
      <x:c r="F113" s="127"/>
      <x:c r="G113" s="127"/>
      <x:c r="H113" s="127"/>
    </x:row>
    <x:row r="114">
      <x:c r="A114" s="127"/>
      <x:c r="B114" s="127"/>
      <x:c r="C114" s="127"/>
      <x:c r="D114" s="127"/>
      <x:c r="E114" s="127"/>
      <x:c r="F114" s="127"/>
      <x:c r="G114" s="127"/>
      <x:c r="H114" s="127"/>
    </x:row>
    <x:row r="115">
      <x:c r="A115" s="127"/>
      <x:c r="B115" s="127"/>
      <x:c r="C115" s="127"/>
      <x:c r="D115" s="127"/>
      <x:c r="E115" s="127"/>
      <x:c r="F115" s="127"/>
      <x:c r="G115" s="127"/>
      <x:c r="H115" s="127"/>
    </x:row>
    <x:row r="116">
      <x:c r="A116" s="127"/>
      <x:c r="B116" s="127"/>
      <x:c r="C116" s="127"/>
      <x:c r="D116" s="127"/>
      <x:c r="E116" s="127"/>
      <x:c r="F116" s="127"/>
      <x:c r="G116" s="127"/>
      <x:c r="H116" s="127"/>
    </x:row>
    <x:row r="117">
      <x:c r="A117" s="127"/>
      <x:c r="B117" s="127"/>
      <x:c r="C117" s="127"/>
      <x:c r="D117" s="127"/>
      <x:c r="E117" s="127"/>
      <x:c r="F117" s="127"/>
      <x:c r="G117" s="127"/>
      <x:c r="H117" s="127"/>
    </x:row>
    <x:row r="118">
      <x:c r="A118" s="127"/>
      <x:c r="B118" s="127"/>
      <x:c r="C118" s="127"/>
      <x:c r="D118" s="127"/>
      <x:c r="E118" s="127"/>
      <x:c r="F118" s="127"/>
      <x:c r="G118" s="127"/>
      <x:c r="H118" s="127"/>
    </x:row>
    <x:row r="119">
      <x:c r="A119" s="127"/>
      <x:c r="B119" s="127"/>
      <x:c r="C119" s="127"/>
      <x:c r="D119" s="127"/>
      <x:c r="E119" s="127"/>
      <x:c r="F119" s="127"/>
      <x:c r="G119" s="127"/>
      <x:c r="H119" s="127"/>
    </x:row>
    <x:row r="120">
      <x:c r="A120" s="127"/>
      <x:c r="B120" s="127"/>
      <x:c r="C120" s="127"/>
      <x:c r="D120" s="127"/>
      <x:c r="E120" s="127"/>
      <x:c r="F120" s="127"/>
      <x:c r="G120" s="127"/>
      <x:c r="H120" s="127"/>
    </x:row>
    <x:row r="121">
      <x:c r="A121" s="127"/>
      <x:c r="B121" s="127"/>
      <x:c r="C121" s="127"/>
      <x:c r="D121" s="127"/>
      <x:c r="E121" s="127"/>
      <x:c r="F121" s="127"/>
      <x:c r="G121" s="127"/>
      <x:c r="H121" s="127"/>
    </x:row>
    <x:row r="122">
      <x:c r="A122" s="127"/>
      <x:c r="B122" s="127"/>
      <x:c r="C122" s="127"/>
      <x:c r="D122" s="127"/>
      <x:c r="E122" s="127"/>
      <x:c r="F122" s="127"/>
      <x:c r="G122" s="127"/>
      <x:c r="H122" s="127"/>
    </x:row>
    <x:row r="123">
      <x:c r="A123" s="127"/>
      <x:c r="B123" s="127"/>
      <x:c r="C123" s="127"/>
      <x:c r="D123" s="127"/>
      <x:c r="E123" s="127"/>
      <x:c r="F123" s="127"/>
      <x:c r="G123" s="127"/>
      <x:c r="H123" s="127"/>
    </x:row>
    <x:row r="124">
      <x:c r="A124" s="127"/>
      <x:c r="B124" s="127"/>
      <x:c r="C124" s="127"/>
      <x:c r="D124" s="127"/>
      <x:c r="E124" s="127"/>
      <x:c r="F124" s="127"/>
      <x:c r="G124" s="127"/>
      <x:c r="H124" s="127"/>
    </x:row>
    <x:row r="125">
      <x:c r="A125" s="127"/>
      <x:c r="B125" s="127"/>
      <x:c r="C125" s="127"/>
      <x:c r="D125" s="127"/>
      <x:c r="E125" s="127"/>
      <x:c r="F125" s="127"/>
      <x:c r="G125" s="127"/>
      <x:c r="H125" s="127"/>
    </x:row>
    <x:row r="126">
      <x:c r="A126" s="127"/>
      <x:c r="B126" s="127"/>
      <x:c r="C126" s="127"/>
      <x:c r="D126" s="127"/>
      <x:c r="E126" s="127"/>
      <x:c r="F126" s="127"/>
      <x:c r="G126" s="127"/>
      <x:c r="H126" s="127"/>
    </x:row>
    <x:row r="127">
      <x:c r="A127" s="127"/>
      <x:c r="B127" s="127"/>
      <x:c r="C127" s="127"/>
      <x:c r="D127" s="127"/>
      <x:c r="E127" s="127"/>
      <x:c r="F127" s="127"/>
      <x:c r="G127" s="127"/>
      <x:c r="H127" s="127"/>
    </x:row>
    <x:row r="128">
      <x:c r="A128" s="127"/>
      <x:c r="B128" s="127"/>
      <x:c r="C128" s="127"/>
      <x:c r="D128" s="127"/>
      <x:c r="E128" s="127"/>
      <x:c r="F128" s="127"/>
      <x:c r="G128" s="127"/>
      <x:c r="H128" s="127"/>
    </x:row>
    <x:row r="129">
      <x:c r="A129" s="127"/>
      <x:c r="B129" s="127"/>
      <x:c r="C129" s="127"/>
      <x:c r="D129" s="127"/>
      <x:c r="E129" s="127"/>
      <x:c r="F129" s="127"/>
      <x:c r="G129" s="127"/>
      <x:c r="H129" s="127"/>
    </x:row>
    <x:row r="130">
      <x:c r="A130" s="127"/>
      <x:c r="B130" s="127"/>
      <x:c r="C130" s="127"/>
      <x:c r="D130" s="127"/>
      <x:c r="E130" s="127"/>
      <x:c r="F130" s="127"/>
      <x:c r="G130" s="127"/>
      <x:c r="H130" s="127"/>
    </x:row>
    <x:row r="131">
      <x:c r="A131" s="127"/>
      <x:c r="B131" s="127"/>
      <x:c r="C131" s="127"/>
      <x:c r="D131" s="127"/>
      <x:c r="E131" s="127"/>
      <x:c r="F131" s="127"/>
      <x:c r="G131" s="127"/>
      <x:c r="H131" s="127"/>
    </x:row>
    <x:row r="132">
      <x:c r="A132" s="127"/>
      <x:c r="B132" s="127"/>
      <x:c r="C132" s="127"/>
      <x:c r="D132" s="127"/>
      <x:c r="E132" s="127"/>
      <x:c r="F132" s="127"/>
      <x:c r="G132" s="127"/>
      <x:c r="H132" s="127"/>
    </x:row>
    <x:row r="133">
      <x:c r="A133" s="127"/>
      <x:c r="B133" s="127"/>
      <x:c r="C133" s="127"/>
      <x:c r="D133" s="127"/>
      <x:c r="E133" s="127"/>
      <x:c r="F133" s="127"/>
      <x:c r="G133" s="127"/>
      <x:c r="H133" s="127"/>
    </x:row>
    <x:row r="134">
      <x:c r="A134" s="127"/>
      <x:c r="B134" s="127"/>
      <x:c r="C134" s="127"/>
      <x:c r="D134" s="127"/>
      <x:c r="E134" s="127"/>
      <x:c r="F134" s="127"/>
      <x:c r="G134" s="127"/>
      <x:c r="H134" s="127"/>
    </x:row>
    <x:row r="135">
      <x:c r="A135" s="127"/>
      <x:c r="B135" s="127"/>
      <x:c r="C135" s="127"/>
      <x:c r="D135" s="127"/>
      <x:c r="E135" s="127"/>
      <x:c r="F135" s="127"/>
      <x:c r="G135" s="127"/>
      <x:c r="H135" s="127"/>
    </x:row>
    <x:row r="136">
      <x:c r="A136" s="127"/>
      <x:c r="B136" s="127"/>
      <x:c r="C136" s="127"/>
      <x:c r="D136" s="127"/>
      <x:c r="E136" s="127"/>
      <x:c r="F136" s="127"/>
      <x:c r="G136" s="127"/>
      <x:c r="H136" s="127"/>
    </x:row>
    <x:row r="137">
      <x:c r="A137" s="127"/>
      <x:c r="B137" s="127"/>
      <x:c r="C137" s="127"/>
      <x:c r="D137" s="127"/>
      <x:c r="E137" s="127"/>
      <x:c r="F137" s="127"/>
      <x:c r="G137" s="127"/>
      <x:c r="H137" s="127"/>
    </x:row>
    <x:row r="138">
      <x:c r="A138" s="127"/>
      <x:c r="B138" s="127"/>
      <x:c r="C138" s="127"/>
      <x:c r="D138" s="127"/>
      <x:c r="E138" s="127"/>
      <x:c r="F138" s="127"/>
      <x:c r="G138" s="127"/>
      <x:c r="H138" s="127"/>
    </x:row>
    <x:row r="139">
      <x:c r="A139" s="127"/>
      <x:c r="B139" s="127"/>
      <x:c r="C139" s="127"/>
      <x:c r="D139" s="127"/>
      <x:c r="E139" s="127"/>
      <x:c r="F139" s="127"/>
      <x:c r="G139" s="127"/>
      <x:c r="H139" s="127"/>
    </x:row>
    <x:row r="140">
      <x:c r="A140" s="127"/>
      <x:c r="B140" s="127"/>
      <x:c r="C140" s="127"/>
      <x:c r="D140" s="127"/>
      <x:c r="E140" s="127"/>
      <x:c r="F140" s="127"/>
      <x:c r="G140" s="127"/>
      <x:c r="H140" s="127"/>
    </x:row>
    <x:row r="141">
      <x:c r="A141" s="127"/>
      <x:c r="B141" s="127"/>
      <x:c r="C141" s="127"/>
      <x:c r="D141" s="127"/>
      <x:c r="E141" s="127"/>
      <x:c r="F141" s="127"/>
      <x:c r="G141" s="127"/>
      <x:c r="H141" s="127"/>
    </x:row>
    <x:row r="142">
      <x:c r="A142" s="127"/>
      <x:c r="B142" s="127"/>
      <x:c r="C142" s="127"/>
      <x:c r="D142" s="127"/>
      <x:c r="E142" s="127"/>
      <x:c r="F142" s="127"/>
      <x:c r="G142" s="127"/>
      <x:c r="H142" s="127"/>
    </x:row>
    <x:row r="143">
      <x:c r="A143" s="127"/>
      <x:c r="B143" s="127"/>
      <x:c r="C143" s="127"/>
      <x:c r="D143" s="127"/>
      <x:c r="E143" s="127"/>
      <x:c r="F143" s="127"/>
      <x:c r="G143" s="127"/>
      <x:c r="H143" s="127"/>
    </x:row>
    <x:row r="144">
      <x:c r="A144" s="127"/>
      <x:c r="B144" s="127"/>
      <x:c r="C144" s="127"/>
      <x:c r="D144" s="127"/>
      <x:c r="E144" s="127"/>
      <x:c r="F144" s="127"/>
      <x:c r="G144" s="127"/>
      <x:c r="H144" s="127"/>
    </x:row>
    <x:row r="145">
      <x:c r="A145" s="127"/>
      <x:c r="B145" s="127"/>
      <x:c r="C145" s="127"/>
      <x:c r="D145" s="127"/>
      <x:c r="E145" s="127"/>
      <x:c r="F145" s="127"/>
      <x:c r="G145" s="127"/>
      <x:c r="H145" s="127"/>
    </x:row>
    <x:row r="146">
      <x:c r="A146" s="127"/>
      <x:c r="B146" s="127"/>
      <x:c r="C146" s="127"/>
      <x:c r="D146" s="127"/>
      <x:c r="E146" s="127"/>
      <x:c r="F146" s="127"/>
      <x:c r="G146" s="127"/>
      <x:c r="H146" s="127"/>
    </x:row>
    <x:row r="147">
      <x:c r="A147" s="127"/>
      <x:c r="B147" s="127"/>
      <x:c r="C147" s="127"/>
      <x:c r="D147" s="127"/>
      <x:c r="E147" s="127"/>
      <x:c r="F147" s="127"/>
      <x:c r="G147" s="127"/>
      <x:c r="H147" s="127"/>
    </x:row>
    <x:row r="148">
      <x:c r="A148" s="127"/>
      <x:c r="B148" s="127"/>
      <x:c r="C148" s="127"/>
      <x:c r="D148" s="127"/>
      <x:c r="E148" s="127"/>
      <x:c r="F148" s="127"/>
      <x:c r="G148" s="127"/>
      <x:c r="H148" s="127"/>
    </x:row>
    <x:row r="149">
      <x:c r="A149" s="127"/>
      <x:c r="B149" s="127"/>
      <x:c r="C149" s="127"/>
      <x:c r="D149" s="127"/>
      <x:c r="E149" s="127"/>
      <x:c r="F149" s="127"/>
      <x:c r="G149" s="127"/>
      <x:c r="H149" s="127"/>
    </x:row>
    <x:row r="150">
      <x:c r="A150" s="127"/>
      <x:c r="B150" s="127"/>
      <x:c r="C150" s="127"/>
      <x:c r="D150" s="127"/>
      <x:c r="E150" s="127"/>
      <x:c r="F150" s="127"/>
      <x:c r="G150" s="127"/>
      <x:c r="H150" s="127"/>
    </x:row>
    <x:row r="151">
      <x:c r="A151" s="127"/>
      <x:c r="B151" s="127"/>
      <x:c r="C151" s="127"/>
      <x:c r="D151" s="127"/>
      <x:c r="E151" s="127"/>
      <x:c r="F151" s="127"/>
      <x:c r="G151" s="127"/>
      <x:c r="H151" s="127"/>
    </x:row>
    <x:row r="152">
      <x:c r="A152" s="127"/>
      <x:c r="B152" s="127"/>
      <x:c r="C152" s="127"/>
      <x:c r="D152" s="127"/>
      <x:c r="E152" s="127"/>
      <x:c r="F152" s="127"/>
      <x:c r="G152" s="127"/>
      <x:c r="H152" s="127"/>
    </x:row>
    <x:row r="153">
      <x:c r="A153" s="127"/>
      <x:c r="B153" s="127"/>
      <x:c r="C153" s="127"/>
      <x:c r="D153" s="127"/>
      <x:c r="E153" s="127"/>
      <x:c r="F153" s="127"/>
      <x:c r="G153" s="127"/>
      <x:c r="H153" s="127"/>
    </x:row>
    <x:row r="154">
      <x:c r="A154" s="127"/>
      <x:c r="B154" s="127"/>
      <x:c r="C154" s="127"/>
      <x:c r="D154" s="127"/>
      <x:c r="E154" s="127"/>
      <x:c r="F154" s="127"/>
      <x:c r="G154" s="127"/>
      <x:c r="H154" s="127"/>
    </x:row>
    <x:row r="155">
      <x:c r="A155" s="127"/>
      <x:c r="B155" s="127"/>
      <x:c r="C155" s="127"/>
      <x:c r="D155" s="127"/>
      <x:c r="E155" s="127"/>
      <x:c r="F155" s="127"/>
      <x:c r="G155" s="127"/>
      <x:c r="H155" s="127"/>
    </x:row>
    <x:row r="156">
      <x:c r="A156" s="127"/>
      <x:c r="B156" s="127"/>
      <x:c r="C156" s="127"/>
      <x:c r="D156" s="127"/>
      <x:c r="E156" s="127"/>
      <x:c r="F156" s="127"/>
      <x:c r="G156" s="127"/>
      <x:c r="H156" s="127"/>
    </x:row>
    <x:row r="157">
      <x:c r="A157" s="127"/>
      <x:c r="B157" s="127"/>
      <x:c r="C157" s="127"/>
      <x:c r="D157" s="127"/>
      <x:c r="E157" s="127"/>
      <x:c r="F157" s="127"/>
      <x:c r="G157" s="127"/>
      <x:c r="H157" s="127"/>
    </x:row>
    <x:row r="158">
      <x:c r="A158" s="127"/>
      <x:c r="B158" s="127"/>
      <x:c r="C158" s="127"/>
      <x:c r="D158" s="127"/>
      <x:c r="E158" s="127"/>
      <x:c r="F158" s="127"/>
      <x:c r="G158" s="127"/>
      <x:c r="H158" s="127"/>
    </x:row>
    <x:row r="159">
      <x:c r="A159" s="127"/>
      <x:c r="B159" s="127"/>
      <x:c r="C159" s="127"/>
      <x:c r="D159" s="127"/>
      <x:c r="E159" s="127"/>
      <x:c r="F159" s="127"/>
      <x:c r="G159" s="127"/>
      <x:c r="H159" s="127"/>
    </x:row>
    <x:row r="160">
      <x:c r="A160" s="127"/>
      <x:c r="B160" s="127"/>
      <x:c r="C160" s="127"/>
      <x:c r="D160" s="127"/>
      <x:c r="E160" s="127"/>
      <x:c r="F160" s="127"/>
      <x:c r="G160" s="127"/>
      <x:c r="H160" s="127"/>
    </x:row>
    <x:row r="161">
      <x:c r="A161" s="127"/>
      <x:c r="B161" s="127"/>
      <x:c r="C161" s="127"/>
      <x:c r="D161" s="127"/>
      <x:c r="E161" s="127"/>
      <x:c r="F161" s="127"/>
      <x:c r="G161" s="127"/>
      <x:c r="H161" s="127"/>
    </x:row>
    <x:row r="162">
      <x:c r="A162" s="127"/>
      <x:c r="B162" s="127"/>
      <x:c r="C162" s="127"/>
      <x:c r="D162" s="127"/>
      <x:c r="E162" s="127"/>
      <x:c r="F162" s="127"/>
      <x:c r="G162" s="127"/>
      <x:c r="H162" s="127"/>
    </x:row>
    <x:row r="163">
      <x:c r="A163" s="127"/>
      <x:c r="B163" s="127"/>
      <x:c r="C163" s="127"/>
      <x:c r="D163" s="127"/>
      <x:c r="E163" s="127"/>
      <x:c r="F163" s="127"/>
      <x:c r="G163" s="127"/>
      <x:c r="H163" s="127"/>
    </x:row>
    <x:row r="164">
      <x:c r="A164" s="127"/>
      <x:c r="B164" s="127"/>
      <x:c r="C164" s="127"/>
      <x:c r="D164" s="127"/>
      <x:c r="E164" s="127"/>
      <x:c r="F164" s="127"/>
      <x:c r="G164" s="127"/>
      <x:c r="H164" s="127"/>
    </x:row>
    <x:row r="165">
      <x:c r="A165" s="127"/>
      <x:c r="B165" s="127"/>
      <x:c r="C165" s="127"/>
      <x:c r="D165" s="127"/>
      <x:c r="E165" s="127"/>
      <x:c r="F165" s="127"/>
      <x:c r="G165" s="127"/>
      <x:c r="H165" s="127"/>
    </x:row>
    <x:row r="166">
      <x:c r="A166" s="127"/>
      <x:c r="B166" s="127"/>
      <x:c r="C166" s="127"/>
      <x:c r="D166" s="127"/>
      <x:c r="E166" s="127"/>
      <x:c r="F166" s="127"/>
      <x:c r="G166" s="127"/>
      <x:c r="H166" s="127"/>
    </x:row>
    <x:row r="167">
      <x:c r="A167" s="127"/>
      <x:c r="B167" s="127"/>
      <x:c r="C167" s="127"/>
      <x:c r="D167" s="127"/>
      <x:c r="E167" s="127"/>
      <x:c r="F167" s="127"/>
      <x:c r="G167" s="127"/>
      <x:c r="H167" s="127"/>
    </x:row>
    <x:row r="168">
      <x:c r="A168" s="127"/>
      <x:c r="B168" s="127"/>
      <x:c r="C168" s="127"/>
      <x:c r="D168" s="127"/>
      <x:c r="E168" s="127"/>
      <x:c r="F168" s="127"/>
      <x:c r="G168" s="127"/>
      <x:c r="H168" s="127"/>
    </x:row>
    <x:row r="169">
      <x:c r="A169" s="127"/>
      <x:c r="B169" s="127"/>
      <x:c r="C169" s="127"/>
      <x:c r="D169" s="127"/>
      <x:c r="E169" s="127"/>
      <x:c r="F169" s="127"/>
      <x:c r="G169" s="127"/>
      <x:c r="H169" s="127"/>
    </x:row>
    <x:row r="170">
      <x:c r="A170" s="127"/>
      <x:c r="B170" s="127"/>
      <x:c r="C170" s="127"/>
      <x:c r="D170" s="127"/>
      <x:c r="E170" s="127"/>
      <x:c r="F170" s="127"/>
      <x:c r="G170" s="127"/>
      <x:c r="H170" s="127"/>
    </x:row>
    <x:row r="171">
      <x:c r="A171" s="127"/>
      <x:c r="B171" s="127"/>
      <x:c r="C171" s="127"/>
      <x:c r="D171" s="127"/>
      <x:c r="E171" s="127"/>
      <x:c r="F171" s="127"/>
      <x:c r="G171" s="127"/>
      <x:c r="H171" s="127"/>
    </x:row>
    <x:row r="172">
      <x:c r="A172" s="127"/>
      <x:c r="B172" s="127"/>
      <x:c r="C172" s="127"/>
      <x:c r="D172" s="127"/>
      <x:c r="E172" s="127"/>
      <x:c r="F172" s="127"/>
      <x:c r="G172" s="127"/>
      <x:c r="H172" s="127"/>
    </x:row>
    <x:row r="173">
      <x:c r="A173" s="127"/>
      <x:c r="B173" s="127"/>
      <x:c r="C173" s="127"/>
      <x:c r="D173" s="127"/>
      <x:c r="E173" s="127"/>
      <x:c r="F173" s="127"/>
      <x:c r="G173" s="127"/>
      <x:c r="H173" s="127"/>
    </x:row>
    <x:row r="174">
      <x:c r="A174" s="127"/>
      <x:c r="B174" s="127"/>
      <x:c r="C174" s="127"/>
      <x:c r="D174" s="127"/>
      <x:c r="E174" s="127"/>
      <x:c r="F174" s="127"/>
      <x:c r="G174" s="127"/>
      <x:c r="H174" s="127"/>
    </x:row>
    <x:row r="175">
      <x:c r="A175" s="127"/>
      <x:c r="B175" s="127"/>
      <x:c r="C175" s="127"/>
      <x:c r="D175" s="127"/>
      <x:c r="E175" s="127"/>
      <x:c r="F175" s="127"/>
      <x:c r="G175" s="127"/>
      <x:c r="H175" s="127"/>
    </x:row>
    <x:row r="176">
      <x:c r="A176" s="127"/>
      <x:c r="B176" s="127"/>
      <x:c r="C176" s="127"/>
      <x:c r="D176" s="127"/>
      <x:c r="E176" s="127"/>
      <x:c r="F176" s="127"/>
      <x:c r="G176" s="127"/>
      <x:c r="H176" s="127"/>
    </x:row>
    <x:row r="177">
      <x:c r="A177" s="127"/>
      <x:c r="B177" s="127"/>
      <x:c r="C177" s="127"/>
      <x:c r="D177" s="127"/>
      <x:c r="E177" s="127"/>
      <x:c r="F177" s="127"/>
      <x:c r="G177" s="127"/>
      <x:c r="H177" s="127"/>
    </x:row>
    <x:row r="178">
      <x:c r="A178" s="127"/>
      <x:c r="B178" s="127"/>
      <x:c r="C178" s="127"/>
      <x:c r="D178" s="127"/>
      <x:c r="E178" s="127"/>
      <x:c r="F178" s="127"/>
      <x:c r="G178" s="127"/>
      <x:c r="H178" s="127"/>
    </x:row>
    <x:row r="179">
      <x:c r="A179" s="127"/>
      <x:c r="B179" s="127"/>
      <x:c r="C179" s="127"/>
      <x:c r="D179" s="127"/>
      <x:c r="E179" s="127"/>
      <x:c r="F179" s="127"/>
      <x:c r="G179" s="127"/>
      <x:c r="H179" s="127"/>
    </x:row>
    <x:row r="180">
      <x:c r="A180" s="127"/>
      <x:c r="B180" s="127"/>
      <x:c r="C180" s="127"/>
      <x:c r="D180" s="127"/>
      <x:c r="E180" s="127"/>
      <x:c r="F180" s="127"/>
      <x:c r="G180" s="127"/>
      <x:c r="H180" s="127"/>
    </x:row>
    <x:row r="181">
      <x:c r="A181" s="127"/>
      <x:c r="B181" s="127"/>
      <x:c r="C181" s="127"/>
      <x:c r="D181" s="127"/>
      <x:c r="E181" s="127"/>
      <x:c r="F181" s="127"/>
      <x:c r="G181" s="127"/>
      <x:c r="H181" s="127"/>
    </x:row>
    <x:row r="182">
      <x:c r="A182" s="127"/>
      <x:c r="B182" s="127"/>
      <x:c r="C182" s="127"/>
      <x:c r="D182" s="127"/>
      <x:c r="E182" s="127"/>
      <x:c r="F182" s="127"/>
      <x:c r="G182" s="127"/>
      <x:c r="H182" s="127"/>
    </x:row>
    <x:row r="183">
      <x:c r="A183" s="127"/>
      <x:c r="B183" s="127"/>
      <x:c r="C183" s="127"/>
      <x:c r="D183" s="127"/>
      <x:c r="E183" s="127"/>
      <x:c r="F183" s="127"/>
      <x:c r="G183" s="127"/>
      <x:c r="H183" s="127"/>
    </x:row>
    <x:row r="184">
      <x:c r="A184" s="127"/>
      <x:c r="B184" s="127"/>
      <x:c r="C184" s="127"/>
      <x:c r="D184" s="127"/>
      <x:c r="E184" s="127"/>
      <x:c r="F184" s="127"/>
      <x:c r="G184" s="127"/>
      <x:c r="H184" s="127"/>
    </x:row>
    <x:row r="185">
      <x:c r="A185" s="127"/>
      <x:c r="B185" s="127"/>
      <x:c r="C185" s="127"/>
      <x:c r="D185" s="127"/>
      <x:c r="E185" s="127"/>
      <x:c r="F185" s="127"/>
      <x:c r="G185" s="127"/>
      <x:c r="H185" s="127"/>
    </x:row>
    <x:row r="186">
      <x:c r="A186" s="127"/>
      <x:c r="B186" s="127"/>
      <x:c r="C186" s="127"/>
      <x:c r="D186" s="127"/>
      <x:c r="E186" s="127"/>
      <x:c r="F186" s="127"/>
      <x:c r="G186" s="127"/>
      <x:c r="H186" s="127"/>
    </x:row>
    <x:row r="187">
      <x:c r="A187" s="127"/>
      <x:c r="B187" s="127"/>
      <x:c r="C187" s="127"/>
      <x:c r="D187" s="127"/>
      <x:c r="E187" s="127"/>
      <x:c r="F187" s="127"/>
      <x:c r="G187" s="127"/>
      <x:c r="H187" s="127"/>
    </x:row>
    <x:row r="188">
      <x:c r="A188" s="127"/>
      <x:c r="B188" s="127"/>
      <x:c r="C188" s="127"/>
      <x:c r="D188" s="127"/>
      <x:c r="E188" s="127"/>
      <x:c r="F188" s="127"/>
      <x:c r="G188" s="127"/>
      <x:c r="H188" s="127"/>
    </x:row>
    <x:row r="189">
      <x:c r="A189" s="127"/>
      <x:c r="B189" s="127"/>
      <x:c r="C189" s="127"/>
      <x:c r="D189" s="127"/>
      <x:c r="E189" s="127"/>
      <x:c r="F189" s="127"/>
      <x:c r="G189" s="127"/>
      <x:c r="H189" s="127"/>
    </x:row>
    <x:row r="190">
      <x:c r="A190" s="127"/>
      <x:c r="B190" s="127"/>
      <x:c r="C190" s="127"/>
      <x:c r="D190" s="127"/>
      <x:c r="E190" s="127"/>
      <x:c r="F190" s="127"/>
      <x:c r="G190" s="127"/>
      <x:c r="H190" s="127"/>
    </x:row>
    <x:row r="191">
      <x:c r="A191" s="127"/>
      <x:c r="B191" s="127"/>
      <x:c r="C191" s="127"/>
      <x:c r="D191" s="127"/>
      <x:c r="E191" s="127"/>
      <x:c r="F191" s="127"/>
      <x:c r="G191" s="127"/>
      <x:c r="H191" s="127"/>
    </x:row>
    <x:row r="192">
      <x:c r="A192" s="127"/>
      <x:c r="B192" s="127"/>
      <x:c r="C192" s="127"/>
      <x:c r="D192" s="127"/>
      <x:c r="E192" s="127"/>
      <x:c r="F192" s="127"/>
      <x:c r="G192" s="127"/>
      <x:c r="H192" s="127"/>
    </x:row>
    <x:row r="193">
      <x:c r="A193" s="127"/>
      <x:c r="B193" s="127"/>
      <x:c r="C193" s="127"/>
      <x:c r="D193" s="127"/>
      <x:c r="E193" s="127"/>
      <x:c r="F193" s="127"/>
      <x:c r="G193" s="127"/>
      <x:c r="H193" s="127"/>
    </x:row>
    <x:row r="194">
      <x:c r="A194" s="127"/>
      <x:c r="B194" s="127"/>
      <x:c r="C194" s="127"/>
      <x:c r="D194" s="127"/>
      <x:c r="E194" s="127"/>
      <x:c r="F194" s="127"/>
      <x:c r="G194" s="127"/>
      <x:c r="H194" s="127"/>
    </x:row>
    <x:row r="195">
      <x:c r="A195" s="127"/>
      <x:c r="B195" s="127"/>
      <x:c r="C195" s="127"/>
      <x:c r="D195" s="127"/>
      <x:c r="E195" s="127"/>
      <x:c r="F195" s="127"/>
      <x:c r="G195" s="127"/>
      <x:c r="H195" s="127"/>
    </x:row>
    <x:row r="196">
      <x:c r="A196" s="127"/>
      <x:c r="B196" s="127"/>
      <x:c r="C196" s="127"/>
      <x:c r="D196" s="127"/>
      <x:c r="E196" s="127"/>
      <x:c r="F196" s="127"/>
      <x:c r="G196" s="127"/>
      <x:c r="H196" s="127"/>
    </x:row>
    <x:row r="197">
      <x:c r="A197" s="127"/>
      <x:c r="B197" s="127"/>
      <x:c r="C197" s="127"/>
      <x:c r="D197" s="127"/>
      <x:c r="E197" s="127"/>
      <x:c r="F197" s="127"/>
      <x:c r="G197" s="127"/>
      <x:c r="H197" s="127"/>
    </x:row>
    <x:row r="198">
      <x:c r="A198" s="127"/>
      <x:c r="B198" s="127"/>
      <x:c r="C198" s="127"/>
      <x:c r="D198" s="127"/>
      <x:c r="E198" s="127"/>
      <x:c r="F198" s="127"/>
      <x:c r="G198" s="127"/>
      <x:c r="H198" s="127"/>
    </x:row>
    <x:row r="199">
      <x:c r="A199" s="127"/>
      <x:c r="B199" s="127"/>
      <x:c r="C199" s="127"/>
      <x:c r="D199" s="127"/>
      <x:c r="E199" s="127"/>
      <x:c r="F199" s="127"/>
      <x:c r="G199" s="127"/>
      <x:c r="H199" s="127"/>
    </x:row>
    <x:row r="200">
      <x:c r="A200" s="127"/>
      <x:c r="B200" s="127"/>
      <x:c r="C200" s="127"/>
      <x:c r="D200" s="127"/>
      <x:c r="E200" s="127"/>
      <x:c r="F200" s="127"/>
      <x:c r="G200" s="127"/>
      <x:c r="H200" s="127"/>
    </x:row>
    <x:row r="201">
      <x:c r="A201" s="128"/>
      <x:c r="B201" s="128"/>
      <x:c r="C201" s="128"/>
      <x:c r="D201" s="128"/>
      <x:c r="E201" s="128"/>
      <x:c r="F201" s="128"/>
      <x:c r="G201" s="128"/>
      <x:c r="H201" s="128"/>
    </x:row>
    <x:row r="202">
      <x:c r="A202" s="128"/>
      <x:c r="B202" s="128"/>
      <x:c r="C202" s="128"/>
      <x:c r="D202" s="128"/>
      <x:c r="E202" s="128"/>
      <x:c r="F202" s="128"/>
      <x:c r="G202" s="128"/>
      <x:c r="H202" s="128"/>
    </x:row>
    <x:row r="203">
      <x:c r="A203" s="128"/>
      <x:c r="B203" s="128"/>
      <x:c r="C203" s="128"/>
      <x:c r="D203" s="128"/>
      <x:c r="E203" s="128"/>
      <x:c r="F203" s="128"/>
      <x:c r="G203" s="128"/>
      <x:c r="H203" s="128"/>
    </x:row>
    <x:row r="204">
      <x:c r="A204" s="128"/>
      <x:c r="B204" s="128"/>
      <x:c r="C204" s="128"/>
      <x:c r="D204" s="128"/>
      <x:c r="E204" s="128"/>
      <x:c r="F204" s="128"/>
      <x:c r="G204" s="128"/>
      <x:c r="H204" s="128"/>
    </x:row>
    <x:row r="205">
      <x:c r="A205" s="128"/>
      <x:c r="B205" s="128"/>
      <x:c r="C205" s="128"/>
      <x:c r="D205" s="128"/>
      <x:c r="E205" s="128"/>
      <x:c r="F205" s="128"/>
      <x:c r="G205" s="128"/>
      <x:c r="H205" s="128"/>
    </x:row>
    <x:row r="206">
      <x:c r="A206" s="128"/>
      <x:c r="B206" s="128"/>
      <x:c r="C206" s="128"/>
      <x:c r="D206" s="128"/>
      <x:c r="E206" s="128"/>
      <x:c r="F206" s="128"/>
      <x:c r="G206" s="128"/>
      <x:c r="H206" s="128"/>
    </x:row>
    <x:row r="207">
      <x:c r="A207" s="128"/>
      <x:c r="B207" s="128"/>
      <x:c r="C207" s="128"/>
      <x:c r="D207" s="128"/>
      <x:c r="E207" s="128"/>
      <x:c r="F207" s="128"/>
      <x:c r="G207" s="128"/>
      <x:c r="H207" s="128"/>
    </x:row>
    <x:row r="208">
      <x:c r="A208" s="128"/>
      <x:c r="B208" s="128"/>
      <x:c r="C208" s="128"/>
      <x:c r="D208" s="128"/>
      <x:c r="E208" s="128"/>
      <x:c r="F208" s="128"/>
      <x:c r="G208" s="128"/>
      <x:c r="H208" s="128"/>
    </x:row>
    <x:row r="209">
      <x:c r="A209" s="128"/>
      <x:c r="B209" s="128"/>
      <x:c r="C209" s="128"/>
      <x:c r="D209" s="128"/>
      <x:c r="E209" s="128"/>
      <x:c r="F209" s="128"/>
      <x:c r="G209" s="128"/>
      <x:c r="H209" s="128"/>
    </x:row>
    <x:row r="210">
      <x:c r="A210" s="128"/>
      <x:c r="B210" s="128"/>
      <x:c r="C210" s="128"/>
      <x:c r="D210" s="128"/>
      <x:c r="E210" s="128"/>
      <x:c r="F210" s="128"/>
      <x:c r="G210" s="128"/>
      <x:c r="H210" s="128"/>
    </x:row>
    <x:row r="211">
      <x:c r="A211" s="128"/>
      <x:c r="B211" s="128"/>
      <x:c r="C211" s="128"/>
      <x:c r="D211" s="128"/>
      <x:c r="E211" s="128"/>
      <x:c r="F211" s="128"/>
      <x:c r="G211" s="128"/>
      <x:c r="H211" s="128"/>
    </x:row>
    <x:row r="212">
      <x:c r="A212" s="128"/>
      <x:c r="B212" s="128"/>
      <x:c r="C212" s="128"/>
      <x:c r="D212" s="128"/>
      <x:c r="E212" s="128"/>
      <x:c r="F212" s="128"/>
      <x:c r="G212" s="128"/>
      <x:c r="H212" s="128"/>
    </x:row>
    <x:row r="213">
      <x:c r="A213" s="128"/>
      <x:c r="B213" s="128"/>
      <x:c r="C213" s="128"/>
      <x:c r="D213" s="128"/>
      <x:c r="E213" s="128"/>
      <x:c r="F213" s="128"/>
      <x:c r="G213" s="128"/>
      <x:c r="H213" s="128"/>
    </x:row>
    <x:row r="214">
      <x:c r="A214" s="128"/>
      <x:c r="B214" s="128"/>
      <x:c r="C214" s="128"/>
      <x:c r="D214" s="128"/>
      <x:c r="E214" s="128"/>
      <x:c r="F214" s="128"/>
      <x:c r="G214" s="128"/>
      <x:c r="H214" s="128"/>
    </x:row>
    <x:row r="215">
      <x:c r="A215" s="128"/>
      <x:c r="B215" s="128"/>
      <x:c r="C215" s="128"/>
      <x:c r="D215" s="128"/>
      <x:c r="E215" s="128"/>
      <x:c r="F215" s="128"/>
      <x:c r="G215" s="128"/>
      <x:c r="H215" s="128"/>
    </x:row>
    <x:row r="216">
      <x:c r="A216" s="128"/>
      <x:c r="B216" s="128"/>
      <x:c r="C216" s="128"/>
      <x:c r="D216" s="128"/>
      <x:c r="E216" s="128"/>
      <x:c r="F216" s="128"/>
      <x:c r="G216" s="128"/>
      <x:c r="H216" s="128"/>
    </x:row>
    <x:row r="217">
      <x:c r="A217" s="128"/>
      <x:c r="B217" s="128"/>
      <x:c r="C217" s="128"/>
      <x:c r="D217" s="128"/>
      <x:c r="E217" s="128"/>
      <x:c r="F217" s="128"/>
      <x:c r="G217" s="128"/>
      <x:c r="H217" s="128"/>
    </x:row>
    <x:row r="218">
      <x:c r="A218" s="128"/>
      <x:c r="B218" s="128"/>
      <x:c r="C218" s="128"/>
      <x:c r="D218" s="128"/>
      <x:c r="E218" s="128"/>
      <x:c r="F218" s="128"/>
      <x:c r="G218" s="128"/>
      <x:c r="H218" s="128"/>
    </x:row>
    <x:row r="219">
      <x:c r="A219" s="128"/>
      <x:c r="B219" s="128"/>
      <x:c r="C219" s="128"/>
      <x:c r="D219" s="128"/>
      <x:c r="E219" s="128"/>
      <x:c r="F219" s="128"/>
      <x:c r="G219" s="128"/>
      <x:c r="H219" s="128"/>
    </x:row>
    <x:row r="220">
      <x:c r="A220" s="128"/>
      <x:c r="B220" s="128"/>
      <x:c r="C220" s="128"/>
      <x:c r="D220" s="128"/>
      <x:c r="E220" s="128"/>
      <x:c r="F220" s="128"/>
      <x:c r="G220" s="128"/>
      <x:c r="H220" s="128"/>
    </x:row>
    <x:row r="221">
      <x:c r="A221" s="128"/>
      <x:c r="B221" s="128"/>
      <x:c r="C221" s="128"/>
      <x:c r="D221" s="128"/>
      <x:c r="E221" s="128"/>
      <x:c r="F221" s="128"/>
      <x:c r="G221" s="128"/>
      <x:c r="H221" s="128"/>
    </x:row>
    <x:row r="222">
      <x:c r="A222" s="128"/>
      <x:c r="B222" s="128"/>
      <x:c r="C222" s="128"/>
      <x:c r="D222" s="128"/>
      <x:c r="E222" s="128"/>
      <x:c r="F222" s="128"/>
      <x:c r="G222" s="128"/>
      <x:c r="H222" s="128"/>
    </x:row>
    <x:row r="223">
      <x:c r="A223" s="128"/>
      <x:c r="B223" s="128"/>
      <x:c r="C223" s="128"/>
      <x:c r="D223" s="128"/>
      <x:c r="E223" s="128"/>
      <x:c r="F223" s="128"/>
      <x:c r="G223" s="128"/>
      <x:c r="H223" s="128"/>
    </x:row>
    <x:row r="224">
      <x:c r="A224" s="128"/>
      <x:c r="B224" s="128"/>
      <x:c r="C224" s="128"/>
      <x:c r="D224" s="128"/>
      <x:c r="E224" s="128"/>
      <x:c r="F224" s="128"/>
      <x:c r="G224" s="128"/>
      <x:c r="H224" s="128"/>
    </x:row>
    <x:row r="225">
      <x:c r="A225" s="128"/>
      <x:c r="B225" s="128"/>
      <x:c r="C225" s="128"/>
      <x:c r="D225" s="128"/>
      <x:c r="E225" s="128"/>
      <x:c r="F225" s="128"/>
      <x:c r="G225" s="128"/>
      <x:c r="H225" s="128"/>
    </x:row>
    <x:row r="226">
      <x:c r="A226" s="128"/>
      <x:c r="B226" s="128"/>
      <x:c r="C226" s="128"/>
      <x:c r="D226" s="128"/>
      <x:c r="E226" s="128"/>
      <x:c r="F226" s="128"/>
      <x:c r="G226" s="128"/>
      <x:c r="H226" s="128"/>
    </x:row>
    <x:row r="227">
      <x:c r="A227" s="128"/>
      <x:c r="B227" s="128"/>
      <x:c r="C227" s="128"/>
      <x:c r="D227" s="128"/>
      <x:c r="E227" s="128"/>
      <x:c r="F227" s="128"/>
      <x:c r="G227" s="128"/>
      <x:c r="H227" s="128"/>
    </x:row>
    <x:row r="228">
      <x:c r="A228" s="128"/>
      <x:c r="B228" s="128"/>
      <x:c r="C228" s="128"/>
      <x:c r="D228" s="128"/>
      <x:c r="E228" s="128"/>
      <x:c r="F228" s="128"/>
      <x:c r="G228" s="128"/>
      <x:c r="H228" s="128"/>
    </x:row>
    <x:row r="229">
      <x:c r="A229" s="128"/>
      <x:c r="B229" s="128"/>
      <x:c r="C229" s="128"/>
      <x:c r="D229" s="128"/>
      <x:c r="E229" s="128"/>
      <x:c r="F229" s="128"/>
      <x:c r="G229" s="128"/>
      <x:c r="H229" s="128"/>
    </x:row>
    <x:row r="230">
      <x:c r="A230" s="128"/>
      <x:c r="B230" s="128"/>
      <x:c r="C230" s="128"/>
      <x:c r="D230" s="128"/>
      <x:c r="E230" s="128"/>
      <x:c r="F230" s="128"/>
      <x:c r="G230" s="128"/>
      <x:c r="H230" s="128"/>
    </x:row>
    <x:row r="231">
      <x:c r="A231" s="128"/>
      <x:c r="B231" s="128"/>
      <x:c r="C231" s="128"/>
      <x:c r="D231" s="128"/>
      <x:c r="E231" s="128"/>
      <x:c r="F231" s="128"/>
      <x:c r="G231" s="128"/>
      <x:c r="H231" s="128"/>
    </x:row>
    <x:row r="232">
      <x:c r="A232" s="128"/>
      <x:c r="B232" s="128"/>
      <x:c r="C232" s="128"/>
      <x:c r="D232" s="128"/>
      <x:c r="E232" s="128"/>
      <x:c r="F232" s="128"/>
      <x:c r="G232" s="128"/>
      <x:c r="H232" s="128"/>
    </x:row>
    <x:row r="233">
      <x:c r="A233" s="128"/>
      <x:c r="B233" s="128"/>
      <x:c r="C233" s="128"/>
      <x:c r="D233" s="128"/>
      <x:c r="E233" s="128"/>
      <x:c r="F233" s="128"/>
      <x:c r="G233" s="128"/>
      <x:c r="H233" s="128"/>
    </x:row>
    <x:row r="234">
      <x:c r="A234" s="128"/>
      <x:c r="B234" s="128"/>
      <x:c r="C234" s="128"/>
      <x:c r="D234" s="128"/>
      <x:c r="E234" s="128"/>
      <x:c r="F234" s="128"/>
      <x:c r="G234" s="128"/>
      <x:c r="H234" s="128"/>
    </x:row>
    <x:row r="235">
      <x:c r="A235" s="128"/>
      <x:c r="B235" s="128"/>
      <x:c r="C235" s="128"/>
      <x:c r="D235" s="128"/>
      <x:c r="E235" s="128"/>
      <x:c r="F235" s="128"/>
      <x:c r="G235" s="128"/>
      <x:c r="H235" s="128"/>
    </x:row>
    <x:row r="236">
      <x:c r="A236" s="128"/>
      <x:c r="B236" s="128"/>
      <x:c r="C236" s="128"/>
      <x:c r="D236" s="128"/>
      <x:c r="E236" s="128"/>
      <x:c r="F236" s="128"/>
      <x:c r="G236" s="128"/>
      <x:c r="H236" s="128"/>
    </x:row>
    <x:row r="237">
      <x:c r="A237" s="128"/>
      <x:c r="B237" s="128"/>
      <x:c r="C237" s="128"/>
      <x:c r="D237" s="128"/>
      <x:c r="E237" s="128"/>
      <x:c r="F237" s="128"/>
      <x:c r="G237" s="128"/>
      <x:c r="H237" s="128"/>
    </x:row>
    <x:row r="238">
      <x:c r="A238" s="128"/>
      <x:c r="B238" s="128"/>
      <x:c r="C238" s="128"/>
      <x:c r="D238" s="128"/>
      <x:c r="E238" s="128"/>
      <x:c r="F238" s="128"/>
      <x:c r="G238" s="128"/>
      <x:c r="H238" s="128"/>
    </x:row>
    <x:row r="239">
      <x:c r="A239" s="128"/>
      <x:c r="B239" s="128"/>
      <x:c r="C239" s="128"/>
      <x:c r="D239" s="128"/>
      <x:c r="E239" s="128"/>
      <x:c r="F239" s="128"/>
      <x:c r="G239" s="128"/>
      <x:c r="H239" s="128"/>
    </x:row>
    <x:row r="240">
      <x:c r="A240" s="128"/>
      <x:c r="B240" s="128"/>
      <x:c r="C240" s="128"/>
      <x:c r="D240" s="128"/>
      <x:c r="E240" s="128"/>
      <x:c r="F240" s="128"/>
      <x:c r="G240" s="128"/>
      <x:c r="H240" s="128"/>
    </x:row>
    <x:row r="241">
      <x:c r="A241" s="128"/>
      <x:c r="B241" s="128"/>
      <x:c r="C241" s="128"/>
      <x:c r="D241" s="128"/>
      <x:c r="E241" s="128"/>
      <x:c r="F241" s="128"/>
      <x:c r="G241" s="128"/>
      <x:c r="H241" s="128"/>
    </x:row>
    <x:row r="242">
      <x:c r="A242" s="128"/>
      <x:c r="B242" s="128"/>
      <x:c r="C242" s="128"/>
      <x:c r="D242" s="128"/>
      <x:c r="E242" s="128"/>
      <x:c r="F242" s="128"/>
      <x:c r="G242" s="128"/>
      <x:c r="H242" s="128"/>
    </x:row>
    <x:row r="243">
      <x:c r="A243" s="128"/>
      <x:c r="B243" s="128"/>
      <x:c r="C243" s="128"/>
      <x:c r="D243" s="128"/>
      <x:c r="E243" s="128"/>
      <x:c r="F243" s="128"/>
      <x:c r="G243" s="128"/>
      <x:c r="H243" s="128"/>
    </x:row>
    <x:row r="244">
      <x:c r="A244" s="128"/>
      <x:c r="B244" s="128"/>
      <x:c r="C244" s="128"/>
      <x:c r="D244" s="128"/>
      <x:c r="E244" s="128"/>
      <x:c r="F244" s="128"/>
      <x:c r="G244" s="128"/>
      <x:c r="H244" s="128"/>
    </x:row>
    <x:row r="245">
      <x:c r="A245" s="128"/>
      <x:c r="B245" s="128"/>
      <x:c r="C245" s="128"/>
      <x:c r="D245" s="128"/>
      <x:c r="E245" s="128"/>
      <x:c r="F245" s="128"/>
      <x:c r="G245" s="128"/>
      <x:c r="H245" s="128"/>
    </x:row>
    <x:row r="246">
      <x:c r="A246" s="128"/>
      <x:c r="B246" s="128"/>
      <x:c r="C246" s="128"/>
      <x:c r="D246" s="128"/>
      <x:c r="E246" s="128"/>
      <x:c r="F246" s="128"/>
      <x:c r="G246" s="128"/>
      <x:c r="H246" s="128"/>
    </x:row>
    <x:row r="247">
      <x:c r="A247" s="128"/>
      <x:c r="B247" s="128"/>
      <x:c r="C247" s="128"/>
      <x:c r="D247" s="128"/>
      <x:c r="E247" s="128"/>
      <x:c r="F247" s="128"/>
      <x:c r="G247" s="128"/>
      <x:c r="H247" s="128"/>
    </x:row>
    <x:row r="248">
      <x:c r="A248" s="128"/>
      <x:c r="B248" s="128"/>
      <x:c r="C248" s="128"/>
      <x:c r="D248" s="128"/>
      <x:c r="E248" s="128"/>
      <x:c r="F248" s="128"/>
      <x:c r="G248" s="128"/>
      <x:c r="H248" s="128"/>
    </x:row>
    <x:row r="249">
      <x:c r="A249" s="128"/>
      <x:c r="B249" s="128"/>
      <x:c r="C249" s="128"/>
      <x:c r="D249" s="128"/>
      <x:c r="E249" s="128"/>
      <x:c r="F249" s="128"/>
      <x:c r="G249" s="128"/>
      <x:c r="H249" s="128"/>
    </x:row>
    <x:row r="250">
      <x:c r="A250" s="128"/>
      <x:c r="B250" s="128"/>
      <x:c r="C250" s="128"/>
      <x:c r="D250" s="128"/>
      <x:c r="E250" s="128"/>
      <x:c r="F250" s="128"/>
      <x:c r="G250" s="128"/>
      <x:c r="H250" s="128"/>
    </x:row>
    <x:row r="251">
      <x:c r="A251" s="128"/>
      <x:c r="B251" s="128"/>
      <x:c r="C251" s="128"/>
      <x:c r="D251" s="128"/>
      <x:c r="E251" s="128"/>
      <x:c r="F251" s="128"/>
      <x:c r="G251" s="128"/>
      <x:c r="H251" s="128"/>
    </x:row>
    <x:row r="252">
      <x:c r="A252" s="128"/>
      <x:c r="B252" s="128"/>
      <x:c r="C252" s="128"/>
      <x:c r="D252" s="128"/>
      <x:c r="E252" s="128"/>
      <x:c r="F252" s="128"/>
      <x:c r="G252" s="128"/>
      <x:c r="H252" s="128"/>
    </x:row>
    <x:row r="253">
      <x:c r="A253" s="128"/>
      <x:c r="B253" s="128"/>
      <x:c r="C253" s="128"/>
      <x:c r="D253" s="128"/>
      <x:c r="E253" s="128"/>
      <x:c r="F253" s="128"/>
      <x:c r="G253" s="128"/>
      <x:c r="H253" s="128"/>
    </x:row>
    <x:row r="254">
      <x:c r="A254" s="128"/>
      <x:c r="B254" s="128"/>
      <x:c r="C254" s="128"/>
      <x:c r="D254" s="128"/>
      <x:c r="E254" s="128"/>
      <x:c r="F254" s="128"/>
      <x:c r="G254" s="128"/>
      <x:c r="H254" s="128"/>
    </x:row>
    <x:row r="255">
      <x:c r="A255" s="128"/>
      <x:c r="B255" s="128"/>
      <x:c r="C255" s="128"/>
      <x:c r="D255" s="128"/>
      <x:c r="E255" s="128"/>
      <x:c r="F255" s="128"/>
      <x:c r="G255" s="128"/>
      <x:c r="H255" s="128"/>
    </x:row>
    <x:row r="256">
      <x:c r="A256" s="128"/>
      <x:c r="B256" s="128"/>
      <x:c r="C256" s="128"/>
      <x:c r="D256" s="128"/>
      <x:c r="E256" s="128"/>
      <x:c r="F256" s="128"/>
      <x:c r="G256" s="128"/>
      <x:c r="H256" s="128"/>
    </x:row>
    <x:row r="257">
      <x:c r="A257" s="128"/>
      <x:c r="B257" s="128"/>
      <x:c r="C257" s="128"/>
      <x:c r="D257" s="128"/>
      <x:c r="E257" s="128"/>
      <x:c r="F257" s="128"/>
      <x:c r="G257" s="128"/>
      <x:c r="H257" s="128"/>
    </x:row>
    <x:row r="258">
      <x:c r="A258" s="128"/>
      <x:c r="B258" s="128"/>
      <x:c r="C258" s="128"/>
      <x:c r="D258" s="128"/>
      <x:c r="E258" s="128"/>
      <x:c r="F258" s="128"/>
      <x:c r="G258" s="128"/>
      <x:c r="H258" s="128"/>
    </x:row>
    <x:row r="259">
      <x:c r="A259" s="128"/>
      <x:c r="B259" s="128"/>
      <x:c r="C259" s="128"/>
      <x:c r="D259" s="128"/>
      <x:c r="E259" s="128"/>
      <x:c r="F259" s="128"/>
      <x:c r="G259" s="128"/>
      <x:c r="H259" s="128"/>
    </x:row>
    <x:row r="260">
      <x:c r="A260" s="128"/>
      <x:c r="B260" s="128"/>
      <x:c r="C260" s="128"/>
      <x:c r="D260" s="128"/>
      <x:c r="E260" s="128"/>
      <x:c r="F260" s="128"/>
      <x:c r="G260" s="128"/>
      <x:c r="H260" s="128"/>
    </x:row>
    <x:row r="261">
      <x:c r="A261" s="128"/>
      <x:c r="B261" s="128"/>
      <x:c r="C261" s="128"/>
      <x:c r="D261" s="128"/>
      <x:c r="E261" s="128"/>
      <x:c r="F261" s="128"/>
      <x:c r="G261" s="128"/>
      <x:c r="H261" s="128"/>
    </x:row>
    <x:row r="262">
      <x:c r="A262" s="128"/>
      <x:c r="B262" s="128"/>
      <x:c r="C262" s="128"/>
      <x:c r="D262" s="128"/>
      <x:c r="E262" s="128"/>
      <x:c r="F262" s="128"/>
      <x:c r="G262" s="128"/>
      <x:c r="H262" s="128"/>
    </x:row>
    <x:row r="263">
      <x:c r="A263" s="128"/>
      <x:c r="B263" s="128"/>
      <x:c r="C263" s="128"/>
      <x:c r="D263" s="128"/>
      <x:c r="E263" s="128"/>
      <x:c r="F263" s="128"/>
      <x:c r="G263" s="128"/>
      <x:c r="H263" s="128"/>
    </x:row>
    <x:row r="264">
      <x:c r="A264" s="128"/>
      <x:c r="B264" s="128"/>
      <x:c r="C264" s="128"/>
      <x:c r="D264" s="128"/>
      <x:c r="E264" s="128"/>
      <x:c r="F264" s="128"/>
      <x:c r="G264" s="128"/>
      <x:c r="H264" s="128"/>
    </x:row>
    <x:row r="265">
      <x:c r="A265" s="128"/>
      <x:c r="B265" s="128"/>
      <x:c r="C265" s="128"/>
      <x:c r="D265" s="128"/>
      <x:c r="E265" s="128"/>
      <x:c r="F265" s="128"/>
      <x:c r="G265" s="128"/>
      <x:c r="H265" s="128"/>
    </x:row>
    <x:row r="266">
      <x:c r="A266" s="128"/>
      <x:c r="B266" s="128"/>
      <x:c r="C266" s="128"/>
      <x:c r="D266" s="128"/>
      <x:c r="E266" s="128"/>
      <x:c r="F266" s="128"/>
      <x:c r="G266" s="128"/>
      <x:c r="H266" s="128"/>
    </x:row>
    <x:row r="267">
      <x:c r="A267" s="128"/>
      <x:c r="B267" s="128"/>
      <x:c r="C267" s="128"/>
      <x:c r="D267" s="128"/>
      <x:c r="E267" s="128"/>
      <x:c r="F267" s="128"/>
      <x:c r="G267" s="128"/>
      <x:c r="H267" s="128"/>
    </x:row>
    <x:row r="268">
      <x:c r="A268" s="128"/>
      <x:c r="B268" s="128"/>
      <x:c r="C268" s="128"/>
      <x:c r="D268" s="128"/>
      <x:c r="E268" s="128"/>
      <x:c r="F268" s="128"/>
      <x:c r="G268" s="128"/>
      <x:c r="H268" s="128"/>
    </x:row>
    <x:row r="269">
      <x:c r="A269" s="128"/>
      <x:c r="B269" s="128"/>
      <x:c r="C269" s="128"/>
      <x:c r="D269" s="128"/>
      <x:c r="E269" s="128"/>
      <x:c r="F269" s="128"/>
      <x:c r="G269" s="128"/>
      <x:c r="H269" s="128"/>
    </x:row>
    <x:row r="270">
      <x:c r="A270" s="128"/>
      <x:c r="B270" s="128"/>
      <x:c r="C270" s="128"/>
      <x:c r="D270" s="128"/>
      <x:c r="E270" s="128"/>
      <x:c r="F270" s="128"/>
      <x:c r="G270" s="128"/>
      <x:c r="H270" s="128"/>
    </x:row>
    <x:row r="271">
      <x:c r="A271" s="128"/>
      <x:c r="B271" s="128"/>
      <x:c r="C271" s="128"/>
      <x:c r="D271" s="128"/>
      <x:c r="E271" s="128"/>
      <x:c r="F271" s="128"/>
      <x:c r="G271" s="128"/>
      <x:c r="H271" s="128"/>
    </x:row>
    <x:row r="272">
      <x:c r="A272" s="128"/>
      <x:c r="B272" s="128"/>
      <x:c r="C272" s="128"/>
      <x:c r="D272" s="128"/>
      <x:c r="E272" s="128"/>
      <x:c r="F272" s="128"/>
      <x:c r="G272" s="128"/>
      <x:c r="H272" s="128"/>
    </x:row>
    <x:row r="273">
      <x:c r="A273" s="128"/>
      <x:c r="B273" s="128"/>
      <x:c r="C273" s="128"/>
      <x:c r="D273" s="128"/>
      <x:c r="E273" s="128"/>
      <x:c r="F273" s="128"/>
      <x:c r="G273" s="128"/>
      <x:c r="H273" s="128"/>
    </x:row>
    <x:row r="274">
      <x:c r="A274" s="128"/>
      <x:c r="B274" s="128"/>
      <x:c r="C274" s="128"/>
      <x:c r="D274" s="128"/>
      <x:c r="E274" s="128"/>
      <x:c r="F274" s="128"/>
      <x:c r="G274" s="128"/>
      <x:c r="H274" s="128"/>
    </x:row>
    <x:row r="275">
      <x:c r="A275" s="128"/>
      <x:c r="B275" s="128"/>
      <x:c r="C275" s="128"/>
      <x:c r="D275" s="128"/>
      <x:c r="E275" s="128"/>
      <x:c r="F275" s="128"/>
      <x:c r="G275" s="128"/>
      <x:c r="H275" s="128"/>
    </x:row>
    <x:row r="276">
      <x:c r="A276" s="128"/>
      <x:c r="B276" s="128"/>
      <x:c r="C276" s="128"/>
      <x:c r="D276" s="128"/>
      <x:c r="E276" s="128"/>
      <x:c r="F276" s="128"/>
      <x:c r="G276" s="128"/>
      <x:c r="H276" s="128"/>
    </x:row>
    <x:row r="277">
      <x:c r="A277" s="128"/>
      <x:c r="B277" s="128"/>
      <x:c r="C277" s="128"/>
      <x:c r="D277" s="128"/>
      <x:c r="E277" s="128"/>
      <x:c r="F277" s="128"/>
      <x:c r="G277" s="128"/>
      <x:c r="H277" s="128"/>
    </x:row>
    <x:row r="278">
      <x:c r="A278" s="128"/>
      <x:c r="B278" s="128"/>
      <x:c r="C278" s="128"/>
      <x:c r="D278" s="128"/>
      <x:c r="E278" s="128"/>
      <x:c r="F278" s="128"/>
      <x:c r="G278" s="128"/>
      <x:c r="H278" s="128"/>
    </x:row>
    <x:row r="279">
      <x:c r="A279" s="128"/>
      <x:c r="B279" s="128"/>
      <x:c r="C279" s="128"/>
      <x:c r="D279" s="128"/>
      <x:c r="E279" s="128"/>
      <x:c r="F279" s="128"/>
      <x:c r="G279" s="128"/>
      <x:c r="H279" s="128"/>
    </x:row>
    <x:row r="280">
      <x:c r="A280" s="128"/>
      <x:c r="B280" s="128"/>
      <x:c r="C280" s="128"/>
      <x:c r="D280" s="128"/>
      <x:c r="E280" s="128"/>
      <x:c r="F280" s="128"/>
      <x:c r="G280" s="128"/>
      <x:c r="H280" s="128"/>
    </x:row>
    <x:row r="281">
      <x:c r="A281" s="128"/>
      <x:c r="B281" s="128"/>
      <x:c r="C281" s="128"/>
      <x:c r="D281" s="128"/>
      <x:c r="E281" s="128"/>
      <x:c r="F281" s="128"/>
      <x:c r="G281" s="128"/>
      <x:c r="H281" s="128"/>
    </x:row>
    <x:row r="282">
      <x:c r="A282" s="128"/>
      <x:c r="B282" s="128"/>
      <x:c r="C282" s="128"/>
      <x:c r="D282" s="128"/>
      <x:c r="E282" s="128"/>
      <x:c r="F282" s="128"/>
      <x:c r="G282" s="128"/>
      <x:c r="H282" s="128"/>
    </x:row>
    <x:row r="283">
      <x:c r="A283" s="128"/>
      <x:c r="B283" s="128"/>
      <x:c r="C283" s="128"/>
      <x:c r="D283" s="128"/>
      <x:c r="E283" s="128"/>
      <x:c r="F283" s="128"/>
      <x:c r="G283" s="128"/>
      <x:c r="H283" s="128"/>
    </x:row>
    <x:row r="284">
      <x:c r="A284" s="128"/>
      <x:c r="B284" s="128"/>
      <x:c r="C284" s="128"/>
      <x:c r="D284" s="128"/>
      <x:c r="E284" s="128"/>
      <x:c r="F284" s="128"/>
      <x:c r="G284" s="128"/>
      <x:c r="H284" s="128"/>
    </x:row>
    <x:row r="285">
      <x:c r="A285" s="128"/>
      <x:c r="B285" s="128"/>
      <x:c r="C285" s="128"/>
      <x:c r="D285" s="128"/>
      <x:c r="E285" s="128"/>
      <x:c r="F285" s="128"/>
      <x:c r="G285" s="128"/>
      <x:c r="H285" s="128"/>
    </x:row>
    <x:row r="286">
      <x:c r="A286" s="128"/>
      <x:c r="B286" s="128"/>
      <x:c r="C286" s="128"/>
      <x:c r="D286" s="128"/>
      <x:c r="E286" s="128"/>
      <x:c r="F286" s="128"/>
      <x:c r="G286" s="128"/>
      <x:c r="H286" s="128"/>
    </x:row>
    <x:row r="287">
      <x:c r="A287" s="128"/>
      <x:c r="B287" s="128"/>
      <x:c r="C287" s="128"/>
      <x:c r="D287" s="128"/>
      <x:c r="E287" s="128"/>
      <x:c r="F287" s="128"/>
      <x:c r="G287" s="128"/>
      <x:c r="H287" s="128"/>
    </x:row>
    <x:row r="288">
      <x:c r="A288" s="128"/>
      <x:c r="B288" s="128"/>
      <x:c r="C288" s="128"/>
      <x:c r="D288" s="128"/>
      <x:c r="E288" s="128"/>
      <x:c r="F288" s="128"/>
      <x:c r="G288" s="128"/>
      <x:c r="H288" s="128"/>
    </x:row>
    <x:row r="289">
      <x:c r="A289" s="128"/>
      <x:c r="B289" s="128"/>
      <x:c r="C289" s="128"/>
      <x:c r="D289" s="128"/>
      <x:c r="E289" s="128"/>
      <x:c r="F289" s="128"/>
      <x:c r="G289" s="128"/>
      <x:c r="H289" s="128"/>
    </x:row>
    <x:row r="290">
      <x:c r="A290" s="128"/>
      <x:c r="B290" s="128"/>
      <x:c r="C290" s="128"/>
      <x:c r="D290" s="128"/>
      <x:c r="E290" s="128"/>
      <x:c r="F290" s="128"/>
      <x:c r="G290" s="128"/>
      <x:c r="H290" s="128"/>
    </x:row>
    <x:row r="291">
      <x:c r="A291" s="128"/>
      <x:c r="B291" s="128"/>
      <x:c r="C291" s="128"/>
      <x:c r="D291" s="128"/>
      <x:c r="E291" s="128"/>
      <x:c r="F291" s="128"/>
      <x:c r="G291" s="128"/>
      <x:c r="H291" s="128"/>
    </x:row>
    <x:row r="292">
      <x:c r="A292" s="128"/>
      <x:c r="B292" s="128"/>
      <x:c r="C292" s="128"/>
      <x:c r="D292" s="128"/>
      <x:c r="E292" s="128"/>
      <x:c r="F292" s="128"/>
      <x:c r="G292" s="128"/>
      <x:c r="H292" s="128"/>
    </x:row>
    <x:row r="293">
      <x:c r="A293" s="128"/>
      <x:c r="B293" s="128"/>
      <x:c r="C293" s="128"/>
      <x:c r="D293" s="128"/>
      <x:c r="E293" s="128"/>
      <x:c r="F293" s="128"/>
      <x:c r="G293" s="128"/>
      <x:c r="H293" s="128"/>
    </x:row>
    <x:row r="294">
      <x:c r="A294" s="128"/>
      <x:c r="B294" s="128"/>
      <x:c r="C294" s="128"/>
      <x:c r="D294" s="128"/>
      <x:c r="E294" s="128"/>
      <x:c r="F294" s="128"/>
      <x:c r="G294" s="128"/>
      <x:c r="H294" s="128"/>
    </x:row>
    <x:row r="295">
      <x:c r="A295" s="128"/>
      <x:c r="B295" s="128"/>
      <x:c r="C295" s="128"/>
      <x:c r="D295" s="128"/>
      <x:c r="E295" s="128"/>
      <x:c r="F295" s="128"/>
      <x:c r="G295" s="128"/>
      <x:c r="H295" s="128"/>
    </x:row>
    <x:row r="296">
      <x:c r="A296" s="128"/>
      <x:c r="B296" s="128"/>
      <x:c r="C296" s="128"/>
      <x:c r="D296" s="128"/>
      <x:c r="E296" s="128"/>
      <x:c r="F296" s="128"/>
      <x:c r="G296" s="128"/>
      <x:c r="H296" s="128"/>
    </x:row>
    <x:row r="297">
      <x:c r="A297" s="128"/>
      <x:c r="B297" s="128"/>
      <x:c r="C297" s="128"/>
      <x:c r="D297" s="128"/>
      <x:c r="E297" s="128"/>
      <x:c r="F297" s="128"/>
      <x:c r="G297" s="128"/>
      <x:c r="H297" s="128"/>
    </x:row>
    <x:row r="298">
      <x:c r="A298" s="128"/>
      <x:c r="B298" s="128"/>
      <x:c r="C298" s="128"/>
      <x:c r="D298" s="128"/>
      <x:c r="E298" s="128"/>
      <x:c r="F298" s="128"/>
      <x:c r="G298" s="128"/>
      <x:c r="H298" s="128"/>
    </x:row>
    <x:row r="299">
      <x:c r="A299" s="128"/>
      <x:c r="B299" s="128"/>
      <x:c r="C299" s="128"/>
      <x:c r="D299" s="128"/>
      <x:c r="E299" s="128"/>
      <x:c r="F299" s="128"/>
      <x:c r="G299" s="128"/>
      <x:c r="H299" s="128"/>
    </x:row>
    <x:row r="300">
      <x:c r="A300" s="128"/>
      <x:c r="B300" s="128"/>
      <x:c r="C300" s="128"/>
      <x:c r="D300" s="128"/>
      <x:c r="E300" s="128"/>
      <x:c r="F300" s="128"/>
      <x:c r="G300" s="128"/>
      <x:c r="H300" s="128"/>
    </x:row>
    <x:row r="301">
      <x:c r="A301" s="128"/>
      <x:c r="B301" s="128"/>
      <x:c r="C301" s="128"/>
      <x:c r="D301" s="128"/>
      <x:c r="E301" s="128"/>
      <x:c r="F301" s="128"/>
      <x:c r="G301" s="128"/>
      <x:c r="H301" s="128"/>
    </x:row>
    <x:row r="302">
      <x:c r="A302" s="128"/>
      <x:c r="B302" s="128"/>
      <x:c r="C302" s="128"/>
      <x:c r="D302" s="128"/>
      <x:c r="E302" s="128"/>
      <x:c r="F302" s="128"/>
      <x:c r="G302" s="128"/>
      <x:c r="H302" s="128"/>
    </x:row>
    <x:row r="303">
      <x:c r="A303" s="128"/>
      <x:c r="B303" s="128"/>
      <x:c r="C303" s="128"/>
      <x:c r="D303" s="128"/>
      <x:c r="E303" s="128"/>
      <x:c r="F303" s="128"/>
      <x:c r="G303" s="128"/>
      <x:c r="H303" s="128"/>
    </x:row>
    <x:row r="304">
      <x:c r="A304" s="128"/>
      <x:c r="B304" s="128"/>
      <x:c r="C304" s="128"/>
      <x:c r="D304" s="128"/>
      <x:c r="E304" s="128"/>
      <x:c r="F304" s="128"/>
      <x:c r="G304" s="128"/>
      <x:c r="H304" s="128"/>
    </x:row>
    <x:row r="305">
      <x:c r="A305" s="128"/>
      <x:c r="B305" s="128"/>
      <x:c r="C305" s="128"/>
      <x:c r="D305" s="128"/>
      <x:c r="E305" s="128"/>
      <x:c r="F305" s="128"/>
      <x:c r="G305" s="128"/>
      <x:c r="H305" s="128"/>
    </x:row>
    <x:row r="306">
      <x:c r="A306" s="128"/>
      <x:c r="B306" s="128"/>
      <x:c r="C306" s="128"/>
      <x:c r="D306" s="128"/>
      <x:c r="E306" s="128"/>
      <x:c r="F306" s="128"/>
      <x:c r="G306" s="128"/>
      <x:c r="H306" s="128"/>
    </x:row>
    <x:row r="307">
      <x:c r="A307" s="128"/>
      <x:c r="B307" s="128"/>
      <x:c r="C307" s="128"/>
      <x:c r="D307" s="128"/>
      <x:c r="E307" s="128"/>
      <x:c r="F307" s="128"/>
      <x:c r="G307" s="128"/>
      <x:c r="H307" s="128"/>
    </x:row>
    <x:row r="308">
      <x:c r="A308" s="128"/>
      <x:c r="B308" s="128"/>
      <x:c r="C308" s="128"/>
      <x:c r="D308" s="128"/>
      <x:c r="E308" s="128"/>
      <x:c r="F308" s="128"/>
      <x:c r="G308" s="128"/>
      <x:c r="H308" s="128"/>
    </x:row>
    <x:row r="309">
      <x:c r="A309" s="128"/>
      <x:c r="B309" s="128"/>
      <x:c r="C309" s="128"/>
      <x:c r="D309" s="128"/>
      <x:c r="E309" s="128"/>
      <x:c r="F309" s="128"/>
      <x:c r="G309" s="128"/>
      <x:c r="H309" s="128"/>
    </x:row>
    <x:row r="310">
      <x:c r="A310" s="128"/>
      <x:c r="B310" s="128"/>
      <x:c r="C310" s="128"/>
      <x:c r="D310" s="128"/>
      <x:c r="E310" s="128"/>
      <x:c r="F310" s="128"/>
      <x:c r="G310" s="128"/>
      <x:c r="H310" s="128"/>
    </x:row>
    <x:row r="311">
      <x:c r="A311" s="128"/>
      <x:c r="B311" s="128"/>
      <x:c r="C311" s="128"/>
      <x:c r="D311" s="128"/>
      <x:c r="E311" s="128"/>
      <x:c r="F311" s="128"/>
      <x:c r="G311" s="128"/>
      <x:c r="H311" s="128"/>
    </x:row>
    <x:row r="312">
      <x:c r="A312" s="128"/>
      <x:c r="B312" s="128"/>
      <x:c r="C312" s="128"/>
      <x:c r="D312" s="128"/>
      <x:c r="E312" s="128"/>
      <x:c r="F312" s="128"/>
      <x:c r="G312" s="128"/>
      <x:c r="H312" s="128"/>
    </x:row>
    <x:row r="313">
      <x:c r="A313" s="128"/>
      <x:c r="B313" s="128"/>
      <x:c r="C313" s="128"/>
      <x:c r="D313" s="128"/>
      <x:c r="E313" s="128"/>
      <x:c r="F313" s="128"/>
      <x:c r="G313" s="128"/>
      <x:c r="H313" s="128"/>
    </x:row>
    <x:row r="314">
      <x:c r="A314" s="128"/>
      <x:c r="B314" s="128"/>
      <x:c r="C314" s="128"/>
      <x:c r="D314" s="128"/>
      <x:c r="E314" s="128"/>
      <x:c r="F314" s="128"/>
      <x:c r="G314" s="128"/>
      <x:c r="H314" s="128"/>
    </x:row>
    <x:row r="315">
      <x:c r="A315" s="128"/>
      <x:c r="B315" s="128"/>
      <x:c r="C315" s="128"/>
      <x:c r="D315" s="128"/>
      <x:c r="E315" s="128"/>
      <x:c r="F315" s="128"/>
      <x:c r="G315" s="128"/>
      <x:c r="H315" s="128"/>
    </x:row>
    <x:row r="316">
      <x:c r="A316" s="128"/>
      <x:c r="B316" s="128"/>
      <x:c r="C316" s="128"/>
      <x:c r="D316" s="128"/>
      <x:c r="E316" s="128"/>
      <x:c r="F316" s="128"/>
      <x:c r="G316" s="128"/>
      <x:c r="H316" s="128"/>
    </x:row>
    <x:row r="317">
      <x:c r="A317" s="128"/>
      <x:c r="B317" s="128"/>
      <x:c r="C317" s="128"/>
      <x:c r="D317" s="128"/>
      <x:c r="E317" s="128"/>
      <x:c r="F317" s="128"/>
      <x:c r="G317" s="128"/>
      <x:c r="H317" s="128"/>
    </x:row>
    <x:row r="318">
      <x:c r="A318" s="128"/>
      <x:c r="B318" s="128"/>
      <x:c r="C318" s="128"/>
      <x:c r="D318" s="128"/>
      <x:c r="E318" s="128"/>
      <x:c r="F318" s="128"/>
      <x:c r="G318" s="128"/>
      <x:c r="H318" s="128"/>
    </x:row>
    <x:row r="319">
      <x:c r="A319" s="128"/>
      <x:c r="B319" s="128"/>
      <x:c r="C319" s="128"/>
      <x:c r="D319" s="128"/>
      <x:c r="E319" s="128"/>
      <x:c r="F319" s="128"/>
      <x:c r="G319" s="128"/>
      <x:c r="H319" s="128"/>
    </x:row>
    <x:row r="320">
      <x:c r="A320" s="128"/>
      <x:c r="B320" s="128"/>
      <x:c r="C320" s="128"/>
      <x:c r="D320" s="128"/>
      <x:c r="E320" s="128"/>
      <x:c r="F320" s="128"/>
      <x:c r="G320" s="128"/>
      <x:c r="H320" s="128"/>
    </x:row>
    <x:row r="321">
      <x:c r="A321" s="128"/>
      <x:c r="B321" s="128"/>
      <x:c r="C321" s="128"/>
      <x:c r="D321" s="128"/>
      <x:c r="E321" s="128"/>
      <x:c r="F321" s="128"/>
      <x:c r="G321" s="128"/>
      <x:c r="H321" s="128"/>
    </x:row>
    <x:row r="322">
      <x:c r="A322" s="128"/>
      <x:c r="B322" s="128"/>
      <x:c r="C322" s="128"/>
      <x:c r="D322" s="128"/>
      <x:c r="E322" s="128"/>
      <x:c r="F322" s="128"/>
      <x:c r="G322" s="128"/>
      <x:c r="H322" s="128"/>
    </x:row>
    <x:row r="323">
      <x:c r="A323" s="128"/>
      <x:c r="B323" s="128"/>
      <x:c r="C323" s="128"/>
      <x:c r="D323" s="128"/>
      <x:c r="E323" s="128"/>
      <x:c r="F323" s="128"/>
      <x:c r="G323" s="128"/>
      <x:c r="H323" s="128"/>
    </x:row>
    <x:row r="324">
      <x:c r="A324" s="128"/>
      <x:c r="B324" s="128"/>
      <x:c r="C324" s="128"/>
      <x:c r="D324" s="128"/>
      <x:c r="E324" s="128"/>
      <x:c r="F324" s="128"/>
      <x:c r="G324" s="128"/>
      <x:c r="H324" s="128"/>
    </x:row>
    <x:row r="325">
      <x:c r="A325" s="128"/>
      <x:c r="B325" s="128"/>
      <x:c r="C325" s="128"/>
      <x:c r="D325" s="128"/>
      <x:c r="E325" s="128"/>
      <x:c r="F325" s="128"/>
      <x:c r="G325" s="128"/>
      <x:c r="H325" s="128"/>
    </x:row>
    <x:row r="326">
      <x:c r="A326" s="128"/>
      <x:c r="B326" s="128"/>
      <x:c r="C326" s="128"/>
      <x:c r="D326" s="128"/>
      <x:c r="E326" s="128"/>
      <x:c r="F326" s="128"/>
      <x:c r="G326" s="128"/>
      <x:c r="H326" s="128"/>
    </x:row>
    <x:row r="327">
      <x:c r="A327" s="128"/>
      <x:c r="B327" s="128"/>
      <x:c r="C327" s="128"/>
      <x:c r="D327" s="128"/>
      <x:c r="E327" s="128"/>
      <x:c r="F327" s="128"/>
      <x:c r="G327" s="128"/>
      <x:c r="H327" s="128"/>
    </x:row>
    <x:row r="328">
      <x:c r="A328" s="128"/>
      <x:c r="B328" s="128"/>
      <x:c r="C328" s="128"/>
      <x:c r="D328" s="128"/>
      <x:c r="E328" s="128"/>
      <x:c r="F328" s="128"/>
      <x:c r="G328" s="128"/>
      <x:c r="H328" s="128"/>
    </x:row>
    <x:row r="329">
      <x:c r="A329" s="128"/>
      <x:c r="B329" s="128"/>
      <x:c r="C329" s="128"/>
      <x:c r="D329" s="128"/>
      <x:c r="E329" s="128"/>
      <x:c r="F329" s="128"/>
      <x:c r="G329" s="128"/>
      <x:c r="H329" s="128"/>
    </x:row>
    <x:row r="330">
      <x:c r="A330" s="128"/>
      <x:c r="B330" s="128"/>
      <x:c r="C330" s="128"/>
      <x:c r="D330" s="128"/>
      <x:c r="E330" s="128"/>
      <x:c r="F330" s="128"/>
      <x:c r="G330" s="128"/>
      <x:c r="H330" s="128"/>
    </x:row>
    <x:row r="331">
      <x:c r="A331" s="128"/>
      <x:c r="B331" s="128"/>
      <x:c r="C331" s="128"/>
      <x:c r="D331" s="128"/>
      <x:c r="E331" s="128"/>
      <x:c r="F331" s="128"/>
      <x:c r="G331" s="128"/>
      <x:c r="H331" s="128"/>
    </x:row>
    <x:row r="332">
      <x:c r="A332" s="128"/>
      <x:c r="B332" s="128"/>
      <x:c r="C332" s="128"/>
      <x:c r="D332" s="128"/>
      <x:c r="E332" s="128"/>
      <x:c r="F332" s="128"/>
      <x:c r="G332" s="128"/>
      <x:c r="H332" s="128"/>
    </x:row>
    <x:row r="333">
      <x:c r="A333" s="128"/>
      <x:c r="B333" s="128"/>
      <x:c r="C333" s="128"/>
      <x:c r="D333" s="128"/>
      <x:c r="E333" s="128"/>
      <x:c r="F333" s="128"/>
      <x:c r="G333" s="128"/>
      <x:c r="H333" s="128"/>
    </x:row>
    <x:row r="334">
      <x:c r="A334" s="128"/>
      <x:c r="B334" s="128"/>
      <x:c r="C334" s="128"/>
      <x:c r="D334" s="128"/>
      <x:c r="E334" s="128"/>
      <x:c r="F334" s="128"/>
      <x:c r="G334" s="128"/>
      <x:c r="H334" s="128"/>
    </x:row>
    <x:row r="335">
      <x:c r="A335" s="128"/>
      <x:c r="B335" s="128"/>
      <x:c r="C335" s="128"/>
      <x:c r="D335" s="128"/>
      <x:c r="E335" s="128"/>
      <x:c r="F335" s="128"/>
      <x:c r="G335" s="128"/>
      <x:c r="H335" s="128"/>
    </x:row>
    <x:row r="336">
      <x:c r="A336" s="128"/>
      <x:c r="B336" s="128"/>
      <x:c r="C336" s="128"/>
      <x:c r="D336" s="128"/>
      <x:c r="E336" s="128"/>
      <x:c r="F336" s="128"/>
      <x:c r="G336" s="128"/>
      <x:c r="H336" s="128"/>
    </x:row>
    <x:row r="337">
      <x:c r="A337" s="128"/>
      <x:c r="B337" s="128"/>
      <x:c r="C337" s="128"/>
      <x:c r="D337" s="128"/>
      <x:c r="E337" s="128"/>
      <x:c r="F337" s="128"/>
      <x:c r="G337" s="128"/>
      <x:c r="H337" s="128"/>
    </x:row>
    <x:row r="338">
      <x:c r="A338" s="128"/>
      <x:c r="B338" s="128"/>
      <x:c r="C338" s="128"/>
      <x:c r="D338" s="128"/>
      <x:c r="E338" s="128"/>
      <x:c r="F338" s="128"/>
      <x:c r="G338" s="128"/>
      <x:c r="H338" s="128"/>
    </x:row>
    <x:row r="339">
      <x:c r="A339" s="128"/>
      <x:c r="B339" s="128"/>
      <x:c r="C339" s="128"/>
      <x:c r="D339" s="128"/>
      <x:c r="E339" s="128"/>
      <x:c r="F339" s="128"/>
      <x:c r="G339" s="128"/>
      <x:c r="H339" s="128"/>
    </x:row>
    <x:row r="340">
      <x:c r="A340" s="128"/>
      <x:c r="B340" s="128"/>
      <x:c r="C340" s="128"/>
      <x:c r="D340" s="128"/>
      <x:c r="E340" s="128"/>
      <x:c r="F340" s="128"/>
      <x:c r="G340" s="128"/>
      <x:c r="H340" s="128"/>
    </x:row>
    <x:row r="341">
      <x:c r="A341" s="128"/>
      <x:c r="B341" s="128"/>
      <x:c r="C341" s="128"/>
      <x:c r="D341" s="128"/>
      <x:c r="E341" s="128"/>
      <x:c r="F341" s="128"/>
      <x:c r="G341" s="128"/>
      <x:c r="H341" s="128"/>
    </x:row>
    <x:row r="342">
      <x:c r="A342" s="128"/>
      <x:c r="B342" s="128"/>
      <x:c r="C342" s="128"/>
      <x:c r="D342" s="128"/>
      <x:c r="E342" s="128"/>
      <x:c r="F342" s="128"/>
      <x:c r="G342" s="128"/>
      <x:c r="H342" s="128"/>
    </x:row>
    <x:row r="343">
      <x:c r="A343" s="128"/>
      <x:c r="B343" s="128"/>
      <x:c r="C343" s="128"/>
      <x:c r="D343" s="128"/>
      <x:c r="E343" s="128"/>
      <x:c r="F343" s="128"/>
      <x:c r="G343" s="128"/>
      <x:c r="H343" s="128"/>
    </x:row>
    <x:row r="344">
      <x:c r="A344" s="128"/>
      <x:c r="B344" s="128"/>
      <x:c r="C344" s="128"/>
      <x:c r="D344" s="128"/>
      <x:c r="E344" s="128"/>
      <x:c r="F344" s="128"/>
      <x:c r="G344" s="128"/>
      <x:c r="H344" s="128"/>
    </x:row>
    <x:row r="345">
      <x:c r="A345" s="128"/>
      <x:c r="B345" s="128"/>
      <x:c r="C345" s="128"/>
      <x:c r="D345" s="128"/>
      <x:c r="E345" s="128"/>
      <x:c r="F345" s="128"/>
      <x:c r="G345" s="128"/>
      <x:c r="H345" s="128"/>
    </x:row>
    <x:row r="346">
      <x:c r="A346" s="128"/>
      <x:c r="B346" s="128"/>
      <x:c r="C346" s="128"/>
      <x:c r="D346" s="128"/>
      <x:c r="E346" s="128"/>
      <x:c r="F346" s="128"/>
      <x:c r="G346" s="128"/>
      <x:c r="H346" s="128"/>
    </x:row>
    <x:row r="347">
      <x:c r="A347" s="128"/>
      <x:c r="B347" s="128"/>
      <x:c r="C347" s="128"/>
      <x:c r="D347" s="128"/>
      <x:c r="E347" s="128"/>
      <x:c r="F347" s="128"/>
      <x:c r="G347" s="128"/>
      <x:c r="H347" s="128"/>
    </x:row>
    <x:row r="348">
      <x:c r="A348" s="128"/>
      <x:c r="B348" s="128"/>
      <x:c r="C348" s="128"/>
      <x:c r="D348" s="128"/>
      <x:c r="E348" s="128"/>
      <x:c r="F348" s="128"/>
      <x:c r="G348" s="128"/>
      <x:c r="H348" s="128"/>
    </x:row>
    <x:row r="349">
      <x:c r="A349" s="128"/>
      <x:c r="B349" s="128"/>
      <x:c r="C349" s="128"/>
      <x:c r="D349" s="128"/>
      <x:c r="E349" s="128"/>
      <x:c r="F349" s="128"/>
      <x:c r="G349" s="128"/>
      <x:c r="H349" s="128"/>
    </x:row>
    <x:row r="350">
      <x:c r="A350" s="128"/>
      <x:c r="B350" s="128"/>
      <x:c r="C350" s="128"/>
      <x:c r="D350" s="128"/>
      <x:c r="E350" s="128"/>
      <x:c r="F350" s="128"/>
      <x:c r="G350" s="128"/>
      <x:c r="H350" s="128"/>
    </x:row>
    <x:row r="351">
      <x:c r="A351" s="128"/>
      <x:c r="B351" s="128"/>
      <x:c r="C351" s="128"/>
      <x:c r="D351" s="128"/>
      <x:c r="E351" s="128"/>
      <x:c r="F351" s="128"/>
      <x:c r="G351" s="128"/>
      <x:c r="H351" s="128"/>
    </x:row>
    <x:row r="352">
      <x:c r="A352" s="128"/>
      <x:c r="B352" s="128"/>
      <x:c r="C352" s="128"/>
      <x:c r="D352" s="128"/>
      <x:c r="E352" s="128"/>
      <x:c r="F352" s="128"/>
      <x:c r="G352" s="128"/>
      <x:c r="H352" s="128"/>
    </x:row>
    <x:row r="353">
      <x:c r="A353" s="128"/>
      <x:c r="B353" s="128"/>
      <x:c r="C353" s="128"/>
      <x:c r="D353" s="128"/>
      <x:c r="E353" s="128"/>
      <x:c r="F353" s="128"/>
      <x:c r="G353" s="128"/>
      <x:c r="H353" s="128"/>
    </x:row>
    <x:row r="354">
      <x:c r="A354" s="128"/>
      <x:c r="B354" s="128"/>
      <x:c r="C354" s="128"/>
      <x:c r="D354" s="128"/>
      <x:c r="E354" s="128"/>
      <x:c r="F354" s="128"/>
      <x:c r="G354" s="128"/>
      <x:c r="H354" s="128"/>
    </x:row>
    <x:row r="355">
      <x:c r="A355" s="128"/>
      <x:c r="B355" s="128"/>
      <x:c r="C355" s="128"/>
      <x:c r="D355" s="128"/>
      <x:c r="E355" s="128"/>
      <x:c r="F355" s="128"/>
      <x:c r="G355" s="128"/>
      <x:c r="H355" s="128"/>
    </x:row>
    <x:row r="356">
      <x:c r="A356" s="128"/>
      <x:c r="B356" s="128"/>
      <x:c r="C356" s="128"/>
      <x:c r="D356" s="128"/>
      <x:c r="E356" s="128"/>
      <x:c r="F356" s="128"/>
      <x:c r="G356" s="128"/>
      <x:c r="H356" s="128"/>
    </x:row>
    <x:row r="357">
      <x:c r="A357" s="128"/>
      <x:c r="B357" s="128"/>
      <x:c r="C357" s="128"/>
      <x:c r="D357" s="128"/>
      <x:c r="E357" s="128"/>
      <x:c r="F357" s="128"/>
      <x:c r="G357" s="128"/>
      <x:c r="H357" s="128"/>
    </x:row>
    <x:row r="358">
      <x:c r="A358" s="128"/>
      <x:c r="B358" s="128"/>
      <x:c r="C358" s="128"/>
      <x:c r="D358" s="128"/>
      <x:c r="E358" s="128"/>
      <x:c r="F358" s="128"/>
      <x:c r="G358" s="128"/>
      <x:c r="H358" s="128"/>
    </x:row>
    <x:row r="359">
      <x:c r="A359" s="128"/>
      <x:c r="B359" s="128"/>
      <x:c r="C359" s="128"/>
      <x:c r="D359" s="128"/>
      <x:c r="E359" s="128"/>
      <x:c r="F359" s="128"/>
      <x:c r="G359" s="128"/>
      <x:c r="H359" s="128"/>
    </x:row>
    <x:row r="360">
      <x:c r="A360" s="128"/>
      <x:c r="B360" s="128"/>
      <x:c r="C360" s="128"/>
      <x:c r="D360" s="128"/>
      <x:c r="E360" s="128"/>
      <x:c r="F360" s="128"/>
      <x:c r="G360" s="128"/>
      <x:c r="H360" s="128"/>
    </x:row>
    <x:row r="361">
      <x:c r="A361" s="128"/>
      <x:c r="B361" s="128"/>
      <x:c r="C361" s="128"/>
      <x:c r="D361" s="128"/>
      <x:c r="E361" s="128"/>
      <x:c r="F361" s="128"/>
      <x:c r="G361" s="128"/>
      <x:c r="H361" s="128"/>
    </x:row>
    <x:row r="362">
      <x:c r="A362" s="128"/>
      <x:c r="B362" s="128"/>
      <x:c r="C362" s="128"/>
      <x:c r="D362" s="128"/>
      <x:c r="E362" s="128"/>
      <x:c r="F362" s="128"/>
      <x:c r="G362" s="128"/>
      <x:c r="H362" s="128"/>
    </x:row>
    <x:row r="363">
      <x:c r="A363" s="128"/>
      <x:c r="B363" s="128"/>
      <x:c r="C363" s="128"/>
      <x:c r="D363" s="128"/>
      <x:c r="E363" s="128"/>
      <x:c r="F363" s="128"/>
      <x:c r="G363" s="128"/>
      <x:c r="H363" s="128"/>
    </x:row>
    <x:row r="364">
      <x:c r="A364" s="128"/>
      <x:c r="B364" s="128"/>
      <x:c r="C364" s="128"/>
      <x:c r="D364" s="128"/>
      <x:c r="E364" s="128"/>
      <x:c r="F364" s="128"/>
      <x:c r="G364" s="128"/>
      <x:c r="H364" s="128"/>
    </x:row>
    <x:row r="365">
      <x:c r="A365" s="128"/>
      <x:c r="B365" s="128"/>
      <x:c r="C365" s="128"/>
      <x:c r="D365" s="128"/>
      <x:c r="E365" s="128"/>
      <x:c r="F365" s="128"/>
      <x:c r="G365" s="128"/>
      <x:c r="H365" s="128"/>
    </x:row>
    <x:row r="366">
      <x:c r="A366" s="128"/>
      <x:c r="B366" s="128"/>
      <x:c r="C366" s="128"/>
      <x:c r="D366" s="128"/>
      <x:c r="E366" s="128"/>
      <x:c r="F366" s="128"/>
      <x:c r="G366" s="128"/>
      <x:c r="H366" s="128"/>
    </x:row>
    <x:row r="367">
      <x:c r="A367" s="128"/>
      <x:c r="B367" s="128"/>
      <x:c r="C367" s="128"/>
      <x:c r="D367" s="128"/>
      <x:c r="E367" s="128"/>
      <x:c r="F367" s="128"/>
      <x:c r="G367" s="128"/>
      <x:c r="H367" s="128"/>
    </x:row>
    <x:row r="368">
      <x:c r="A368" s="128"/>
      <x:c r="B368" s="128"/>
      <x:c r="C368" s="128"/>
      <x:c r="D368" s="128"/>
      <x:c r="E368" s="128"/>
      <x:c r="F368" s="128"/>
      <x:c r="G368" s="128"/>
      <x:c r="H368" s="128"/>
    </x:row>
    <x:row r="369">
      <x:c r="A369" s="128"/>
      <x:c r="B369" s="128"/>
      <x:c r="C369" s="128"/>
      <x:c r="D369" s="128"/>
      <x:c r="E369" s="128"/>
      <x:c r="F369" s="128"/>
      <x:c r="G369" s="128"/>
      <x:c r="H369" s="128"/>
    </x:row>
    <x:row r="370">
      <x:c r="A370" s="128"/>
      <x:c r="B370" s="128"/>
      <x:c r="C370" s="128"/>
      <x:c r="D370" s="128"/>
      <x:c r="E370" s="128"/>
      <x:c r="F370" s="128"/>
      <x:c r="G370" s="128"/>
      <x:c r="H370" s="128"/>
    </x:row>
    <x:row r="371">
      <x:c r="A371" s="128"/>
      <x:c r="B371" s="128"/>
      <x:c r="C371" s="128"/>
      <x:c r="D371" s="128"/>
      <x:c r="E371" s="128"/>
      <x:c r="F371" s="128"/>
      <x:c r="G371" s="128"/>
      <x:c r="H371" s="128"/>
    </x:row>
    <x:row r="372">
      <x:c r="A372" s="128"/>
      <x:c r="B372" s="128"/>
      <x:c r="C372" s="128"/>
      <x:c r="D372" s="128"/>
      <x:c r="E372" s="128"/>
      <x:c r="F372" s="128"/>
      <x:c r="G372" s="128"/>
      <x:c r="H372" s="128"/>
    </x:row>
    <x:row r="373">
      <x:c r="A373" s="128"/>
      <x:c r="B373" s="128"/>
      <x:c r="C373" s="128"/>
      <x:c r="D373" s="128"/>
      <x:c r="E373" s="128"/>
      <x:c r="F373" s="128"/>
      <x:c r="G373" s="128"/>
      <x:c r="H373" s="128"/>
    </x:row>
    <x:row r="374">
      <x:c r="A374" s="128"/>
      <x:c r="B374" s="128"/>
      <x:c r="C374" s="128"/>
      <x:c r="D374" s="128"/>
      <x:c r="E374" s="128"/>
      <x:c r="F374" s="128"/>
      <x:c r="G374" s="128"/>
      <x:c r="H374" s="128"/>
    </x:row>
    <x:row r="375">
      <x:c r="A375" s="128"/>
      <x:c r="B375" s="128"/>
      <x:c r="C375" s="128"/>
      <x:c r="D375" s="128"/>
      <x:c r="E375" s="128"/>
      <x:c r="F375" s="128"/>
      <x:c r="G375" s="128"/>
      <x:c r="H375" s="128"/>
    </x:row>
    <x:row r="376">
      <x:c r="A376" s="128"/>
      <x:c r="B376" s="128"/>
      <x:c r="C376" s="128"/>
      <x:c r="D376" s="128"/>
      <x:c r="E376" s="128"/>
      <x:c r="F376" s="128"/>
      <x:c r="G376" s="128"/>
      <x:c r="H376" s="128"/>
    </x:row>
    <x:row r="377">
      <x:c r="A377" s="128"/>
      <x:c r="B377" s="128"/>
      <x:c r="C377" s="128"/>
      <x:c r="D377" s="128"/>
      <x:c r="E377" s="128"/>
      <x:c r="F377" s="128"/>
      <x:c r="G377" s="128"/>
      <x:c r="H377" s="128"/>
    </x:row>
    <x:row r="378">
      <x:c r="A378" s="128"/>
      <x:c r="B378" s="128"/>
      <x:c r="C378" s="128"/>
      <x:c r="D378" s="128"/>
      <x:c r="E378" s="128"/>
      <x:c r="F378" s="128"/>
      <x:c r="G378" s="128"/>
      <x:c r="H378" s="128"/>
    </x:row>
    <x:row r="379">
      <x:c r="A379" s="128"/>
      <x:c r="B379" s="128"/>
      <x:c r="C379" s="128"/>
      <x:c r="D379" s="128"/>
      <x:c r="E379" s="128"/>
      <x:c r="F379" s="128"/>
      <x:c r="G379" s="128"/>
      <x:c r="H379" s="128"/>
    </x:row>
    <x:row r="380">
      <x:c r="A380" s="128"/>
      <x:c r="B380" s="128"/>
      <x:c r="C380" s="128"/>
      <x:c r="D380" s="128"/>
      <x:c r="E380" s="128"/>
      <x:c r="F380" s="128"/>
      <x:c r="G380" s="128"/>
      <x:c r="H380" s="128"/>
    </x:row>
    <x:row r="381">
      <x:c r="A381" s="128"/>
      <x:c r="B381" s="128"/>
      <x:c r="C381" s="128"/>
      <x:c r="D381" s="128"/>
      <x:c r="E381" s="128"/>
      <x:c r="F381" s="128"/>
      <x:c r="G381" s="128"/>
      <x:c r="H381" s="128"/>
    </x:row>
    <x:row r="382">
      <x:c r="A382" s="128"/>
      <x:c r="B382" s="128"/>
      <x:c r="C382" s="128"/>
      <x:c r="D382" s="128"/>
      <x:c r="E382" s="128"/>
      <x:c r="F382" s="128"/>
      <x:c r="G382" s="128"/>
      <x:c r="H382" s="128"/>
    </x:row>
    <x:row r="383">
      <x:c r="A383" s="128"/>
      <x:c r="B383" s="128"/>
      <x:c r="C383" s="128"/>
      <x:c r="D383" s="128"/>
      <x:c r="E383" s="128"/>
      <x:c r="F383" s="128"/>
      <x:c r="G383" s="128"/>
      <x:c r="H383" s="128"/>
    </x:row>
    <x:row r="384">
      <x:c r="A384" s="128"/>
      <x:c r="B384" s="128"/>
      <x:c r="C384" s="128"/>
      <x:c r="D384" s="128"/>
      <x:c r="E384" s="128"/>
      <x:c r="F384" s="128"/>
      <x:c r="G384" s="128"/>
      <x:c r="H384" s="128"/>
    </x:row>
    <x:row r="385">
      <x:c r="A385" s="128"/>
      <x:c r="B385" s="128"/>
      <x:c r="C385" s="128"/>
      <x:c r="D385" s="128"/>
      <x:c r="E385" s="128"/>
      <x:c r="F385" s="128"/>
      <x:c r="G385" s="128"/>
      <x:c r="H385" s="128"/>
    </x:row>
    <x:row r="386">
      <x:c r="A386" s="128"/>
      <x:c r="B386" s="128"/>
      <x:c r="C386" s="128"/>
      <x:c r="D386" s="128"/>
      <x:c r="E386" s="128"/>
      <x:c r="F386" s="128"/>
      <x:c r="G386" s="128"/>
      <x:c r="H386" s="128"/>
    </x:row>
    <x:row r="387">
      <x:c r="A387" s="128"/>
      <x:c r="B387" s="128"/>
      <x:c r="C387" s="128"/>
      <x:c r="D387" s="128"/>
      <x:c r="E387" s="128"/>
      <x:c r="F387" s="128"/>
      <x:c r="G387" s="128"/>
      <x:c r="H387" s="128"/>
    </x:row>
    <x:row r="388">
      <x:c r="A388" s="128"/>
      <x:c r="B388" s="128"/>
      <x:c r="C388" s="128"/>
      <x:c r="D388" s="128"/>
      <x:c r="E388" s="128"/>
      <x:c r="F388" s="128"/>
      <x:c r="G388" s="128"/>
      <x:c r="H388" s="128"/>
    </x:row>
    <x:row r="389">
      <x:c r="A389" s="128"/>
      <x:c r="B389" s="128"/>
      <x:c r="C389" s="128"/>
      <x:c r="D389" s="128"/>
      <x:c r="E389" s="128"/>
      <x:c r="F389" s="128"/>
      <x:c r="G389" s="128"/>
      <x:c r="H389" s="128"/>
    </x:row>
    <x:row r="390">
      <x:c r="A390" s="128"/>
      <x:c r="B390" s="128"/>
      <x:c r="C390" s="128"/>
      <x:c r="D390" s="128"/>
      <x:c r="E390" s="128"/>
      <x:c r="F390" s="128"/>
      <x:c r="G390" s="128"/>
      <x:c r="H390" s="128"/>
    </x:row>
    <x:row r="391">
      <x:c r="A391" s="128"/>
      <x:c r="B391" s="128"/>
      <x:c r="C391" s="128"/>
      <x:c r="D391" s="128"/>
      <x:c r="E391" s="128"/>
      <x:c r="F391" s="128"/>
      <x:c r="G391" s="128"/>
      <x:c r="H391" s="128"/>
    </x:row>
    <x:row r="392">
      <x:c r="A392" s="128"/>
      <x:c r="B392" s="128"/>
      <x:c r="C392" s="128"/>
      <x:c r="D392" s="128"/>
      <x:c r="E392" s="128"/>
      <x:c r="F392" s="128"/>
      <x:c r="G392" s="128"/>
      <x:c r="H392" s="128"/>
    </x:row>
    <x:row r="393">
      <x:c r="A393" s="128"/>
      <x:c r="B393" s="128"/>
      <x:c r="C393" s="128"/>
      <x:c r="D393" s="128"/>
      <x:c r="E393" s="128"/>
      <x:c r="F393" s="128"/>
      <x:c r="G393" s="128"/>
      <x:c r="H393" s="128"/>
    </x:row>
    <x:row r="394">
      <x:c r="A394" s="128"/>
      <x:c r="B394" s="128"/>
      <x:c r="C394" s="128"/>
      <x:c r="D394" s="128"/>
      <x:c r="E394" s="128"/>
      <x:c r="F394" s="128"/>
      <x:c r="G394" s="128"/>
      <x:c r="H394" s="128"/>
    </x:row>
    <x:row r="395">
      <x:c r="A395" s="128"/>
      <x:c r="B395" s="128"/>
      <x:c r="C395" s="128"/>
      <x:c r="D395" s="128"/>
      <x:c r="E395" s="128"/>
      <x:c r="F395" s="128"/>
      <x:c r="G395" s="128"/>
      <x:c r="H395" s="128"/>
    </x:row>
    <x:row r="396">
      <x:c r="A396" s="128"/>
      <x:c r="B396" s="128"/>
      <x:c r="C396" s="128"/>
      <x:c r="D396" s="128"/>
      <x:c r="E396" s="128"/>
      <x:c r="F396" s="128"/>
      <x:c r="G396" s="128"/>
      <x:c r="H396" s="128"/>
    </x:row>
    <x:row r="397">
      <x:c r="A397" s="128"/>
      <x:c r="B397" s="128"/>
      <x:c r="C397" s="128"/>
      <x:c r="D397" s="128"/>
      <x:c r="E397" s="128"/>
      <x:c r="F397" s="128"/>
      <x:c r="G397" s="128"/>
      <x:c r="H397" s="128"/>
    </x:row>
    <x:row r="398">
      <x:c r="A398" s="128"/>
      <x:c r="B398" s="128"/>
      <x:c r="C398" s="128"/>
      <x:c r="D398" s="128"/>
      <x:c r="E398" s="128"/>
      <x:c r="F398" s="128"/>
      <x:c r="G398" s="128"/>
      <x:c r="H398" s="128"/>
    </x:row>
    <x:row r="399">
      <x:c r="A399" s="128"/>
      <x:c r="B399" s="128"/>
      <x:c r="C399" s="128"/>
      <x:c r="D399" s="128"/>
      <x:c r="E399" s="128"/>
      <x:c r="F399" s="128"/>
      <x:c r="G399" s="128"/>
      <x:c r="H399" s="128"/>
    </x:row>
    <x:row r="400">
      <x:c r="A400" s="128"/>
      <x:c r="B400" s="128"/>
      <x:c r="C400" s="128"/>
      <x:c r="D400" s="128"/>
      <x:c r="E400" s="128"/>
      <x:c r="F400" s="128"/>
      <x:c r="G400" s="128"/>
      <x:c r="H400" s="128"/>
    </x:row>
    <x:row r="401">
      <x:c r="A401" s="128"/>
      <x:c r="B401" s="128"/>
      <x:c r="C401" s="128"/>
      <x:c r="D401" s="128"/>
      <x:c r="E401" s="128"/>
      <x:c r="F401" s="128"/>
      <x:c r="G401" s="128"/>
      <x:c r="H401" s="128"/>
    </x:row>
    <x:row r="402">
      <x:c r="A402" s="128"/>
      <x:c r="B402" s="128"/>
      <x:c r="C402" s="128"/>
      <x:c r="D402" s="128"/>
      <x:c r="E402" s="128"/>
      <x:c r="F402" s="128"/>
      <x:c r="G402" s="128"/>
      <x:c r="H402" s="128"/>
    </x:row>
    <x:row r="403">
      <x:c r="A403" s="128"/>
      <x:c r="B403" s="128"/>
      <x:c r="C403" s="128"/>
      <x:c r="D403" s="128"/>
      <x:c r="E403" s="128"/>
      <x:c r="F403" s="128"/>
      <x:c r="G403" s="128"/>
      <x:c r="H403" s="128"/>
    </x:row>
    <x:row r="404">
      <x:c r="A404" s="128"/>
      <x:c r="B404" s="128"/>
      <x:c r="C404" s="128"/>
      <x:c r="D404" s="128"/>
      <x:c r="E404" s="128"/>
      <x:c r="F404" s="128"/>
      <x:c r="G404" s="128"/>
      <x:c r="H404" s="128"/>
    </x:row>
    <x:row r="405">
      <x:c r="A405" s="128"/>
      <x:c r="B405" s="128"/>
      <x:c r="C405" s="128"/>
      <x:c r="D405" s="128"/>
      <x:c r="E405" s="128"/>
      <x:c r="F405" s="128"/>
      <x:c r="G405" s="128"/>
      <x:c r="H405" s="128"/>
    </x:row>
    <x:row r="406">
      <x:c r="A406" s="128"/>
      <x:c r="B406" s="128"/>
      <x:c r="C406" s="128"/>
      <x:c r="D406" s="128"/>
      <x:c r="E406" s="128"/>
      <x:c r="F406" s="128"/>
      <x:c r="G406" s="128"/>
      <x:c r="H406" s="128"/>
    </x:row>
    <x:row r="407">
      <x:c r="A407" s="128"/>
      <x:c r="B407" s="128"/>
      <x:c r="C407" s="128"/>
      <x:c r="D407" s="128"/>
      <x:c r="E407" s="128"/>
      <x:c r="F407" s="128"/>
      <x:c r="G407" s="128"/>
      <x:c r="H407" s="128"/>
    </x:row>
    <x:row r="408">
      <x:c r="A408" s="128"/>
      <x:c r="B408" s="128"/>
      <x:c r="C408" s="128"/>
      <x:c r="D408" s="128"/>
      <x:c r="E408" s="128"/>
      <x:c r="F408" s="128"/>
      <x:c r="G408" s="128"/>
      <x:c r="H408" s="128"/>
    </x:row>
    <x:row r="409">
      <x:c r="A409" s="128"/>
      <x:c r="B409" s="128"/>
      <x:c r="C409" s="128"/>
      <x:c r="D409" s="128"/>
      <x:c r="E409" s="128"/>
      <x:c r="F409" s="128"/>
      <x:c r="G409" s="128"/>
      <x:c r="H409" s="128"/>
    </x:row>
    <x:row r="410">
      <x:c r="A410" s="128"/>
      <x:c r="B410" s="128"/>
      <x:c r="C410" s="128"/>
      <x:c r="D410" s="128"/>
      <x:c r="E410" s="128"/>
      <x:c r="F410" s="128"/>
      <x:c r="G410" s="128"/>
      <x:c r="H410" s="128"/>
    </x:row>
    <x:row r="411">
      <x:c r="A411" s="128"/>
      <x:c r="B411" s="128"/>
      <x:c r="C411" s="128"/>
      <x:c r="D411" s="128"/>
      <x:c r="E411" s="128"/>
      <x:c r="F411" s="128"/>
      <x:c r="G411" s="128"/>
      <x:c r="H411" s="128"/>
    </x:row>
    <x:row r="412">
      <x:c r="A412" s="128"/>
      <x:c r="B412" s="128"/>
      <x:c r="C412" s="128"/>
      <x:c r="D412" s="128"/>
      <x:c r="E412" s="128"/>
      <x:c r="F412" s="128"/>
      <x:c r="G412" s="128"/>
      <x:c r="H412" s="128"/>
    </x:row>
    <x:row r="413">
      <x:c r="A413" s="128"/>
      <x:c r="B413" s="128"/>
      <x:c r="C413" s="128"/>
      <x:c r="D413" s="128"/>
      <x:c r="E413" s="128"/>
      <x:c r="F413" s="128"/>
      <x:c r="G413" s="128"/>
      <x:c r="H413" s="128"/>
    </x:row>
    <x:row r="414">
      <x:c r="A414" s="128"/>
      <x:c r="B414" s="128"/>
      <x:c r="C414" s="128"/>
      <x:c r="D414" s="128"/>
      <x:c r="E414" s="128"/>
      <x:c r="F414" s="128"/>
      <x:c r="G414" s="128"/>
      <x:c r="H414" s="128"/>
    </x:row>
    <x:row r="415">
      <x:c r="A415" s="128"/>
      <x:c r="B415" s="128"/>
      <x:c r="C415" s="128"/>
      <x:c r="D415" s="128"/>
      <x:c r="E415" s="128"/>
      <x:c r="F415" s="128"/>
      <x:c r="G415" s="128"/>
      <x:c r="H415" s="128"/>
    </x:row>
    <x:row r="416">
      <x:c r="A416" s="128"/>
      <x:c r="B416" s="128"/>
      <x:c r="C416" s="128"/>
      <x:c r="D416" s="128"/>
      <x:c r="E416" s="128"/>
      <x:c r="F416" s="128"/>
      <x:c r="G416" s="128"/>
      <x:c r="H416" s="128"/>
    </x:row>
    <x:row r="417">
      <x:c r="A417" s="128"/>
      <x:c r="B417" s="128"/>
      <x:c r="C417" s="128"/>
      <x:c r="D417" s="128"/>
      <x:c r="E417" s="128"/>
      <x:c r="F417" s="128"/>
      <x:c r="G417" s="128"/>
      <x:c r="H417" s="128"/>
    </x:row>
    <x:row r="418">
      <x:c r="A418" s="128"/>
      <x:c r="B418" s="128"/>
      <x:c r="C418" s="128"/>
      <x:c r="D418" s="128"/>
      <x:c r="E418" s="128"/>
      <x:c r="F418" s="128"/>
      <x:c r="G418" s="128"/>
      <x:c r="H418" s="128"/>
    </x:row>
    <x:row r="419">
      <x:c r="A419" s="128"/>
      <x:c r="B419" s="128"/>
      <x:c r="C419" s="128"/>
      <x:c r="D419" s="128"/>
      <x:c r="E419" s="128"/>
      <x:c r="F419" s="128"/>
      <x:c r="G419" s="128"/>
      <x:c r="H419" s="128"/>
    </x:row>
    <x:row r="420">
      <x:c r="A420" s="128"/>
      <x:c r="B420" s="128"/>
      <x:c r="C420" s="128"/>
      <x:c r="D420" s="128"/>
      <x:c r="E420" s="128"/>
      <x:c r="F420" s="128"/>
      <x:c r="G420" s="128"/>
      <x:c r="H420" s="128"/>
    </x:row>
    <x:row r="421">
      <x:c r="A421" s="128"/>
      <x:c r="B421" s="128"/>
      <x:c r="C421" s="128"/>
      <x:c r="D421" s="128"/>
      <x:c r="E421" s="128"/>
      <x:c r="F421" s="128"/>
      <x:c r="G421" s="128"/>
      <x:c r="H421" s="128"/>
    </x:row>
    <x:row r="422">
      <x:c r="A422" s="128"/>
      <x:c r="B422" s="128"/>
      <x:c r="C422" s="128"/>
      <x:c r="D422" s="128"/>
      <x:c r="E422" s="128"/>
      <x:c r="F422" s="128"/>
      <x:c r="G422" s="128"/>
      <x:c r="H422" s="128"/>
    </x:row>
    <x:row r="423">
      <x:c r="A423" s="128"/>
      <x:c r="B423" s="128"/>
      <x:c r="C423" s="128"/>
      <x:c r="D423" s="128"/>
      <x:c r="E423" s="128"/>
      <x:c r="F423" s="128"/>
      <x:c r="G423" s="128"/>
      <x:c r="H423" s="128"/>
    </x:row>
    <x:row r="424">
      <x:c r="A424" s="128"/>
      <x:c r="B424" s="128"/>
      <x:c r="C424" s="128"/>
      <x:c r="D424" s="128"/>
      <x:c r="E424" s="128"/>
      <x:c r="F424" s="128"/>
      <x:c r="G424" s="128"/>
      <x:c r="H424" s="128"/>
    </x:row>
    <x:row r="425">
      <x:c r="A425" s="128"/>
      <x:c r="B425" s="128"/>
      <x:c r="C425" s="128"/>
      <x:c r="D425" s="128"/>
      <x:c r="E425" s="128"/>
      <x:c r="F425" s="128"/>
      <x:c r="G425" s="128"/>
      <x:c r="H425" s="128"/>
    </x:row>
    <x:row r="426">
      <x:c r="A426" s="128"/>
      <x:c r="B426" s="128"/>
      <x:c r="C426" s="128"/>
      <x:c r="D426" s="128"/>
      <x:c r="E426" s="128"/>
      <x:c r="F426" s="128"/>
      <x:c r="G426" s="128"/>
      <x:c r="H426" s="128"/>
    </x:row>
    <x:row r="427">
      <x:c r="A427" s="128"/>
      <x:c r="B427" s="128"/>
      <x:c r="C427" s="128"/>
      <x:c r="D427" s="128"/>
      <x:c r="E427" s="128"/>
      <x:c r="F427" s="128"/>
      <x:c r="G427" s="128"/>
      <x:c r="H427" s="128"/>
    </x:row>
    <x:row r="428">
      <x:c r="A428" s="128"/>
      <x:c r="B428" s="128"/>
      <x:c r="C428" s="128"/>
      <x:c r="D428" s="128"/>
      <x:c r="E428" s="128"/>
      <x:c r="F428" s="128"/>
      <x:c r="G428" s="128"/>
      <x:c r="H428" s="128"/>
    </x:row>
    <x:row r="429">
      <x:c r="A429" s="128"/>
      <x:c r="B429" s="128"/>
      <x:c r="C429" s="128"/>
      <x:c r="D429" s="128"/>
      <x:c r="E429" s="128"/>
      <x:c r="F429" s="128"/>
      <x:c r="G429" s="128"/>
      <x:c r="H429" s="128"/>
    </x:row>
    <x:row r="430">
      <x:c r="A430" s="128"/>
      <x:c r="B430" s="128"/>
      <x:c r="C430" s="128"/>
      <x:c r="D430" s="128"/>
      <x:c r="E430" s="128"/>
      <x:c r="F430" s="128"/>
      <x:c r="G430" s="128"/>
      <x:c r="H430" s="128"/>
    </x:row>
    <x:row r="431">
      <x:c r="A431" s="128"/>
      <x:c r="B431" s="128"/>
      <x:c r="C431" s="128"/>
      <x:c r="D431" s="128"/>
      <x:c r="E431" s="128"/>
      <x:c r="F431" s="128"/>
      <x:c r="G431" s="128"/>
      <x:c r="H431" s="128"/>
    </x:row>
    <x:row r="432">
      <x:c r="A432" s="128"/>
      <x:c r="B432" s="128"/>
      <x:c r="C432" s="128"/>
      <x:c r="D432" s="128"/>
      <x:c r="E432" s="128"/>
      <x:c r="F432" s="128"/>
      <x:c r="G432" s="128"/>
      <x:c r="H432" s="128"/>
    </x:row>
    <x:row r="433">
      <x:c r="A433" s="128"/>
      <x:c r="B433" s="128"/>
      <x:c r="C433" s="128"/>
      <x:c r="D433" s="128"/>
      <x:c r="E433" s="128"/>
      <x:c r="F433" s="128"/>
      <x:c r="G433" s="128"/>
      <x:c r="H433" s="128"/>
    </x:row>
    <x:row r="434">
      <x:c r="A434" s="128"/>
      <x:c r="B434" s="128"/>
      <x:c r="C434" s="128"/>
      <x:c r="D434" s="128"/>
      <x:c r="E434" s="128"/>
      <x:c r="F434" s="128"/>
      <x:c r="G434" s="128"/>
      <x:c r="H434" s="128"/>
    </x:row>
    <x:row r="435">
      <x:c r="A435" s="128"/>
      <x:c r="B435" s="128"/>
      <x:c r="C435" s="128"/>
      <x:c r="D435" s="128"/>
      <x:c r="E435" s="128"/>
      <x:c r="F435" s="128"/>
      <x:c r="G435" s="128"/>
      <x:c r="H435" s="128"/>
    </x:row>
    <x:row r="436">
      <x:c r="A436" s="128"/>
      <x:c r="B436" s="128"/>
      <x:c r="C436" s="128"/>
      <x:c r="D436" s="128"/>
      <x:c r="E436" s="128"/>
      <x:c r="F436" s="128"/>
      <x:c r="G436" s="128"/>
      <x:c r="H436" s="128"/>
    </x:row>
    <x:row r="437">
      <x:c r="A437" s="128"/>
      <x:c r="B437" s="128"/>
      <x:c r="C437" s="128"/>
      <x:c r="D437" s="128"/>
      <x:c r="E437" s="128"/>
      <x:c r="F437" s="128"/>
      <x:c r="G437" s="128"/>
      <x:c r="H437" s="128"/>
    </x:row>
    <x:row r="438">
      <x:c r="A438" s="128"/>
      <x:c r="B438" s="128"/>
      <x:c r="C438" s="128"/>
      <x:c r="D438" s="128"/>
      <x:c r="E438" s="128"/>
      <x:c r="F438" s="128"/>
      <x:c r="G438" s="128"/>
      <x:c r="H438" s="128"/>
    </x:row>
    <x:row r="439">
      <x:c r="A439" s="128"/>
      <x:c r="B439" s="128"/>
      <x:c r="C439" s="128"/>
      <x:c r="D439" s="128"/>
      <x:c r="E439" s="128"/>
      <x:c r="F439" s="128"/>
      <x:c r="G439" s="128"/>
      <x:c r="H439" s="128"/>
    </x:row>
    <x:row r="440">
      <x:c r="A440" s="128"/>
      <x:c r="B440" s="128"/>
      <x:c r="C440" s="128"/>
      <x:c r="D440" s="128"/>
      <x:c r="E440" s="128"/>
      <x:c r="F440" s="128"/>
      <x:c r="G440" s="128"/>
      <x:c r="H440" s="128"/>
    </x:row>
    <x:row r="441">
      <x:c r="A441" s="128"/>
      <x:c r="B441" s="128"/>
      <x:c r="C441" s="128"/>
      <x:c r="D441" s="128"/>
      <x:c r="E441" s="128"/>
      <x:c r="F441" s="128"/>
      <x:c r="G441" s="128"/>
      <x:c r="H441" s="128"/>
    </x:row>
    <x:row r="442">
      <x:c r="A442" s="128"/>
      <x:c r="B442" s="128"/>
      <x:c r="C442" s="128"/>
      <x:c r="D442" s="128"/>
      <x:c r="E442" s="128"/>
      <x:c r="F442" s="128"/>
      <x:c r="G442" s="128"/>
      <x:c r="H442" s="128"/>
    </x:row>
    <x:row r="443">
      <x:c r="A443" s="128"/>
      <x:c r="B443" s="128"/>
      <x:c r="C443" s="128"/>
      <x:c r="D443" s="128"/>
      <x:c r="E443" s="128"/>
      <x:c r="F443" s="128"/>
      <x:c r="G443" s="128"/>
      <x:c r="H443" s="128"/>
    </x:row>
    <x:row r="444">
      <x:c r="A444" s="128"/>
      <x:c r="B444" s="128"/>
      <x:c r="C444" s="128"/>
      <x:c r="D444" s="128"/>
      <x:c r="E444" s="128"/>
      <x:c r="F444" s="128"/>
      <x:c r="G444" s="128"/>
      <x:c r="H444" s="128"/>
    </x:row>
    <x:row r="445">
      <x:c r="A445" s="128"/>
      <x:c r="B445" s="128"/>
      <x:c r="C445" s="128"/>
      <x:c r="D445" s="128"/>
      <x:c r="E445" s="128"/>
      <x:c r="F445" s="128"/>
      <x:c r="G445" s="128"/>
      <x:c r="H445" s="128"/>
    </x:row>
    <x:row r="446">
      <x:c r="A446" s="128"/>
      <x:c r="B446" s="128"/>
      <x:c r="C446" s="128"/>
      <x:c r="D446" s="128"/>
      <x:c r="E446" s="128"/>
      <x:c r="F446" s="128"/>
      <x:c r="G446" s="128"/>
      <x:c r="H446" s="128"/>
    </x:row>
    <x:row r="447">
      <x:c r="A447" s="128"/>
      <x:c r="B447" s="128"/>
      <x:c r="C447" s="128"/>
      <x:c r="D447" s="128"/>
      <x:c r="E447" s="128"/>
      <x:c r="F447" s="128"/>
      <x:c r="G447" s="128"/>
      <x:c r="H447" s="128"/>
    </x:row>
    <x:row r="448">
      <x:c r="A448" s="128"/>
      <x:c r="B448" s="128"/>
      <x:c r="C448" s="128"/>
      <x:c r="D448" s="128"/>
      <x:c r="E448" s="128"/>
      <x:c r="F448" s="128"/>
      <x:c r="G448" s="128"/>
      <x:c r="H448" s="128"/>
    </x:row>
    <x:row r="449">
      <x:c r="A449" s="128"/>
      <x:c r="B449" s="128"/>
      <x:c r="C449" s="128"/>
      <x:c r="D449" s="128"/>
      <x:c r="E449" s="128"/>
      <x:c r="F449" s="128"/>
      <x:c r="G449" s="128"/>
      <x:c r="H449" s="128"/>
    </x:row>
    <x:row r="450">
      <x:c r="A450" s="128"/>
      <x:c r="B450" s="128"/>
      <x:c r="C450" s="128"/>
      <x:c r="D450" s="128"/>
      <x:c r="E450" s="128"/>
      <x:c r="F450" s="128"/>
      <x:c r="G450" s="128"/>
      <x:c r="H450" s="128"/>
    </x:row>
    <x:row r="451">
      <x:c r="A451" s="128"/>
      <x:c r="B451" s="128"/>
      <x:c r="C451" s="128"/>
      <x:c r="D451" s="128"/>
      <x:c r="E451" s="128"/>
      <x:c r="F451" s="128"/>
      <x:c r="G451" s="128"/>
      <x:c r="H451" s="128"/>
    </x:row>
    <x:row r="452">
      <x:c r="A452" s="128"/>
      <x:c r="B452" s="128"/>
      <x:c r="C452" s="128"/>
      <x:c r="D452" s="128"/>
      <x:c r="E452" s="128"/>
      <x:c r="F452" s="128"/>
      <x:c r="G452" s="128"/>
      <x:c r="H452" s="128"/>
    </x:row>
    <x:row r="453">
      <x:c r="A453" s="128"/>
      <x:c r="B453" s="128"/>
      <x:c r="C453" s="128"/>
      <x:c r="D453" s="128"/>
      <x:c r="E453" s="128"/>
      <x:c r="F453" s="128"/>
      <x:c r="G453" s="128"/>
      <x:c r="H453" s="128"/>
    </x:row>
    <x:row r="454">
      <x:c r="A454" s="128"/>
      <x:c r="B454" s="128"/>
      <x:c r="C454" s="128"/>
      <x:c r="D454" s="128"/>
      <x:c r="E454" s="128"/>
      <x:c r="F454" s="128"/>
      <x:c r="G454" s="128"/>
      <x:c r="H454" s="128"/>
    </x:row>
    <x:row r="455">
      <x:c r="A455" s="128"/>
      <x:c r="B455" s="128"/>
      <x:c r="C455" s="128"/>
      <x:c r="D455" s="128"/>
      <x:c r="E455" s="128"/>
      <x:c r="F455" s="128"/>
      <x:c r="G455" s="128"/>
      <x:c r="H455" s="128"/>
    </x:row>
    <x:row r="456">
      <x:c r="A456" s="128"/>
      <x:c r="B456" s="128"/>
      <x:c r="C456" s="128"/>
      <x:c r="D456" s="128"/>
      <x:c r="E456" s="128"/>
      <x:c r="F456" s="128"/>
      <x:c r="G456" s="128"/>
      <x:c r="H456" s="128"/>
    </x:row>
    <x:row r="457">
      <x:c r="A457" s="128"/>
      <x:c r="B457" s="128"/>
      <x:c r="C457" s="128"/>
      <x:c r="D457" s="128"/>
      <x:c r="E457" s="128"/>
      <x:c r="F457" s="128"/>
      <x:c r="G457" s="128"/>
      <x:c r="H457" s="128"/>
    </x:row>
    <x:row r="458">
      <x:c r="A458" s="128"/>
      <x:c r="B458" s="128"/>
      <x:c r="C458" s="128"/>
      <x:c r="D458" s="128"/>
      <x:c r="E458" s="128"/>
      <x:c r="F458" s="128"/>
      <x:c r="G458" s="128"/>
      <x:c r="H458" s="128"/>
    </x:row>
    <x:row r="459">
      <x:c r="A459" s="128"/>
      <x:c r="B459" s="128"/>
      <x:c r="C459" s="128"/>
      <x:c r="D459" s="128"/>
      <x:c r="E459" s="128"/>
      <x:c r="F459" s="128"/>
      <x:c r="G459" s="128"/>
      <x:c r="H459" s="128"/>
    </x:row>
    <x:row r="460">
      <x:c r="A460" s="128"/>
      <x:c r="B460" s="128"/>
      <x:c r="C460" s="128"/>
      <x:c r="D460" s="128"/>
      <x:c r="E460" s="128"/>
      <x:c r="F460" s="128"/>
      <x:c r="G460" s="128"/>
      <x:c r="H460" s="128"/>
    </x:row>
    <x:row r="461">
      <x:c r="A461" s="128"/>
      <x:c r="B461" s="128"/>
      <x:c r="C461" s="128"/>
      <x:c r="D461" s="128"/>
      <x:c r="E461" s="128"/>
      <x:c r="F461" s="128"/>
      <x:c r="G461" s="128"/>
      <x:c r="H461" s="128"/>
    </x:row>
    <x:row r="462">
      <x:c r="A462" s="128"/>
      <x:c r="B462" s="128"/>
      <x:c r="C462" s="128"/>
      <x:c r="D462" s="128"/>
      <x:c r="E462" s="128"/>
      <x:c r="F462" s="128"/>
      <x:c r="G462" s="128"/>
      <x:c r="H462" s="128"/>
    </x:row>
    <x:row r="463">
      <x:c r="A463" s="128"/>
      <x:c r="B463" s="128"/>
      <x:c r="C463" s="128"/>
      <x:c r="D463" s="128"/>
      <x:c r="E463" s="128"/>
      <x:c r="F463" s="128"/>
      <x:c r="G463" s="128"/>
      <x:c r="H463" s="128"/>
    </x:row>
    <x:row r="464">
      <x:c r="A464" s="128"/>
      <x:c r="B464" s="128"/>
      <x:c r="C464" s="128"/>
      <x:c r="D464" s="128"/>
      <x:c r="E464" s="128"/>
      <x:c r="F464" s="128"/>
      <x:c r="G464" s="128"/>
      <x:c r="H464" s="128"/>
    </x:row>
    <x:row r="465">
      <x:c r="A465" s="128"/>
      <x:c r="B465" s="128"/>
      <x:c r="C465" s="128"/>
      <x:c r="D465" s="128"/>
      <x:c r="E465" s="128"/>
      <x:c r="F465" s="128"/>
      <x:c r="G465" s="128"/>
      <x:c r="H465" s="128"/>
    </x:row>
    <x:row r="466">
      <x:c r="A466" s="128"/>
      <x:c r="B466" s="128"/>
      <x:c r="C466" s="128"/>
      <x:c r="D466" s="128"/>
      <x:c r="E466" s="128"/>
      <x:c r="F466" s="128"/>
      <x:c r="G466" s="128"/>
      <x:c r="H466" s="128"/>
    </x:row>
    <x:row r="467">
      <x:c r="A467" s="128"/>
      <x:c r="B467" s="128"/>
      <x:c r="C467" s="128"/>
      <x:c r="D467" s="128"/>
      <x:c r="E467" s="128"/>
      <x:c r="F467" s="128"/>
      <x:c r="G467" s="128"/>
      <x:c r="H467" s="128"/>
    </x:row>
    <x:row r="468">
      <x:c r="A468" s="128"/>
      <x:c r="B468" s="128"/>
      <x:c r="C468" s="128"/>
      <x:c r="D468" s="128"/>
      <x:c r="E468" s="128"/>
      <x:c r="F468" s="128"/>
      <x:c r="G468" s="128"/>
      <x:c r="H468" s="128"/>
    </x:row>
    <x:row r="469">
      <x:c r="A469" s="128"/>
      <x:c r="B469" s="128"/>
      <x:c r="C469" s="128"/>
      <x:c r="D469" s="128"/>
      <x:c r="E469" s="128"/>
      <x:c r="F469" s="128"/>
      <x:c r="G469" s="128"/>
      <x:c r="H469" s="128"/>
    </x:row>
    <x:row r="470">
      <x:c r="A470" s="128"/>
      <x:c r="B470" s="128"/>
      <x:c r="C470" s="128"/>
      <x:c r="D470" s="128"/>
      <x:c r="E470" s="128"/>
      <x:c r="F470" s="128"/>
      <x:c r="G470" s="128"/>
      <x:c r="H470" s="128"/>
    </x:row>
    <x:row r="471">
      <x:c r="A471" s="128"/>
      <x:c r="B471" s="128"/>
      <x:c r="C471" s="128"/>
      <x:c r="D471" s="128"/>
      <x:c r="E471" s="128"/>
      <x:c r="F471" s="128"/>
      <x:c r="G471" s="128"/>
      <x:c r="H471" s="128"/>
    </x:row>
    <x:row r="472">
      <x:c r="A472" s="128"/>
      <x:c r="B472" s="128"/>
      <x:c r="C472" s="128"/>
      <x:c r="D472" s="128"/>
      <x:c r="E472" s="128"/>
      <x:c r="F472" s="128"/>
      <x:c r="G472" s="128"/>
      <x:c r="H472" s="128"/>
    </x:row>
    <x:row r="473">
      <x:c r="A473" s="128"/>
      <x:c r="B473" s="128"/>
      <x:c r="C473" s="128"/>
      <x:c r="D473" s="128"/>
      <x:c r="E473" s="128"/>
      <x:c r="F473" s="128"/>
      <x:c r="G473" s="128"/>
      <x:c r="H473" s="128"/>
    </x:row>
    <x:row r="474">
      <x:c r="A474" s="128"/>
      <x:c r="B474" s="128"/>
      <x:c r="C474" s="128"/>
      <x:c r="D474" s="128"/>
      <x:c r="E474" s="128"/>
      <x:c r="F474" s="128"/>
      <x:c r="G474" s="128"/>
      <x:c r="H474" s="128"/>
    </x:row>
    <x:row r="475">
      <x:c r="A475" s="128"/>
      <x:c r="B475" s="128"/>
      <x:c r="C475" s="128"/>
      <x:c r="D475" s="128"/>
      <x:c r="E475" s="128"/>
      <x:c r="F475" s="128"/>
      <x:c r="G475" s="128"/>
      <x:c r="H475" s="128"/>
    </x:row>
    <x:row r="476">
      <x:c r="A476" s="128"/>
      <x:c r="B476" s="128"/>
      <x:c r="C476" s="128"/>
      <x:c r="D476" s="128"/>
      <x:c r="E476" s="128"/>
      <x:c r="F476" s="128"/>
      <x:c r="G476" s="128"/>
      <x:c r="H476" s="128"/>
    </x:row>
    <x:row r="477">
      <x:c r="A477" s="128"/>
      <x:c r="B477" s="128"/>
      <x:c r="C477" s="128"/>
      <x:c r="D477" s="128"/>
      <x:c r="E477" s="128"/>
      <x:c r="F477" s="128"/>
      <x:c r="G477" s="128"/>
      <x:c r="H477" s="128"/>
    </x:row>
    <x:row r="478">
      <x:c r="A478" s="128"/>
      <x:c r="B478" s="128"/>
      <x:c r="C478" s="128"/>
      <x:c r="D478" s="128"/>
      <x:c r="E478" s="128"/>
      <x:c r="F478" s="128"/>
      <x:c r="G478" s="128"/>
      <x:c r="H478" s="128"/>
    </x:row>
    <x:row r="479">
      <x:c r="A479" s="128"/>
      <x:c r="B479" s="128"/>
      <x:c r="C479" s="128"/>
      <x:c r="D479" s="128"/>
      <x:c r="E479" s="128"/>
      <x:c r="F479" s="128"/>
      <x:c r="G479" s="128"/>
      <x:c r="H479" s="128"/>
    </x:row>
    <x:row r="480">
      <x:c r="A480" s="128"/>
      <x:c r="B480" s="128"/>
      <x:c r="C480" s="128"/>
      <x:c r="D480" s="128"/>
      <x:c r="E480" s="128"/>
      <x:c r="F480" s="128"/>
      <x:c r="G480" s="128"/>
      <x:c r="H480" s="128"/>
    </x:row>
    <x:row r="481">
      <x:c r="A481" s="128"/>
      <x:c r="B481" s="128"/>
      <x:c r="C481" s="128"/>
      <x:c r="D481" s="128"/>
      <x:c r="E481" s="128"/>
      <x:c r="F481" s="128"/>
      <x:c r="G481" s="128"/>
      <x:c r="H481" s="128"/>
    </x:row>
    <x:row r="482">
      <x:c r="A482" s="128"/>
      <x:c r="B482" s="128"/>
      <x:c r="C482" s="128"/>
      <x:c r="D482" s="128"/>
      <x:c r="E482" s="128"/>
      <x:c r="F482" s="128"/>
      <x:c r="G482" s="128"/>
      <x:c r="H482" s="128"/>
    </x:row>
    <x:row r="483">
      <x:c r="A483" s="128"/>
      <x:c r="B483" s="128"/>
      <x:c r="C483" s="128"/>
      <x:c r="D483" s="128"/>
      <x:c r="E483" s="128"/>
      <x:c r="F483" s="128"/>
      <x:c r="G483" s="128"/>
      <x:c r="H483" s="128"/>
    </x:row>
    <x:row r="484">
      <x:c r="A484" s="128"/>
      <x:c r="B484" s="128"/>
      <x:c r="C484" s="128"/>
      <x:c r="D484" s="128"/>
      <x:c r="E484" s="128"/>
      <x:c r="F484" s="128"/>
      <x:c r="G484" s="128"/>
      <x:c r="H484" s="128"/>
    </x:row>
    <x:row r="485">
      <x:c r="A485" s="128"/>
      <x:c r="B485" s="128"/>
      <x:c r="C485" s="128"/>
      <x:c r="D485" s="128"/>
      <x:c r="E485" s="128"/>
      <x:c r="F485" s="128"/>
      <x:c r="G485" s="128"/>
      <x:c r="H485" s="128"/>
    </x:row>
    <x:row r="486">
      <x:c r="A486" s="128"/>
      <x:c r="B486" s="128"/>
      <x:c r="C486" s="128"/>
      <x:c r="D486" s="128"/>
      <x:c r="E486" s="128"/>
      <x:c r="F486" s="128"/>
      <x:c r="G486" s="128"/>
      <x:c r="H486" s="128"/>
    </x:row>
    <x:row r="487">
      <x:c r="A487" s="128"/>
      <x:c r="B487" s="128"/>
      <x:c r="C487" s="128"/>
      <x:c r="D487" s="128"/>
      <x:c r="E487" s="128"/>
      <x:c r="F487" s="128"/>
      <x:c r="G487" s="128"/>
      <x:c r="H487" s="128"/>
    </x:row>
    <x:row r="488">
      <x:c r="A488" s="128"/>
      <x:c r="B488" s="128"/>
      <x:c r="C488" s="128"/>
      <x:c r="D488" s="128"/>
      <x:c r="E488" s="128"/>
      <x:c r="F488" s="128"/>
      <x:c r="G488" s="128"/>
      <x:c r="H488" s="128"/>
    </x:row>
    <x:row r="489">
      <x:c r="A489" s="128"/>
      <x:c r="B489" s="128"/>
      <x:c r="C489" s="128"/>
      <x:c r="D489" s="128"/>
      <x:c r="E489" s="128"/>
      <x:c r="F489" s="128"/>
      <x:c r="G489" s="128"/>
      <x:c r="H489" s="128"/>
    </x:row>
    <x:row r="490">
      <x:c r="A490" s="128"/>
      <x:c r="B490" s="128"/>
      <x:c r="C490" s="128"/>
      <x:c r="D490" s="128"/>
      <x:c r="E490" s="128"/>
      <x:c r="F490" s="128"/>
      <x:c r="G490" s="128"/>
      <x:c r="H490" s="128"/>
    </x:row>
    <x:row r="491">
      <x:c r="A491" s="128"/>
      <x:c r="B491" s="128"/>
      <x:c r="C491" s="128"/>
      <x:c r="D491" s="128"/>
      <x:c r="E491" s="128"/>
      <x:c r="F491" s="128"/>
      <x:c r="G491" s="128"/>
      <x:c r="H491" s="128"/>
    </x:row>
    <x:row r="492">
      <x:c r="A492" s="128"/>
      <x:c r="B492" s="128"/>
      <x:c r="C492" s="128"/>
      <x:c r="D492" s="128"/>
      <x:c r="E492" s="128"/>
      <x:c r="F492" s="128"/>
      <x:c r="G492" s="128"/>
      <x:c r="H492" s="128"/>
    </x:row>
    <x:row r="493">
      <x:c r="A493" s="128"/>
      <x:c r="B493" s="128"/>
      <x:c r="C493" s="128"/>
      <x:c r="D493" s="128"/>
      <x:c r="E493" s="128"/>
      <x:c r="F493" s="128"/>
      <x:c r="G493" s="128"/>
      <x:c r="H493" s="128"/>
    </x:row>
    <x:row r="494">
      <x:c r="A494" s="128"/>
      <x:c r="B494" s="128"/>
      <x:c r="C494" s="128"/>
      <x:c r="D494" s="128"/>
      <x:c r="E494" s="128"/>
      <x:c r="F494" s="128"/>
      <x:c r="G494" s="128"/>
      <x:c r="H494" s="128"/>
    </x:row>
    <x:row r="495">
      <x:c r="A495" s="128"/>
      <x:c r="B495" s="128"/>
      <x:c r="C495" s="128"/>
      <x:c r="D495" s="128"/>
      <x:c r="E495" s="128"/>
      <x:c r="F495" s="128"/>
      <x:c r="G495" s="128"/>
      <x:c r="H495" s="128"/>
    </x:row>
    <x:row r="496">
      <x:c r="A496" s="128"/>
      <x:c r="B496" s="128"/>
      <x:c r="C496" s="128"/>
      <x:c r="D496" s="128"/>
      <x:c r="E496" s="128"/>
      <x:c r="F496" s="128"/>
      <x:c r="G496" s="128"/>
      <x:c r="H496" s="128"/>
    </x:row>
    <x:row r="497">
      <x:c r="A497" s="128"/>
      <x:c r="B497" s="128"/>
      <x:c r="C497" s="128"/>
      <x:c r="D497" s="128"/>
      <x:c r="E497" s="128"/>
      <x:c r="F497" s="128"/>
      <x:c r="G497" s="128"/>
      <x:c r="H497" s="128"/>
    </x:row>
    <x:row r="498">
      <x:c r="A498" s="128"/>
      <x:c r="B498" s="128"/>
      <x:c r="C498" s="128"/>
      <x:c r="D498" s="128"/>
      <x:c r="E498" s="128"/>
      <x:c r="F498" s="128"/>
      <x:c r="G498" s="128"/>
      <x:c r="H498" s="128"/>
    </x:row>
    <x:row r="499">
      <x:c r="A499" s="128"/>
      <x:c r="B499" s="128"/>
      <x:c r="C499" s="128"/>
      <x:c r="D499" s="128"/>
      <x:c r="E499" s="128"/>
      <x:c r="F499" s="128"/>
      <x:c r="G499" s="128"/>
      <x:c r="H499" s="128"/>
    </x:row>
    <x:row r="500">
      <x:c r="A500" s="128"/>
      <x:c r="B500" s="128"/>
      <x:c r="C500" s="128"/>
      <x:c r="D500" s="128"/>
      <x:c r="E500" s="128"/>
      <x:c r="F500" s="128"/>
      <x:c r="G500" s="128"/>
      <x:c r="H500" s="128"/>
    </x:row>
    <x:row r="501">
      <x:c r="A501" s="128"/>
      <x:c r="B501" s="128"/>
      <x:c r="C501" s="128"/>
      <x:c r="D501" s="128"/>
      <x:c r="E501" s="128"/>
      <x:c r="F501" s="128"/>
      <x:c r="G501" s="128"/>
      <x:c r="H501" s="128"/>
    </x:row>
    <x:row r="502">
      <x:c r="A502" s="128"/>
      <x:c r="B502" s="128"/>
      <x:c r="C502" s="128"/>
      <x:c r="D502" s="128"/>
      <x:c r="E502" s="128"/>
      <x:c r="F502" s="128"/>
      <x:c r="G502" s="128"/>
      <x:c r="H502" s="128"/>
    </x:row>
    <x:row r="503">
      <x:c r="A503" s="128"/>
      <x:c r="B503" s="128"/>
      <x:c r="C503" s="128"/>
      <x:c r="D503" s="128"/>
      <x:c r="E503" s="128"/>
      <x:c r="F503" s="128"/>
      <x:c r="G503" s="128"/>
      <x:c r="H503" s="128"/>
    </x:row>
    <x:row r="504">
      <x:c r="A504" s="128"/>
      <x:c r="B504" s="128"/>
      <x:c r="C504" s="128"/>
      <x:c r="D504" s="128"/>
      <x:c r="E504" s="128"/>
      <x:c r="F504" s="128"/>
      <x:c r="G504" s="128"/>
      <x:c r="H504" s="128"/>
    </x:row>
    <x:row r="505">
      <x:c r="A505" s="128"/>
      <x:c r="B505" s="128"/>
      <x:c r="C505" s="128"/>
      <x:c r="D505" s="128"/>
      <x:c r="E505" s="128"/>
      <x:c r="F505" s="128"/>
      <x:c r="G505" s="128"/>
      <x:c r="H505" s="128"/>
    </x:row>
    <x:row r="506">
      <x:c r="A506" s="128"/>
      <x:c r="B506" s="128"/>
      <x:c r="C506" s="128"/>
      <x:c r="D506" s="128"/>
      <x:c r="E506" s="128"/>
      <x:c r="F506" s="128"/>
      <x:c r="G506" s="128"/>
      <x:c r="H506" s="128"/>
    </x:row>
    <x:row r="507">
      <x:c r="A507" s="128"/>
      <x:c r="B507" s="128"/>
      <x:c r="C507" s="128"/>
      <x:c r="D507" s="128"/>
      <x:c r="E507" s="128"/>
      <x:c r="F507" s="128"/>
      <x:c r="G507" s="128"/>
      <x:c r="H507" s="128"/>
    </x:row>
    <x:row r="508">
      <x:c r="A508" s="128"/>
      <x:c r="B508" s="128"/>
      <x:c r="C508" s="128"/>
      <x:c r="D508" s="128"/>
      <x:c r="E508" s="128"/>
      <x:c r="F508" s="128"/>
      <x:c r="G508" s="128"/>
      <x:c r="H508" s="128"/>
    </x:row>
    <x:row r="509">
      <x:c r="A509" s="128"/>
      <x:c r="B509" s="128"/>
      <x:c r="C509" s="128"/>
      <x:c r="D509" s="128"/>
      <x:c r="E509" s="128"/>
      <x:c r="F509" s="128"/>
      <x:c r="G509" s="128"/>
      <x:c r="H509" s="128"/>
    </x:row>
    <x:row r="510">
      <x:c r="A510" s="128"/>
      <x:c r="B510" s="128"/>
      <x:c r="C510" s="128"/>
      <x:c r="D510" s="128"/>
      <x:c r="E510" s="128"/>
      <x:c r="F510" s="128"/>
      <x:c r="G510" s="128"/>
      <x:c r="H510" s="128"/>
    </x:row>
    <x:row r="511">
      <x:c r="A511" s="128"/>
      <x:c r="B511" s="128"/>
      <x:c r="C511" s="128"/>
      <x:c r="D511" s="128"/>
      <x:c r="E511" s="128"/>
      <x:c r="F511" s="128"/>
      <x:c r="G511" s="128"/>
      <x:c r="H511" s="128"/>
    </x:row>
    <x:row r="512">
      <x:c r="A512" s="128"/>
      <x:c r="B512" s="128"/>
      <x:c r="C512" s="128"/>
      <x:c r="D512" s="128"/>
      <x:c r="E512" s="128"/>
      <x:c r="F512" s="128"/>
      <x:c r="G512" s="128"/>
      <x:c r="H512" s="128"/>
    </x:row>
    <x:row r="513">
      <x:c r="A513" s="128"/>
      <x:c r="B513" s="128"/>
      <x:c r="C513" s="128"/>
      <x:c r="D513" s="128"/>
      <x:c r="E513" s="128"/>
      <x:c r="F513" s="128"/>
      <x:c r="G513" s="128"/>
      <x:c r="H513" s="128"/>
    </x:row>
    <x:row r="514">
      <x:c r="A514" s="128"/>
      <x:c r="B514" s="128"/>
      <x:c r="C514" s="128"/>
      <x:c r="D514" s="128"/>
      <x:c r="E514" s="128"/>
      <x:c r="F514" s="128"/>
      <x:c r="G514" s="128"/>
      <x:c r="H514" s="128"/>
    </x:row>
    <x:row r="515">
      <x:c r="A515" s="128"/>
      <x:c r="B515" s="128"/>
      <x:c r="C515" s="128"/>
      <x:c r="D515" s="128"/>
      <x:c r="E515" s="128"/>
      <x:c r="F515" s="128"/>
      <x:c r="G515" s="128"/>
      <x:c r="H515" s="128"/>
    </x:row>
    <x:row r="516">
      <x:c r="A516" s="128"/>
      <x:c r="B516" s="128"/>
      <x:c r="C516" s="128"/>
      <x:c r="D516" s="128"/>
      <x:c r="E516" s="128"/>
      <x:c r="F516" s="128"/>
      <x:c r="G516" s="128"/>
      <x:c r="H516" s="128"/>
    </x:row>
    <x:row r="517">
      <x:c r="A517" s="128"/>
      <x:c r="B517" s="128"/>
      <x:c r="C517" s="128"/>
      <x:c r="D517" s="128"/>
      <x:c r="E517" s="128"/>
      <x:c r="F517" s="128"/>
      <x:c r="G517" s="128"/>
      <x:c r="H517" s="128"/>
    </x:row>
    <x:row r="518">
      <x:c r="A518" s="128"/>
      <x:c r="B518" s="128"/>
      <x:c r="C518" s="128"/>
      <x:c r="D518" s="128"/>
      <x:c r="E518" s="128"/>
      <x:c r="F518" s="128"/>
      <x:c r="G518" s="128"/>
      <x:c r="H518" s="128"/>
    </x:row>
    <x:row r="519">
      <x:c r="A519" s="128"/>
      <x:c r="B519" s="128"/>
      <x:c r="C519" s="128"/>
      <x:c r="D519" s="128"/>
      <x:c r="E519" s="128"/>
      <x:c r="F519" s="128"/>
      <x:c r="G519" s="128"/>
      <x:c r="H519" s="128"/>
    </x:row>
    <x:row r="520">
      <x:c r="A520" s="128"/>
      <x:c r="B520" s="128"/>
      <x:c r="C520" s="128"/>
      <x:c r="D520" s="128"/>
      <x:c r="E520" s="128"/>
      <x:c r="F520" s="128"/>
      <x:c r="G520" s="128"/>
      <x:c r="H520" s="128"/>
    </x:row>
    <x:row r="521">
      <x:c r="A521" s="128"/>
      <x:c r="B521" s="128"/>
      <x:c r="C521" s="128"/>
      <x:c r="D521" s="128"/>
      <x:c r="E521" s="128"/>
      <x:c r="F521" s="128"/>
      <x:c r="G521" s="128"/>
      <x:c r="H521" s="128"/>
    </x:row>
    <x:row r="522">
      <x:c r="A522" s="128"/>
      <x:c r="B522" s="128"/>
      <x:c r="C522" s="128"/>
      <x:c r="D522" s="128"/>
      <x:c r="E522" s="128"/>
      <x:c r="F522" s="128"/>
      <x:c r="G522" s="128"/>
      <x:c r="H522" s="128"/>
    </x:row>
    <x:row r="523">
      <x:c r="A523" s="128"/>
      <x:c r="B523" s="128"/>
      <x:c r="C523" s="128"/>
      <x:c r="D523" s="128"/>
      <x:c r="E523" s="128"/>
      <x:c r="F523" s="128"/>
      <x:c r="G523" s="128"/>
      <x:c r="H523" s="128"/>
    </x:row>
    <x:row r="524">
      <x:c r="A524" s="128"/>
      <x:c r="B524" s="128"/>
      <x:c r="C524" s="128"/>
      <x:c r="D524" s="128"/>
      <x:c r="E524" s="128"/>
      <x:c r="F524" s="128"/>
      <x:c r="G524" s="128"/>
      <x:c r="H524" s="128"/>
    </x:row>
    <x:row r="525">
      <x:c r="A525" s="128"/>
      <x:c r="B525" s="128"/>
      <x:c r="C525" s="128"/>
      <x:c r="D525" s="128"/>
      <x:c r="E525" s="128"/>
      <x:c r="F525" s="128"/>
      <x:c r="G525" s="128"/>
      <x:c r="H525" s="128"/>
    </x:row>
    <x:row r="526">
      <x:c r="A526" s="128"/>
      <x:c r="B526" s="128"/>
      <x:c r="C526" s="128"/>
      <x:c r="D526" s="128"/>
      <x:c r="E526" s="128"/>
      <x:c r="F526" s="128"/>
      <x:c r="G526" s="128"/>
      <x:c r="H526" s="128"/>
    </x:row>
    <x:row r="527">
      <x:c r="A527" s="128"/>
      <x:c r="B527" s="128"/>
      <x:c r="C527" s="128"/>
      <x:c r="D527" s="128"/>
      <x:c r="E527" s="128"/>
      <x:c r="F527" s="128"/>
      <x:c r="G527" s="128"/>
      <x:c r="H527" s="128"/>
    </x:row>
    <x:row r="528">
      <x:c r="A528" s="128"/>
      <x:c r="B528" s="128"/>
      <x:c r="C528" s="128"/>
      <x:c r="D528" s="128"/>
      <x:c r="E528" s="128"/>
      <x:c r="F528" s="128"/>
      <x:c r="G528" s="128"/>
      <x:c r="H528" s="128"/>
    </x:row>
    <x:row r="529">
      <x:c r="A529" s="128"/>
      <x:c r="B529" s="128"/>
      <x:c r="C529" s="128"/>
      <x:c r="D529" s="128"/>
      <x:c r="E529" s="128"/>
      <x:c r="F529" s="128"/>
      <x:c r="G529" s="128"/>
      <x:c r="H529" s="128"/>
    </x:row>
    <x:row r="530">
      <x:c r="A530" s="128"/>
      <x:c r="B530" s="128"/>
      <x:c r="C530" s="128"/>
      <x:c r="D530" s="128"/>
      <x:c r="E530" s="128"/>
      <x:c r="F530" s="128"/>
      <x:c r="G530" s="128"/>
      <x:c r="H530" s="128"/>
    </x:row>
    <x:row r="531">
      <x:c r="A531" s="128"/>
      <x:c r="B531" s="128"/>
      <x:c r="C531" s="128"/>
      <x:c r="D531" s="128"/>
      <x:c r="E531" s="128"/>
      <x:c r="F531" s="128"/>
      <x:c r="G531" s="128"/>
      <x:c r="H531" s="128"/>
    </x:row>
    <x:row r="532">
      <x:c r="A532" s="128"/>
      <x:c r="B532" s="128"/>
      <x:c r="C532" s="128"/>
      <x:c r="D532" s="128"/>
      <x:c r="E532" s="128"/>
      <x:c r="F532" s="128"/>
      <x:c r="G532" s="128"/>
      <x:c r="H532" s="128"/>
    </x:row>
    <x:row r="533">
      <x:c r="A533" s="128"/>
      <x:c r="B533" s="128"/>
      <x:c r="C533" s="128"/>
      <x:c r="D533" s="128"/>
      <x:c r="E533" s="128"/>
      <x:c r="F533" s="128"/>
      <x:c r="G533" s="128"/>
      <x:c r="H533" s="128"/>
    </x:row>
    <x:row r="534">
      <x:c r="A534" s="128"/>
      <x:c r="B534" s="128"/>
      <x:c r="C534" s="128"/>
      <x:c r="D534" s="128"/>
      <x:c r="E534" s="128"/>
      <x:c r="F534" s="128"/>
      <x:c r="G534" s="128"/>
      <x:c r="H534" s="128"/>
    </x:row>
    <x:row r="535">
      <x:c r="A535" s="128"/>
      <x:c r="B535" s="128"/>
      <x:c r="C535" s="128"/>
      <x:c r="D535" s="128"/>
      <x:c r="E535" s="128"/>
      <x:c r="F535" s="128"/>
      <x:c r="G535" s="128"/>
      <x:c r="H535" s="128"/>
    </x:row>
    <x:row r="536">
      <x:c r="A536" s="128"/>
      <x:c r="B536" s="128"/>
      <x:c r="C536" s="128"/>
      <x:c r="D536" s="128"/>
      <x:c r="E536" s="128"/>
      <x:c r="F536" s="128"/>
      <x:c r="G536" s="128"/>
      <x:c r="H536" s="128"/>
    </x:row>
    <x:row r="537">
      <x:c r="A537" s="128"/>
      <x:c r="B537" s="128"/>
      <x:c r="C537" s="128"/>
      <x:c r="D537" s="128"/>
      <x:c r="E537" s="128"/>
      <x:c r="F537" s="128"/>
      <x:c r="G537" s="128"/>
      <x:c r="H537" s="128"/>
    </x:row>
    <x:row r="538">
      <x:c r="A538" s="128"/>
      <x:c r="B538" s="128"/>
      <x:c r="C538" s="128"/>
      <x:c r="D538" s="128"/>
      <x:c r="E538" s="128"/>
      <x:c r="F538" s="128"/>
      <x:c r="G538" s="128"/>
      <x:c r="H538" s="128"/>
    </x:row>
    <x:row r="539">
      <x:c r="A539" s="128"/>
      <x:c r="B539" s="128"/>
      <x:c r="C539" s="128"/>
      <x:c r="D539" s="128"/>
      <x:c r="E539" s="128"/>
      <x:c r="F539" s="128"/>
      <x:c r="G539" s="128"/>
      <x:c r="H539" s="128"/>
    </x:row>
    <x:row r="540">
      <x:c r="A540" s="128"/>
      <x:c r="B540" s="128"/>
      <x:c r="C540" s="128"/>
      <x:c r="D540" s="128"/>
      <x:c r="E540" s="128"/>
      <x:c r="F540" s="128"/>
      <x:c r="G540" s="128"/>
      <x:c r="H540" s="128"/>
    </x:row>
    <x:row r="541">
      <x:c r="A541" s="128"/>
      <x:c r="B541" s="128"/>
      <x:c r="C541" s="128"/>
      <x:c r="D541" s="128"/>
      <x:c r="E541" s="128"/>
      <x:c r="F541" s="128"/>
      <x:c r="G541" s="128"/>
      <x:c r="H541" s="128"/>
    </x:row>
    <x:row r="542">
      <x:c r="A542" s="128"/>
      <x:c r="B542" s="128"/>
      <x:c r="C542" s="128"/>
      <x:c r="D542" s="128"/>
      <x:c r="E542" s="128"/>
      <x:c r="F542" s="128"/>
      <x:c r="G542" s="128"/>
      <x:c r="H542" s="128"/>
    </x:row>
    <x:row r="543">
      <x:c r="A543" s="128"/>
      <x:c r="B543" s="128"/>
      <x:c r="C543" s="128"/>
      <x:c r="D543" s="128"/>
      <x:c r="E543" s="128"/>
      <x:c r="F543" s="128"/>
      <x:c r="G543" s="128"/>
      <x:c r="H543" s="128"/>
    </x:row>
    <x:row r="544">
      <x:c r="A544" s="128"/>
      <x:c r="B544" s="128"/>
      <x:c r="C544" s="128"/>
      <x:c r="D544" s="128"/>
      <x:c r="E544" s="128"/>
      <x:c r="F544" s="128"/>
      <x:c r="G544" s="128"/>
      <x:c r="H544" s="128"/>
    </x:row>
    <x:row r="545">
      <x:c r="A545" s="128"/>
      <x:c r="B545" s="128"/>
      <x:c r="C545" s="128"/>
      <x:c r="D545" s="128"/>
      <x:c r="E545" s="128"/>
      <x:c r="F545" s="128"/>
      <x:c r="G545" s="128"/>
      <x:c r="H545" s="128"/>
    </x:row>
    <x:row r="546">
      <x:c r="A546" s="128"/>
      <x:c r="B546" s="128"/>
      <x:c r="C546" s="128"/>
      <x:c r="D546" s="128"/>
      <x:c r="E546" s="128"/>
      <x:c r="F546" s="128"/>
      <x:c r="G546" s="128"/>
      <x:c r="H546" s="128"/>
    </x:row>
    <x:row r="547">
      <x:c r="A547" s="128"/>
      <x:c r="B547" s="128"/>
      <x:c r="C547" s="128"/>
      <x:c r="D547" s="128"/>
      <x:c r="E547" s="128"/>
      <x:c r="F547" s="128"/>
      <x:c r="G547" s="128"/>
      <x:c r="H547" s="128"/>
    </x:row>
    <x:row r="548">
      <x:c r="A548" s="128"/>
      <x:c r="B548" s="128"/>
      <x:c r="C548" s="128"/>
      <x:c r="D548" s="128"/>
      <x:c r="E548" s="128"/>
      <x:c r="F548" s="128"/>
      <x:c r="G548" s="128"/>
      <x:c r="H548" s="128"/>
    </x:row>
    <x:row r="549">
      <x:c r="A549" s="128"/>
      <x:c r="B549" s="128"/>
      <x:c r="C549" s="128"/>
      <x:c r="D549" s="128"/>
      <x:c r="E549" s="128"/>
      <x:c r="F549" s="128"/>
      <x:c r="G549" s="128"/>
      <x:c r="H549" s="128"/>
    </x:row>
    <x:row r="550">
      <x:c r="A550" s="128"/>
      <x:c r="B550" s="128"/>
      <x:c r="C550" s="128"/>
      <x:c r="D550" s="128"/>
      <x:c r="E550" s="128"/>
      <x:c r="F550" s="128"/>
      <x:c r="G550" s="128"/>
      <x:c r="H550" s="128"/>
    </x:row>
    <x:row r="551">
      <x:c r="A551" s="128"/>
      <x:c r="B551" s="128"/>
      <x:c r="C551" s="128"/>
      <x:c r="D551" s="128"/>
      <x:c r="E551" s="128"/>
      <x:c r="F551" s="128"/>
      <x:c r="G551" s="128"/>
      <x:c r="H551" s="128"/>
    </x:row>
    <x:row r="552">
      <x:c r="A552" s="128"/>
      <x:c r="B552" s="128"/>
      <x:c r="C552" s="128"/>
      <x:c r="D552" s="128"/>
      <x:c r="E552" s="128"/>
      <x:c r="F552" s="128"/>
      <x:c r="G552" s="128"/>
      <x:c r="H552" s="128"/>
    </x:row>
    <x:row r="553">
      <x:c r="A553" s="128"/>
      <x:c r="B553" s="128"/>
      <x:c r="C553" s="128"/>
      <x:c r="D553" s="128"/>
      <x:c r="E553" s="128"/>
      <x:c r="F553" s="128"/>
      <x:c r="G553" s="128"/>
      <x:c r="H553" s="128"/>
    </x:row>
    <x:row r="554">
      <x:c r="A554" s="128"/>
      <x:c r="B554" s="128"/>
      <x:c r="C554" s="128"/>
      <x:c r="D554" s="128"/>
      <x:c r="E554" s="128"/>
      <x:c r="F554" s="128"/>
      <x:c r="G554" s="128"/>
      <x:c r="H554" s="128"/>
    </x:row>
    <x:row r="555">
      <x:c r="A555" s="128"/>
      <x:c r="B555" s="128"/>
      <x:c r="C555" s="128"/>
      <x:c r="D555" s="128"/>
      <x:c r="E555" s="128"/>
      <x:c r="F555" s="128"/>
      <x:c r="G555" s="128"/>
      <x:c r="H555" s="128"/>
    </x:row>
    <x:row r="556">
      <x:c r="A556" s="128"/>
      <x:c r="B556" s="128"/>
      <x:c r="C556" s="128"/>
      <x:c r="D556" s="128"/>
      <x:c r="E556" s="128"/>
      <x:c r="F556" s="128"/>
      <x:c r="G556" s="128"/>
      <x:c r="H556" s="128"/>
    </x:row>
    <x:row r="557">
      <x:c r="A557" s="128"/>
      <x:c r="B557" s="128"/>
      <x:c r="C557" s="128"/>
      <x:c r="D557" s="128"/>
      <x:c r="E557" s="128"/>
      <x:c r="F557" s="128"/>
      <x:c r="G557" s="128"/>
      <x:c r="H557" s="128"/>
    </x:row>
    <x:row r="558">
      <x:c r="A558" s="128"/>
      <x:c r="B558" s="128"/>
      <x:c r="C558" s="128"/>
      <x:c r="D558" s="128"/>
      <x:c r="E558" s="128"/>
      <x:c r="F558" s="128"/>
      <x:c r="G558" s="128"/>
      <x:c r="H558" s="128"/>
    </x:row>
    <x:row r="559">
      <x:c r="A559" s="128"/>
      <x:c r="B559" s="128"/>
      <x:c r="C559" s="128"/>
      <x:c r="D559" s="128"/>
      <x:c r="E559" s="128"/>
      <x:c r="F559" s="128"/>
      <x:c r="G559" s="128"/>
      <x:c r="H559" s="128"/>
    </x:row>
    <x:row r="560">
      <x:c r="A560" s="128"/>
      <x:c r="B560" s="128"/>
      <x:c r="C560" s="128"/>
      <x:c r="D560" s="128"/>
      <x:c r="E560" s="128"/>
      <x:c r="F560" s="128"/>
      <x:c r="G560" s="128"/>
      <x:c r="H560" s="128"/>
    </x:row>
    <x:row r="561">
      <x:c r="A561" s="128"/>
      <x:c r="B561" s="128"/>
      <x:c r="C561" s="128"/>
      <x:c r="D561" s="128"/>
      <x:c r="E561" s="128"/>
      <x:c r="F561" s="128"/>
      <x:c r="G561" s="128"/>
      <x:c r="H561" s="128"/>
    </x:row>
    <x:row r="562">
      <x:c r="A562" s="128"/>
      <x:c r="B562" s="128"/>
      <x:c r="C562" s="128"/>
      <x:c r="D562" s="128"/>
      <x:c r="E562" s="128"/>
      <x:c r="F562" s="128"/>
      <x:c r="G562" s="128"/>
      <x:c r="H562" s="128"/>
    </x:row>
    <x:row r="563">
      <x:c r="A563" s="128"/>
      <x:c r="B563" s="128"/>
      <x:c r="C563" s="128"/>
      <x:c r="D563" s="128"/>
      <x:c r="E563" s="128"/>
      <x:c r="F563" s="128"/>
      <x:c r="G563" s="128"/>
      <x:c r="H563" s="128"/>
    </x:row>
    <x:row r="564">
      <x:c r="A564" s="128"/>
      <x:c r="B564" s="128"/>
      <x:c r="C564" s="128"/>
      <x:c r="D564" s="128"/>
      <x:c r="E564" s="128"/>
      <x:c r="F564" s="128"/>
      <x:c r="G564" s="128"/>
      <x:c r="H564" s="128"/>
    </x:row>
    <x:row r="565">
      <x:c r="A565" s="128"/>
      <x:c r="B565" s="128"/>
      <x:c r="C565" s="128"/>
      <x:c r="D565" s="128"/>
      <x:c r="E565" s="128"/>
      <x:c r="F565" s="128"/>
      <x:c r="G565" s="128"/>
      <x:c r="H565" s="128"/>
    </x:row>
    <x:row r="566">
      <x:c r="A566" s="128"/>
      <x:c r="B566" s="128"/>
      <x:c r="C566" s="128"/>
      <x:c r="D566" s="128"/>
      <x:c r="E566" s="128"/>
      <x:c r="F566" s="128"/>
      <x:c r="G566" s="128"/>
      <x:c r="H566" s="128"/>
    </x:row>
    <x:row r="567">
      <x:c r="A567" s="128"/>
      <x:c r="B567" s="128"/>
      <x:c r="C567" s="128"/>
      <x:c r="D567" s="128"/>
      <x:c r="E567" s="128"/>
      <x:c r="F567" s="128"/>
      <x:c r="G567" s="128"/>
      <x:c r="H567" s="128"/>
    </x:row>
    <x:row r="568">
      <x:c r="A568" s="128"/>
      <x:c r="B568" s="128"/>
      <x:c r="C568" s="128"/>
      <x:c r="D568" s="128"/>
      <x:c r="E568" s="128"/>
      <x:c r="F568" s="128"/>
      <x:c r="G568" s="128"/>
      <x:c r="H568" s="128"/>
    </x:row>
    <x:row r="569">
      <x:c r="A569" s="128"/>
      <x:c r="B569" s="128"/>
      <x:c r="C569" s="128"/>
      <x:c r="D569" s="128"/>
      <x:c r="E569" s="128"/>
      <x:c r="F569" s="128"/>
      <x:c r="G569" s="128"/>
      <x:c r="H569" s="128"/>
    </x:row>
    <x:row r="570">
      <x:c r="A570" s="128"/>
      <x:c r="B570" s="128"/>
      <x:c r="C570" s="128"/>
      <x:c r="D570" s="128"/>
      <x:c r="E570" s="128"/>
      <x:c r="F570" s="128"/>
      <x:c r="G570" s="128"/>
      <x:c r="H570" s="128"/>
    </x:row>
    <x:row r="571">
      <x:c r="A571" s="128"/>
      <x:c r="B571" s="128"/>
      <x:c r="C571" s="128"/>
      <x:c r="D571" s="128"/>
      <x:c r="E571" s="128"/>
      <x:c r="F571" s="128"/>
      <x:c r="G571" s="128"/>
      <x:c r="H571" s="128"/>
    </x:row>
    <x:row r="572">
      <x:c r="A572" s="128"/>
      <x:c r="B572" s="128"/>
      <x:c r="C572" s="128"/>
      <x:c r="D572" s="128"/>
      <x:c r="E572" s="128"/>
      <x:c r="F572" s="128"/>
      <x:c r="G572" s="128"/>
      <x:c r="H572" s="128"/>
    </x:row>
    <x:row r="573">
      <x:c r="A573" s="128"/>
      <x:c r="B573" s="128"/>
      <x:c r="C573" s="128"/>
      <x:c r="D573" s="128"/>
      <x:c r="E573" s="128"/>
      <x:c r="F573" s="128"/>
      <x:c r="G573" s="128"/>
      <x:c r="H573" s="128"/>
    </x:row>
    <x:row r="574">
      <x:c r="A574" s="128"/>
      <x:c r="B574" s="128"/>
      <x:c r="C574" s="128"/>
      <x:c r="D574" s="128"/>
      <x:c r="E574" s="128"/>
      <x:c r="F574" s="128"/>
      <x:c r="G574" s="128"/>
      <x:c r="H574" s="128"/>
    </x:row>
    <x:row r="575">
      <x:c r="A575" s="128"/>
      <x:c r="B575" s="128"/>
      <x:c r="C575" s="128"/>
      <x:c r="D575" s="128"/>
      <x:c r="E575" s="128"/>
      <x:c r="F575" s="128"/>
      <x:c r="G575" s="128"/>
      <x:c r="H575" s="128"/>
    </x:row>
    <x:row r="576">
      <x:c r="A576" s="128"/>
      <x:c r="B576" s="128"/>
      <x:c r="C576" s="128"/>
      <x:c r="D576" s="128"/>
      <x:c r="E576" s="128"/>
      <x:c r="F576" s="128"/>
      <x:c r="G576" s="128"/>
      <x:c r="H576" s="128"/>
    </x:row>
    <x:row r="577">
      <x:c r="A577" s="128"/>
      <x:c r="B577" s="128"/>
      <x:c r="C577" s="128"/>
      <x:c r="D577" s="128"/>
      <x:c r="E577" s="128"/>
      <x:c r="F577" s="128"/>
      <x:c r="G577" s="128"/>
      <x:c r="H577" s="128"/>
    </x:row>
    <x:row r="578">
      <x:c r="A578" s="128"/>
      <x:c r="B578" s="128"/>
      <x:c r="C578" s="128"/>
      <x:c r="D578" s="128"/>
      <x:c r="E578" s="128"/>
      <x:c r="F578" s="128"/>
      <x:c r="G578" s="128"/>
      <x:c r="H578" s="128"/>
    </x:row>
    <x:row r="579">
      <x:c r="A579" s="128"/>
      <x:c r="B579" s="128"/>
      <x:c r="C579" s="128"/>
      <x:c r="D579" s="128"/>
      <x:c r="E579" s="128"/>
      <x:c r="F579" s="128"/>
      <x:c r="G579" s="128"/>
      <x:c r="H579" s="128"/>
    </x:row>
    <x:row r="580">
      <x:c r="A580" s="128"/>
      <x:c r="B580" s="128"/>
      <x:c r="C580" s="128"/>
      <x:c r="D580" s="128"/>
      <x:c r="E580" s="128"/>
      <x:c r="F580" s="128"/>
      <x:c r="G580" s="128"/>
      <x:c r="H580" s="128"/>
    </x:row>
    <x:row r="581">
      <x:c r="A581" s="128"/>
      <x:c r="B581" s="128"/>
      <x:c r="C581" s="128"/>
      <x:c r="D581" s="128"/>
      <x:c r="E581" s="128"/>
      <x:c r="F581" s="128"/>
      <x:c r="G581" s="128"/>
      <x:c r="H581" s="128"/>
    </x:row>
    <x:row r="582">
      <x:c r="A582" s="128"/>
      <x:c r="B582" s="128"/>
      <x:c r="C582" s="128"/>
      <x:c r="D582" s="128"/>
      <x:c r="E582" s="128"/>
      <x:c r="F582" s="128"/>
      <x:c r="G582" s="128"/>
      <x:c r="H582" s="128"/>
    </x:row>
    <x:row r="583">
      <x:c r="A583" s="128"/>
      <x:c r="B583" s="128"/>
      <x:c r="C583" s="128"/>
      <x:c r="D583" s="128"/>
      <x:c r="E583" s="128"/>
      <x:c r="F583" s="128"/>
      <x:c r="G583" s="128"/>
      <x:c r="H583" s="128"/>
    </x:row>
    <x:row r="584">
      <x:c r="A584" s="128"/>
      <x:c r="B584" s="128"/>
      <x:c r="C584" s="128"/>
      <x:c r="D584" s="128"/>
      <x:c r="E584" s="128"/>
      <x:c r="F584" s="128"/>
      <x:c r="G584" s="128"/>
      <x:c r="H584" s="128"/>
    </x:row>
    <x:row r="585">
      <x:c r="A585" s="128"/>
      <x:c r="B585" s="128"/>
      <x:c r="C585" s="128"/>
      <x:c r="D585" s="128"/>
      <x:c r="E585" s="128"/>
      <x:c r="F585" s="128"/>
      <x:c r="G585" s="128"/>
      <x:c r="H585" s="128"/>
    </x:row>
    <x:row r="586">
      <x:c r="A586" s="128"/>
      <x:c r="B586" s="128"/>
      <x:c r="C586" s="128"/>
      <x:c r="D586" s="128"/>
      <x:c r="E586" s="128"/>
      <x:c r="F586" s="128"/>
      <x:c r="G586" s="128"/>
      <x:c r="H586" s="128"/>
    </x:row>
    <x:row r="587">
      <x:c r="A587" s="128"/>
      <x:c r="B587" s="128"/>
      <x:c r="C587" s="128"/>
      <x:c r="D587" s="128"/>
      <x:c r="E587" s="128"/>
      <x:c r="F587" s="128"/>
      <x:c r="G587" s="128"/>
      <x:c r="H587" s="128"/>
    </x:row>
    <x:row r="588">
      <x:c r="A588" s="128"/>
      <x:c r="B588" s="128"/>
      <x:c r="C588" s="128"/>
      <x:c r="D588" s="128"/>
      <x:c r="E588" s="128"/>
      <x:c r="F588" s="128"/>
      <x:c r="G588" s="128"/>
      <x:c r="H588" s="128"/>
    </x:row>
    <x:row r="589">
      <x:c r="A589" s="128"/>
      <x:c r="B589" s="128"/>
      <x:c r="C589" s="128"/>
      <x:c r="D589" s="128"/>
      <x:c r="E589" s="128"/>
      <x:c r="F589" s="128"/>
      <x:c r="G589" s="128"/>
      <x:c r="H589" s="128"/>
    </x:row>
    <x:row r="590">
      <x:c r="A590" s="128"/>
      <x:c r="B590" s="128"/>
      <x:c r="C590" s="128"/>
      <x:c r="D590" s="128"/>
      <x:c r="E590" s="128"/>
      <x:c r="F590" s="128"/>
      <x:c r="G590" s="128"/>
      <x:c r="H590" s="128"/>
    </x:row>
    <x:row r="591">
      <x:c r="A591" s="128"/>
      <x:c r="B591" s="128"/>
      <x:c r="C591" s="128"/>
      <x:c r="D591" s="128"/>
      <x:c r="E591" s="128"/>
      <x:c r="F591" s="128"/>
      <x:c r="G591" s="128"/>
      <x:c r="H591" s="128"/>
    </x:row>
    <x:row r="592">
      <x:c r="A592" s="128"/>
      <x:c r="B592" s="128"/>
      <x:c r="C592" s="128"/>
      <x:c r="D592" s="128"/>
      <x:c r="E592" s="128"/>
      <x:c r="F592" s="128"/>
      <x:c r="G592" s="128"/>
      <x:c r="H592" s="128"/>
    </x:row>
    <x:row r="593">
      <x:c r="A593" s="128"/>
      <x:c r="B593" s="128"/>
      <x:c r="C593" s="128"/>
      <x:c r="D593" s="128"/>
      <x:c r="E593" s="128"/>
      <x:c r="F593" s="128"/>
      <x:c r="G593" s="128"/>
      <x:c r="H593" s="128"/>
    </x:row>
    <x:row r="594">
      <x:c r="A594" s="128"/>
      <x:c r="B594" s="128"/>
      <x:c r="C594" s="128"/>
      <x:c r="D594" s="128"/>
      <x:c r="E594" s="128"/>
      <x:c r="F594" s="128"/>
      <x:c r="G594" s="128"/>
      <x:c r="H594" s="128"/>
    </x:row>
    <x:row r="595">
      <x:c r="A595" s="128"/>
      <x:c r="B595" s="128"/>
      <x:c r="C595" s="128"/>
      <x:c r="D595" s="128"/>
      <x:c r="E595" s="128"/>
      <x:c r="F595" s="128"/>
      <x:c r="G595" s="128"/>
      <x:c r="H595" s="128"/>
    </x:row>
    <x:row r="596">
      <x:c r="A596" s="128"/>
      <x:c r="B596" s="128"/>
      <x:c r="C596" s="128"/>
      <x:c r="D596" s="128"/>
      <x:c r="E596" s="128"/>
      <x:c r="F596" s="128"/>
      <x:c r="G596" s="128"/>
      <x:c r="H596" s="128"/>
    </x:row>
    <x:row r="597">
      <x:c r="A597" s="128"/>
      <x:c r="B597" s="128"/>
      <x:c r="C597" s="128"/>
      <x:c r="D597" s="128"/>
      <x:c r="E597" s="128"/>
      <x:c r="F597" s="128"/>
      <x:c r="G597" s="128"/>
      <x:c r="H597" s="128"/>
    </x:row>
    <x:row r="598">
      <x:c r="A598" s="128"/>
      <x:c r="B598" s="128"/>
      <x:c r="C598" s="128"/>
      <x:c r="D598" s="128"/>
      <x:c r="E598" s="128"/>
      <x:c r="F598" s="128"/>
      <x:c r="G598" s="128"/>
      <x:c r="H598" s="128"/>
    </x:row>
    <x:row r="599">
      <x:c r="A599" s="128"/>
      <x:c r="B599" s="128"/>
      <x:c r="C599" s="128"/>
      <x:c r="D599" s="128"/>
      <x:c r="E599" s="128"/>
      <x:c r="F599" s="128"/>
      <x:c r="G599" s="128"/>
      <x:c r="H599" s="128"/>
    </x:row>
    <x:row r="600">
      <x:c r="A600" s="128"/>
      <x:c r="B600" s="128"/>
      <x:c r="C600" s="128"/>
      <x:c r="D600" s="128"/>
      <x:c r="E600" s="128"/>
      <x:c r="F600" s="128"/>
      <x:c r="G600" s="128"/>
      <x:c r="H600" s="128"/>
    </x:row>
    <x:row r="601">
      <x:c r="A601" s="128"/>
      <x:c r="B601" s="128"/>
      <x:c r="C601" s="128"/>
      <x:c r="D601" s="128"/>
      <x:c r="E601" s="128"/>
      <x:c r="F601" s="128"/>
      <x:c r="G601" s="128"/>
      <x:c r="H601" s="128"/>
    </x:row>
    <x:row r="602">
      <x:c r="A602" s="128"/>
      <x:c r="B602" s="128"/>
      <x:c r="C602" s="128"/>
      <x:c r="D602" s="128"/>
      <x:c r="E602" s="128"/>
      <x:c r="F602" s="128"/>
      <x:c r="G602" s="128"/>
      <x:c r="H602" s="128"/>
    </x:row>
    <x:row r="603">
      <x:c r="A603" s="128"/>
      <x:c r="B603" s="128"/>
      <x:c r="C603" s="128"/>
      <x:c r="D603" s="128"/>
      <x:c r="E603" s="128"/>
      <x:c r="F603" s="128"/>
      <x:c r="G603" s="128"/>
      <x:c r="H603" s="128"/>
    </x:row>
    <x:row r="604">
      <x:c r="A604" s="128"/>
      <x:c r="B604" s="128"/>
      <x:c r="C604" s="128"/>
      <x:c r="D604" s="128"/>
      <x:c r="E604" s="128"/>
      <x:c r="F604" s="128"/>
      <x:c r="G604" s="128"/>
      <x:c r="H604" s="128"/>
    </x:row>
    <x:row r="605">
      <x:c r="A605" s="128"/>
      <x:c r="B605" s="128"/>
      <x:c r="C605" s="128"/>
      <x:c r="D605" s="128"/>
      <x:c r="E605" s="128"/>
      <x:c r="F605" s="128"/>
      <x:c r="G605" s="128"/>
      <x:c r="H605" s="128"/>
    </x:row>
    <x:row r="606">
      <x:c r="A606" s="128"/>
      <x:c r="B606" s="128"/>
      <x:c r="C606" s="128"/>
      <x:c r="D606" s="128"/>
      <x:c r="E606" s="128"/>
      <x:c r="F606" s="128"/>
      <x:c r="G606" s="128"/>
      <x:c r="H606" s="128"/>
    </x:row>
    <x:row r="607">
      <x:c r="A607" s="128"/>
      <x:c r="B607" s="128"/>
      <x:c r="C607" s="128"/>
      <x:c r="D607" s="128"/>
      <x:c r="E607" s="128"/>
      <x:c r="F607" s="128"/>
      <x:c r="G607" s="128"/>
      <x:c r="H607" s="128"/>
    </x:row>
    <x:row r="608">
      <x:c r="A608" s="128"/>
      <x:c r="B608" s="128"/>
      <x:c r="C608" s="128"/>
      <x:c r="D608" s="128"/>
      <x:c r="E608" s="128"/>
      <x:c r="F608" s="128"/>
      <x:c r="G608" s="128"/>
      <x:c r="H608" s="128"/>
    </x:row>
    <x:row r="609">
      <x:c r="A609" s="128"/>
      <x:c r="B609" s="128"/>
      <x:c r="C609" s="128"/>
      <x:c r="D609" s="128"/>
      <x:c r="E609" s="128"/>
      <x:c r="F609" s="128"/>
      <x:c r="G609" s="128"/>
      <x:c r="H609" s="128"/>
    </x:row>
    <x:row r="610">
      <x:c r="A610" s="128"/>
      <x:c r="B610" s="128"/>
      <x:c r="C610" s="128"/>
      <x:c r="D610" s="128"/>
      <x:c r="E610" s="128"/>
      <x:c r="F610" s="128"/>
      <x:c r="G610" s="128"/>
      <x:c r="H610" s="128"/>
    </x:row>
    <x:row r="611">
      <x:c r="A611" s="128"/>
      <x:c r="B611" s="128"/>
      <x:c r="C611" s="128"/>
      <x:c r="D611" s="128"/>
      <x:c r="E611" s="128"/>
      <x:c r="F611" s="128"/>
      <x:c r="G611" s="128"/>
      <x:c r="H611" s="128"/>
    </x:row>
    <x:row r="612">
      <x:c r="A612" s="128"/>
      <x:c r="B612" s="128"/>
      <x:c r="C612" s="128"/>
      <x:c r="D612" s="128"/>
      <x:c r="E612" s="128"/>
      <x:c r="F612" s="128"/>
      <x:c r="G612" s="128"/>
      <x:c r="H612" s="128"/>
    </x:row>
    <x:row r="613">
      <x:c r="A613" s="128"/>
      <x:c r="B613" s="128"/>
      <x:c r="C613" s="128"/>
      <x:c r="D613" s="128"/>
      <x:c r="E613" s="128"/>
      <x:c r="F613" s="128"/>
      <x:c r="G613" s="128"/>
      <x:c r="H613" s="128"/>
    </x:row>
    <x:row r="614">
      <x:c r="A614" s="128"/>
      <x:c r="B614" s="128"/>
      <x:c r="C614" s="128"/>
      <x:c r="D614" s="128"/>
      <x:c r="E614" s="128"/>
      <x:c r="F614" s="128"/>
      <x:c r="G614" s="128"/>
      <x:c r="H614" s="128"/>
    </x:row>
    <x:row r="615">
      <x:c r="A615" s="128"/>
      <x:c r="B615" s="128"/>
      <x:c r="C615" s="128"/>
      <x:c r="D615" s="128"/>
      <x:c r="E615" s="128"/>
      <x:c r="F615" s="128"/>
      <x:c r="G615" s="128"/>
      <x:c r="H615" s="128"/>
    </x:row>
    <x:row r="616">
      <x:c r="A616" s="128"/>
      <x:c r="B616" s="128"/>
      <x:c r="C616" s="128"/>
      <x:c r="D616" s="128"/>
      <x:c r="E616" s="128"/>
      <x:c r="F616" s="128"/>
      <x:c r="G616" s="128"/>
      <x:c r="H616" s="128"/>
    </x:row>
    <x:row r="617">
      <x:c r="A617" s="128"/>
      <x:c r="B617" s="128"/>
      <x:c r="C617" s="128"/>
      <x:c r="D617" s="128"/>
      <x:c r="E617" s="128"/>
      <x:c r="F617" s="128"/>
      <x:c r="G617" s="128"/>
      <x:c r="H617" s="128"/>
    </x:row>
    <x:row r="618">
      <x:c r="A618" s="128"/>
      <x:c r="B618" s="128"/>
      <x:c r="C618" s="128"/>
      <x:c r="D618" s="128"/>
      <x:c r="E618" s="128"/>
      <x:c r="F618" s="128"/>
      <x:c r="G618" s="128"/>
      <x:c r="H618" s="128"/>
    </x:row>
    <x:row r="619">
      <x:c r="A619" s="128"/>
      <x:c r="B619" s="128"/>
      <x:c r="C619" s="128"/>
      <x:c r="D619" s="128"/>
      <x:c r="E619" s="128"/>
      <x:c r="F619" s="128"/>
      <x:c r="G619" s="128"/>
      <x:c r="H619" s="128"/>
    </x:row>
    <x:row r="620">
      <x:c r="A620" s="128"/>
      <x:c r="B620" s="128"/>
      <x:c r="C620" s="128"/>
      <x:c r="D620" s="128"/>
      <x:c r="E620" s="128"/>
      <x:c r="F620" s="128"/>
      <x:c r="G620" s="128"/>
      <x:c r="H620" s="128"/>
    </x:row>
    <x:row r="621">
      <x:c r="A621" s="128"/>
      <x:c r="B621" s="128"/>
      <x:c r="C621" s="128"/>
      <x:c r="D621" s="128"/>
      <x:c r="E621" s="128"/>
      <x:c r="F621" s="128"/>
      <x:c r="G621" s="128"/>
      <x:c r="H621" s="128"/>
    </x:row>
    <x:row r="622">
      <x:c r="A622" s="128"/>
      <x:c r="B622" s="128"/>
      <x:c r="C622" s="128"/>
      <x:c r="D622" s="128"/>
      <x:c r="E622" s="128"/>
      <x:c r="F622" s="128"/>
      <x:c r="G622" s="128"/>
      <x:c r="H622" s="128"/>
    </x:row>
    <x:row r="623">
      <x:c r="A623" s="128"/>
      <x:c r="B623" s="128"/>
      <x:c r="C623" s="128"/>
      <x:c r="D623" s="128"/>
      <x:c r="E623" s="128"/>
      <x:c r="F623" s="128"/>
      <x:c r="G623" s="128"/>
      <x:c r="H623" s="128"/>
    </x:row>
    <x:row r="624">
      <x:c r="A624" s="128"/>
      <x:c r="B624" s="128"/>
      <x:c r="C624" s="128"/>
      <x:c r="D624" s="128"/>
      <x:c r="E624" s="128"/>
      <x:c r="F624" s="128"/>
      <x:c r="G624" s="128"/>
      <x:c r="H624" s="128"/>
    </x:row>
    <x:row r="625">
      <x:c r="A625" s="128"/>
      <x:c r="B625" s="128"/>
      <x:c r="C625" s="128"/>
      <x:c r="D625" s="128"/>
      <x:c r="E625" s="128"/>
      <x:c r="F625" s="128"/>
      <x:c r="G625" s="128"/>
      <x:c r="H625" s="128"/>
    </x:row>
    <x:row r="626">
      <x:c r="A626" s="128"/>
      <x:c r="B626" s="128"/>
      <x:c r="C626" s="128"/>
      <x:c r="D626" s="128"/>
      <x:c r="E626" s="128"/>
      <x:c r="F626" s="128"/>
      <x:c r="G626" s="128"/>
      <x:c r="H626" s="128"/>
    </x:row>
    <x:row r="627">
      <x:c r="A627" s="128"/>
      <x:c r="B627" s="128"/>
      <x:c r="C627" s="128"/>
      <x:c r="D627" s="128"/>
      <x:c r="E627" s="128"/>
      <x:c r="F627" s="128"/>
      <x:c r="G627" s="128"/>
      <x:c r="H627" s="128"/>
    </x:row>
    <x:row r="628">
      <x:c r="A628" s="128"/>
      <x:c r="B628" s="128"/>
      <x:c r="C628" s="128"/>
      <x:c r="D628" s="128"/>
      <x:c r="E628" s="128"/>
      <x:c r="F628" s="128"/>
      <x:c r="G628" s="128"/>
      <x:c r="H628" s="128"/>
    </x:row>
    <x:row r="629">
      <x:c r="A629" s="128"/>
      <x:c r="B629" s="128"/>
      <x:c r="C629" s="128"/>
      <x:c r="D629" s="128"/>
      <x:c r="E629" s="128"/>
      <x:c r="F629" s="128"/>
      <x:c r="G629" s="128"/>
      <x:c r="H629" s="128"/>
    </x:row>
    <x:row r="630">
      <x:c r="A630" s="128"/>
      <x:c r="B630" s="128"/>
      <x:c r="C630" s="128"/>
      <x:c r="D630" s="128"/>
      <x:c r="E630" s="128"/>
      <x:c r="F630" s="128"/>
      <x:c r="G630" s="128"/>
      <x:c r="H630" s="128"/>
    </x:row>
    <x:row r="631">
      <x:c r="A631" s="128"/>
      <x:c r="B631" s="128"/>
      <x:c r="C631" s="128"/>
      <x:c r="D631" s="128"/>
      <x:c r="E631" s="128"/>
      <x:c r="F631" s="128"/>
      <x:c r="G631" s="128"/>
      <x:c r="H631" s="128"/>
    </x:row>
    <x:row r="632">
      <x:c r="A632" s="128"/>
      <x:c r="B632" s="128"/>
      <x:c r="C632" s="128"/>
      <x:c r="D632" s="128"/>
      <x:c r="E632" s="128"/>
      <x:c r="F632" s="128"/>
      <x:c r="G632" s="128"/>
      <x:c r="H632" s="128"/>
    </x:row>
    <x:row r="633">
      <x:c r="A633" s="128"/>
      <x:c r="B633" s="128"/>
      <x:c r="C633" s="128"/>
      <x:c r="D633" s="128"/>
      <x:c r="E633" s="128"/>
      <x:c r="F633" s="128"/>
      <x:c r="G633" s="128"/>
      <x:c r="H633" s="128"/>
    </x:row>
    <x:row r="634">
      <x:c r="A634" s="128"/>
      <x:c r="B634" s="128"/>
      <x:c r="C634" s="128"/>
      <x:c r="D634" s="128"/>
      <x:c r="E634" s="128"/>
      <x:c r="F634" s="128"/>
      <x:c r="G634" s="128"/>
      <x:c r="H634" s="128"/>
    </x:row>
    <x:row r="635">
      <x:c r="A635" s="128"/>
      <x:c r="B635" s="128"/>
      <x:c r="C635" s="128"/>
      <x:c r="D635" s="128"/>
      <x:c r="E635" s="128"/>
      <x:c r="F635" s="128"/>
      <x:c r="G635" s="128"/>
      <x:c r="H635" s="128"/>
    </x:row>
    <x:row r="636">
      <x:c r="A636" s="128"/>
      <x:c r="B636" s="128"/>
      <x:c r="C636" s="128"/>
      <x:c r="D636" s="128"/>
      <x:c r="E636" s="128"/>
      <x:c r="F636" s="128"/>
      <x:c r="G636" s="128"/>
      <x:c r="H636" s="128"/>
    </x:row>
    <x:row r="637">
      <x:c r="A637" s="128"/>
      <x:c r="B637" s="128"/>
      <x:c r="C637" s="128"/>
      <x:c r="D637" s="128"/>
      <x:c r="E637" s="128"/>
      <x:c r="F637" s="128"/>
      <x:c r="G637" s="128"/>
      <x:c r="H637" s="128"/>
    </x:row>
    <x:row r="638">
      <x:c r="A638" s="128"/>
      <x:c r="B638" s="128"/>
      <x:c r="C638" s="128"/>
      <x:c r="D638" s="128"/>
      <x:c r="E638" s="128"/>
      <x:c r="F638" s="128"/>
      <x:c r="G638" s="128"/>
      <x:c r="H638" s="128"/>
    </x:row>
    <x:row r="639">
      <x:c r="A639" s="128"/>
      <x:c r="B639" s="128"/>
      <x:c r="C639" s="128"/>
      <x:c r="D639" s="128"/>
      <x:c r="E639" s="128"/>
      <x:c r="F639" s="128"/>
      <x:c r="G639" s="128"/>
      <x:c r="H639" s="128"/>
    </x:row>
    <x:row r="640">
      <x:c r="A640" s="128"/>
      <x:c r="B640" s="128"/>
      <x:c r="C640" s="128"/>
      <x:c r="D640" s="128"/>
      <x:c r="E640" s="128"/>
      <x:c r="F640" s="128"/>
      <x:c r="G640" s="128"/>
      <x:c r="H640" s="128"/>
    </x:row>
    <x:row r="641">
      <x:c r="A641" s="128"/>
      <x:c r="B641" s="128"/>
      <x:c r="C641" s="128"/>
      <x:c r="D641" s="128"/>
      <x:c r="E641" s="128"/>
      <x:c r="F641" s="128"/>
      <x:c r="G641" s="128"/>
      <x:c r="H641" s="128"/>
    </x:row>
    <x:row r="642">
      <x:c r="A642" s="128"/>
      <x:c r="B642" s="128"/>
      <x:c r="C642" s="128"/>
      <x:c r="D642" s="128"/>
      <x:c r="E642" s="128"/>
      <x:c r="F642" s="128"/>
      <x:c r="G642" s="128"/>
      <x:c r="H642" s="128"/>
    </x:row>
    <x:row r="643">
      <x:c r="A643" s="128"/>
      <x:c r="B643" s="128"/>
      <x:c r="C643" s="128"/>
      <x:c r="D643" s="128"/>
      <x:c r="E643" s="128"/>
      <x:c r="F643" s="128"/>
      <x:c r="G643" s="128"/>
      <x:c r="H643" s="128"/>
    </x:row>
    <x:row r="644">
      <x:c r="A644" s="128"/>
      <x:c r="B644" s="128"/>
      <x:c r="C644" s="128"/>
      <x:c r="D644" s="128"/>
      <x:c r="E644" s="128"/>
      <x:c r="F644" s="128"/>
      <x:c r="G644" s="128"/>
      <x:c r="H644" s="128"/>
    </x:row>
    <x:row r="645">
      <x:c r="A645" s="128"/>
      <x:c r="B645" s="128"/>
      <x:c r="C645" s="128"/>
      <x:c r="D645" s="128"/>
      <x:c r="E645" s="128"/>
      <x:c r="F645" s="128"/>
      <x:c r="G645" s="128"/>
      <x:c r="H645" s="128"/>
    </x:row>
    <x:row r="646">
      <x:c r="A646" s="128"/>
      <x:c r="B646" s="128"/>
      <x:c r="C646" s="128"/>
      <x:c r="D646" s="128"/>
      <x:c r="E646" s="128"/>
      <x:c r="F646" s="128"/>
      <x:c r="G646" s="128"/>
      <x:c r="H646" s="128"/>
    </x:row>
    <x:row r="647">
      <x:c r="A647" s="128"/>
      <x:c r="B647" s="128"/>
      <x:c r="C647" s="128"/>
      <x:c r="D647" s="128"/>
      <x:c r="E647" s="128"/>
      <x:c r="F647" s="128"/>
      <x:c r="G647" s="128"/>
      <x:c r="H647" s="128"/>
    </x:row>
    <x:row r="648">
      <x:c r="A648" s="128"/>
      <x:c r="B648" s="128"/>
      <x:c r="C648" s="128"/>
      <x:c r="D648" s="128"/>
      <x:c r="E648" s="128"/>
      <x:c r="F648" s="128"/>
      <x:c r="G648" s="128"/>
      <x:c r="H648" s="128"/>
    </x:row>
    <x:row r="649">
      <x:c r="A649" s="128"/>
      <x:c r="B649" s="128"/>
      <x:c r="C649" s="128"/>
      <x:c r="D649" s="128"/>
      <x:c r="E649" s="128"/>
      <x:c r="F649" s="128"/>
      <x:c r="G649" s="128"/>
      <x:c r="H649" s="128"/>
    </x:row>
    <x:row r="650">
      <x:c r="A650" s="128"/>
      <x:c r="B650" s="128"/>
      <x:c r="C650" s="128"/>
      <x:c r="D650" s="128"/>
      <x:c r="E650" s="128"/>
      <x:c r="F650" s="128"/>
      <x:c r="G650" s="128"/>
      <x:c r="H650" s="128"/>
    </x:row>
    <x:row r="651">
      <x:c r="A651" s="128"/>
      <x:c r="B651" s="128"/>
      <x:c r="C651" s="128"/>
      <x:c r="D651" s="128"/>
      <x:c r="E651" s="128"/>
      <x:c r="F651" s="128"/>
      <x:c r="G651" s="128"/>
      <x:c r="H651" s="128"/>
    </x:row>
    <x:row r="652">
      <x:c r="A652" s="128"/>
      <x:c r="B652" s="128"/>
      <x:c r="C652" s="128"/>
      <x:c r="D652" s="128"/>
      <x:c r="E652" s="128"/>
      <x:c r="F652" s="128"/>
      <x:c r="G652" s="128"/>
      <x:c r="H652" s="128"/>
    </x:row>
    <x:row r="653">
      <x:c r="A653" s="128"/>
      <x:c r="B653" s="128"/>
      <x:c r="C653" s="128"/>
      <x:c r="D653" s="128"/>
      <x:c r="E653" s="128"/>
      <x:c r="F653" s="128"/>
      <x:c r="G653" s="128"/>
      <x:c r="H653" s="128"/>
    </x:row>
    <x:row r="654">
      <x:c r="A654" s="128"/>
      <x:c r="B654" s="128"/>
      <x:c r="C654" s="128"/>
      <x:c r="D654" s="128"/>
      <x:c r="E654" s="128"/>
      <x:c r="F654" s="128"/>
      <x:c r="G654" s="128"/>
      <x:c r="H654" s="128"/>
    </x:row>
    <x:row r="655">
      <x:c r="A655" s="128"/>
      <x:c r="B655" s="128"/>
      <x:c r="C655" s="128"/>
      <x:c r="D655" s="128"/>
      <x:c r="E655" s="128"/>
      <x:c r="F655" s="128"/>
      <x:c r="G655" s="128"/>
      <x:c r="H655" s="128"/>
    </x:row>
    <x:row r="656">
      <x:c r="A656" s="128"/>
      <x:c r="B656" s="128"/>
      <x:c r="C656" s="128"/>
      <x:c r="D656" s="128"/>
      <x:c r="E656" s="128"/>
      <x:c r="F656" s="128"/>
      <x:c r="G656" s="128"/>
      <x:c r="H656" s="128"/>
    </x:row>
    <x:row r="657">
      <x:c r="A657" s="128"/>
      <x:c r="B657" s="128"/>
      <x:c r="C657" s="128"/>
      <x:c r="D657" s="128"/>
      <x:c r="E657" s="128"/>
      <x:c r="F657" s="128"/>
      <x:c r="G657" s="128"/>
      <x:c r="H657" s="128"/>
    </x:row>
    <x:row r="658">
      <x:c r="A658" s="128"/>
      <x:c r="B658" s="128"/>
      <x:c r="C658" s="128"/>
      <x:c r="D658" s="128"/>
      <x:c r="E658" s="128"/>
      <x:c r="F658" s="128"/>
      <x:c r="G658" s="128"/>
      <x:c r="H658" s="128"/>
    </x:row>
    <x:row r="659">
      <x:c r="A659" s="128"/>
      <x:c r="B659" s="128"/>
      <x:c r="C659" s="128"/>
      <x:c r="D659" s="128"/>
      <x:c r="E659" s="128"/>
      <x:c r="F659" s="128"/>
      <x:c r="G659" s="128"/>
      <x:c r="H659" s="128"/>
    </x:row>
    <x:row r="660">
      <x:c r="A660" s="128"/>
      <x:c r="B660" s="128"/>
      <x:c r="C660" s="128"/>
      <x:c r="D660" s="128"/>
      <x:c r="E660" s="128"/>
      <x:c r="F660" s="128"/>
      <x:c r="G660" s="128"/>
      <x:c r="H660" s="128"/>
    </x:row>
    <x:row r="661">
      <x:c r="A661" s="128"/>
      <x:c r="B661" s="128"/>
      <x:c r="C661" s="128"/>
      <x:c r="D661" s="128"/>
      <x:c r="E661" s="128"/>
      <x:c r="F661" s="128"/>
      <x:c r="G661" s="128"/>
      <x:c r="H661" s="128"/>
    </x:row>
    <x:row r="662">
      <x:c r="A662" s="128"/>
      <x:c r="B662" s="128"/>
      <x:c r="C662" s="128"/>
      <x:c r="D662" s="128"/>
      <x:c r="E662" s="128"/>
      <x:c r="F662" s="128"/>
      <x:c r="G662" s="128"/>
      <x:c r="H662" s="128"/>
    </x:row>
    <x:row r="663">
      <x:c r="A663" s="128"/>
      <x:c r="B663" s="128"/>
      <x:c r="C663" s="128"/>
      <x:c r="D663" s="128"/>
      <x:c r="E663" s="128"/>
      <x:c r="F663" s="128"/>
      <x:c r="G663" s="128"/>
      <x:c r="H663" s="128"/>
    </x:row>
    <x:row r="664">
      <x:c r="A664" s="128"/>
      <x:c r="B664" s="128"/>
      <x:c r="C664" s="128"/>
      <x:c r="D664" s="128"/>
      <x:c r="E664" s="128"/>
      <x:c r="F664" s="128"/>
      <x:c r="G664" s="128"/>
      <x:c r="H664" s="128"/>
    </x:row>
    <x:row r="665">
      <x:c r="A665" s="128"/>
      <x:c r="B665" s="128"/>
      <x:c r="C665" s="128"/>
      <x:c r="D665" s="128"/>
      <x:c r="E665" s="128"/>
      <x:c r="F665" s="128"/>
      <x:c r="G665" s="128"/>
      <x:c r="H665" s="128"/>
    </x:row>
    <x:row r="666">
      <x:c r="A666" s="128"/>
      <x:c r="B666" s="128"/>
      <x:c r="C666" s="128"/>
      <x:c r="D666" s="128"/>
      <x:c r="E666" s="128"/>
      <x:c r="F666" s="128"/>
      <x:c r="G666" s="128"/>
      <x:c r="H666" s="128"/>
    </x:row>
    <x:row r="667">
      <x:c r="A667" s="128"/>
      <x:c r="B667" s="128"/>
      <x:c r="C667" s="128"/>
      <x:c r="D667" s="128"/>
      <x:c r="E667" s="128"/>
      <x:c r="F667" s="128"/>
      <x:c r="G667" s="128"/>
      <x:c r="H667" s="128"/>
    </x:row>
    <x:row r="668">
      <x:c r="A668" s="128"/>
      <x:c r="B668" s="128"/>
      <x:c r="C668" s="128"/>
      <x:c r="D668" s="128"/>
      <x:c r="E668" s="128"/>
      <x:c r="F668" s="128"/>
      <x:c r="G668" s="128"/>
      <x:c r="H668" s="128"/>
    </x:row>
    <x:row r="669">
      <x:c r="A669" s="128"/>
      <x:c r="B669" s="128"/>
      <x:c r="C669" s="128"/>
      <x:c r="D669" s="128"/>
      <x:c r="E669" s="128"/>
      <x:c r="F669" s="128"/>
      <x:c r="G669" s="128"/>
      <x:c r="H669" s="128"/>
    </x:row>
    <x:row r="670">
      <x:c r="A670" s="128"/>
      <x:c r="B670" s="128"/>
      <x:c r="C670" s="128"/>
      <x:c r="D670" s="128"/>
      <x:c r="E670" s="128"/>
      <x:c r="F670" s="128"/>
      <x:c r="G670" s="128"/>
      <x:c r="H670" s="128"/>
    </x:row>
    <x:row r="671">
      <x:c r="A671" s="128"/>
      <x:c r="B671" s="128"/>
      <x:c r="C671" s="128"/>
      <x:c r="D671" s="128"/>
      <x:c r="E671" s="128"/>
      <x:c r="F671" s="128"/>
      <x:c r="G671" s="128"/>
      <x:c r="H671" s="128"/>
    </x:row>
    <x:row r="672">
      <x:c r="A672" s="128"/>
      <x:c r="B672" s="128"/>
      <x:c r="C672" s="128"/>
      <x:c r="D672" s="128"/>
      <x:c r="E672" s="128"/>
      <x:c r="F672" s="128"/>
      <x:c r="G672" s="128"/>
      <x:c r="H672" s="128"/>
    </x:row>
    <x:row r="673">
      <x:c r="A673" s="128"/>
      <x:c r="B673" s="128"/>
      <x:c r="C673" s="128"/>
      <x:c r="D673" s="128"/>
      <x:c r="E673" s="128"/>
      <x:c r="F673" s="128"/>
      <x:c r="G673" s="128"/>
      <x:c r="H673" s="128"/>
    </x:row>
    <x:row r="674">
      <x:c r="A674" s="128"/>
      <x:c r="B674" s="128"/>
      <x:c r="C674" s="128"/>
      <x:c r="D674" s="128"/>
      <x:c r="E674" s="128"/>
      <x:c r="F674" s="128"/>
      <x:c r="G674" s="128"/>
      <x:c r="H674" s="128"/>
    </x:row>
    <x:row r="675">
      <x:c r="A675" s="128"/>
      <x:c r="B675" s="128"/>
      <x:c r="C675" s="128"/>
      <x:c r="D675" s="128"/>
      <x:c r="E675" s="128"/>
      <x:c r="F675" s="128"/>
      <x:c r="G675" s="128"/>
      <x:c r="H675" s="128"/>
    </x:row>
    <x:row r="676">
      <x:c r="A676" s="128"/>
      <x:c r="B676" s="128"/>
      <x:c r="C676" s="128"/>
      <x:c r="D676" s="128"/>
      <x:c r="E676" s="128"/>
      <x:c r="F676" s="128"/>
      <x:c r="G676" s="128"/>
      <x:c r="H676" s="128"/>
    </x:row>
    <x:row r="677">
      <x:c r="A677" s="128"/>
      <x:c r="B677" s="128"/>
      <x:c r="C677" s="128"/>
      <x:c r="D677" s="128"/>
      <x:c r="E677" s="128"/>
      <x:c r="F677" s="128"/>
      <x:c r="G677" s="128"/>
      <x:c r="H677" s="128"/>
    </x:row>
    <x:row r="678">
      <x:c r="A678" s="128"/>
      <x:c r="B678" s="128"/>
      <x:c r="C678" s="128"/>
      <x:c r="D678" s="128"/>
      <x:c r="E678" s="128"/>
      <x:c r="F678" s="128"/>
      <x:c r="G678" s="128"/>
      <x:c r="H678" s="128"/>
    </x:row>
    <x:row r="679">
      <x:c r="A679" s="128"/>
      <x:c r="B679" s="128"/>
      <x:c r="C679" s="128"/>
      <x:c r="D679" s="128"/>
      <x:c r="E679" s="128"/>
      <x:c r="F679" s="128"/>
      <x:c r="G679" s="128"/>
      <x:c r="H679" s="128"/>
    </x:row>
    <x:row r="680">
      <x:c r="A680" s="128"/>
      <x:c r="B680" s="128"/>
      <x:c r="C680" s="128"/>
      <x:c r="D680" s="128"/>
      <x:c r="E680" s="128"/>
      <x:c r="F680" s="128"/>
      <x:c r="G680" s="128"/>
      <x:c r="H680" s="128"/>
    </x:row>
    <x:row r="681">
      <x:c r="A681" s="128"/>
      <x:c r="B681" s="128"/>
      <x:c r="C681" s="128"/>
      <x:c r="D681" s="128"/>
      <x:c r="E681" s="128"/>
      <x:c r="F681" s="128"/>
      <x:c r="G681" s="128"/>
      <x:c r="H681" s="128"/>
    </x:row>
    <x:row r="682">
      <x:c r="A682" s="128"/>
      <x:c r="B682" s="128"/>
      <x:c r="C682" s="128"/>
      <x:c r="D682" s="128"/>
      <x:c r="E682" s="128"/>
      <x:c r="F682" s="128"/>
      <x:c r="G682" s="128"/>
      <x:c r="H682" s="128"/>
    </x:row>
    <x:row r="683">
      <x:c r="A683" s="128"/>
      <x:c r="B683" s="128"/>
      <x:c r="C683" s="128"/>
      <x:c r="D683" s="128"/>
      <x:c r="E683" s="128"/>
      <x:c r="F683" s="128"/>
      <x:c r="G683" s="128"/>
      <x:c r="H683" s="128"/>
    </x:row>
    <x:row r="684">
      <x:c r="A684" s="128"/>
      <x:c r="B684" s="128"/>
      <x:c r="C684" s="128"/>
      <x:c r="D684" s="128"/>
      <x:c r="E684" s="128"/>
      <x:c r="F684" s="128"/>
      <x:c r="G684" s="128"/>
      <x:c r="H684" s="128"/>
    </x:row>
    <x:row r="685">
      <x:c r="A685" s="128"/>
      <x:c r="B685" s="128"/>
      <x:c r="C685" s="128"/>
      <x:c r="D685" s="128"/>
      <x:c r="E685" s="128"/>
      <x:c r="F685" s="128"/>
      <x:c r="G685" s="128"/>
      <x:c r="H685" s="128"/>
    </x:row>
    <x:row r="686">
      <x:c r="A686" s="128"/>
      <x:c r="B686" s="128"/>
      <x:c r="C686" s="128"/>
      <x:c r="D686" s="128"/>
      <x:c r="E686" s="128"/>
      <x:c r="F686" s="128"/>
      <x:c r="G686" s="128"/>
      <x:c r="H686" s="128"/>
    </x:row>
    <x:row r="687">
      <x:c r="A687" s="128"/>
      <x:c r="B687" s="128"/>
      <x:c r="C687" s="128"/>
      <x:c r="D687" s="128"/>
      <x:c r="E687" s="128"/>
      <x:c r="F687" s="128"/>
      <x:c r="G687" s="128"/>
      <x:c r="H687" s="128"/>
    </x:row>
    <x:row r="688">
      <x:c r="A688" s="128"/>
      <x:c r="B688" s="128"/>
      <x:c r="C688" s="128"/>
      <x:c r="D688" s="128"/>
      <x:c r="E688" s="128"/>
      <x:c r="F688" s="128"/>
      <x:c r="G688" s="128"/>
      <x:c r="H688" s="128"/>
    </x:row>
    <x:row r="689">
      <x:c r="A689" s="128"/>
      <x:c r="B689" s="128"/>
      <x:c r="C689" s="128"/>
      <x:c r="D689" s="128"/>
      <x:c r="E689" s="128"/>
      <x:c r="F689" s="128"/>
      <x:c r="G689" s="128"/>
      <x:c r="H689" s="128"/>
    </x:row>
    <x:row r="690">
      <x:c r="A690" s="128"/>
      <x:c r="B690" s="128"/>
      <x:c r="C690" s="128"/>
      <x:c r="D690" s="128"/>
      <x:c r="E690" s="128"/>
      <x:c r="F690" s="128"/>
      <x:c r="G690" s="128"/>
      <x:c r="H690" s="128"/>
    </x:row>
    <x:row r="691">
      <x:c r="A691" s="128"/>
      <x:c r="B691" s="128"/>
      <x:c r="C691" s="128"/>
      <x:c r="D691" s="128"/>
      <x:c r="E691" s="128"/>
      <x:c r="F691" s="128"/>
      <x:c r="G691" s="128"/>
      <x:c r="H691" s="128"/>
    </x:row>
    <x:row r="692">
      <x:c r="A692" s="128"/>
      <x:c r="B692" s="128"/>
      <x:c r="C692" s="128"/>
      <x:c r="D692" s="128"/>
      <x:c r="E692" s="128"/>
      <x:c r="F692" s="128"/>
      <x:c r="G692" s="128"/>
      <x:c r="H692" s="128"/>
    </x:row>
    <x:row r="693">
      <x:c r="A693" s="128"/>
      <x:c r="B693" s="128"/>
      <x:c r="C693" s="128"/>
      <x:c r="D693" s="128"/>
      <x:c r="E693" s="128"/>
      <x:c r="F693" s="128"/>
      <x:c r="G693" s="128"/>
      <x:c r="H693" s="128"/>
    </x:row>
    <x:row r="694">
      <x:c r="A694" s="128"/>
      <x:c r="B694" s="128"/>
      <x:c r="C694" s="128"/>
      <x:c r="D694" s="128"/>
      <x:c r="E694" s="128"/>
      <x:c r="F694" s="128"/>
      <x:c r="G694" s="128"/>
      <x:c r="H694" s="128"/>
    </x:row>
    <x:row r="695">
      <x:c r="A695" s="128"/>
      <x:c r="B695" s="128"/>
      <x:c r="C695" s="128"/>
      <x:c r="D695" s="128"/>
      <x:c r="E695" s="128"/>
      <x:c r="F695" s="128"/>
      <x:c r="G695" s="128"/>
      <x:c r="H695" s="128"/>
    </x:row>
    <x:row r="696">
      <x:c r="A696" s="128"/>
      <x:c r="B696" s="128"/>
      <x:c r="C696" s="128"/>
      <x:c r="D696" s="128"/>
      <x:c r="E696" s="128"/>
      <x:c r="F696" s="128"/>
      <x:c r="G696" s="128"/>
      <x:c r="H696" s="128"/>
    </x:row>
    <x:row r="697">
      <x:c r="A697" s="128"/>
      <x:c r="B697" s="128"/>
      <x:c r="C697" s="128"/>
      <x:c r="D697" s="128"/>
      <x:c r="E697" s="128"/>
      <x:c r="F697" s="128"/>
      <x:c r="G697" s="128"/>
      <x:c r="H697" s="128"/>
    </x:row>
    <x:row r="698">
      <x:c r="A698" s="128"/>
      <x:c r="B698" s="128"/>
      <x:c r="C698" s="128"/>
      <x:c r="D698" s="128"/>
      <x:c r="E698" s="128"/>
      <x:c r="F698" s="128"/>
      <x:c r="G698" s="128"/>
      <x:c r="H698" s="128"/>
    </x:row>
    <x:row r="699">
      <x:c r="A699" s="128"/>
      <x:c r="B699" s="128"/>
      <x:c r="C699" s="128"/>
      <x:c r="D699" s="128"/>
      <x:c r="E699" s="128"/>
      <x:c r="F699" s="128"/>
      <x:c r="G699" s="128"/>
      <x:c r="H699" s="128"/>
    </x:row>
    <x:row r="700">
      <x:c r="A700" s="128"/>
      <x:c r="B700" s="128"/>
      <x:c r="C700" s="128"/>
      <x:c r="D700" s="128"/>
      <x:c r="E700" s="128"/>
      <x:c r="F700" s="128"/>
      <x:c r="G700" s="128"/>
      <x:c r="H700" s="128"/>
    </x:row>
    <x:row r="701">
      <x:c r="A701" s="128"/>
      <x:c r="B701" s="128"/>
      <x:c r="C701" s="128"/>
      <x:c r="D701" s="128"/>
      <x:c r="E701" s="128"/>
      <x:c r="F701" s="128"/>
      <x:c r="G701" s="128"/>
      <x:c r="H701" s="128"/>
    </x:row>
    <x:row r="702">
      <x:c r="A702" s="128"/>
      <x:c r="B702" s="128"/>
      <x:c r="C702" s="128"/>
      <x:c r="D702" s="128"/>
      <x:c r="E702" s="128"/>
      <x:c r="F702" s="128"/>
      <x:c r="G702" s="128"/>
      <x:c r="H702" s="128"/>
    </x:row>
    <x:row r="703">
      <x:c r="A703" s="128"/>
      <x:c r="B703" s="128"/>
      <x:c r="C703" s="128"/>
      <x:c r="D703" s="128"/>
      <x:c r="E703" s="128"/>
      <x:c r="F703" s="128"/>
      <x:c r="G703" s="128"/>
      <x:c r="H703" s="128"/>
    </x:row>
    <x:row r="704">
      <x:c r="A704" s="128"/>
      <x:c r="B704" s="128"/>
      <x:c r="C704" s="128"/>
      <x:c r="D704" s="128"/>
      <x:c r="E704" s="128"/>
      <x:c r="F704" s="128"/>
      <x:c r="G704" s="128"/>
      <x:c r="H704" s="128"/>
    </x:row>
    <x:row r="705">
      <x:c r="A705" s="128"/>
      <x:c r="B705" s="128"/>
      <x:c r="C705" s="128"/>
      <x:c r="D705" s="128"/>
      <x:c r="E705" s="128"/>
      <x:c r="F705" s="128"/>
      <x:c r="G705" s="128"/>
      <x:c r="H705" s="128"/>
    </x:row>
    <x:row r="706">
      <x:c r="A706" s="128"/>
      <x:c r="B706" s="128"/>
      <x:c r="C706" s="128"/>
      <x:c r="D706" s="128"/>
      <x:c r="E706" s="128"/>
      <x:c r="F706" s="128"/>
      <x:c r="G706" s="128"/>
      <x:c r="H706" s="128"/>
    </x:row>
    <x:row r="707">
      <x:c r="A707" s="128"/>
      <x:c r="B707" s="128"/>
      <x:c r="C707" s="128"/>
      <x:c r="D707" s="128"/>
      <x:c r="E707" s="128"/>
      <x:c r="F707" s="128"/>
      <x:c r="G707" s="128"/>
      <x:c r="H707" s="128"/>
    </x:row>
    <x:row r="708">
      <x:c r="A708" s="128"/>
      <x:c r="B708" s="128"/>
      <x:c r="C708" s="128"/>
      <x:c r="D708" s="128"/>
      <x:c r="E708" s="128"/>
      <x:c r="F708" s="128"/>
      <x:c r="G708" s="128"/>
      <x:c r="H708" s="128"/>
    </x:row>
    <x:row r="709">
      <x:c r="A709" s="128"/>
      <x:c r="B709" s="128"/>
      <x:c r="C709" s="128"/>
      <x:c r="D709" s="128"/>
      <x:c r="E709" s="128"/>
      <x:c r="F709" s="128"/>
      <x:c r="G709" s="128"/>
      <x:c r="H709" s="128"/>
    </x:row>
    <x:row r="710">
      <x:c r="A710" s="128"/>
      <x:c r="B710" s="128"/>
      <x:c r="C710" s="128"/>
      <x:c r="D710" s="128"/>
      <x:c r="E710" s="128"/>
      <x:c r="F710" s="128"/>
      <x:c r="G710" s="128"/>
      <x:c r="H710" s="128"/>
    </x:row>
    <x:row r="711">
      <x:c r="A711" s="128"/>
      <x:c r="B711" s="128"/>
      <x:c r="C711" s="128"/>
      <x:c r="D711" s="128"/>
      <x:c r="E711" s="128"/>
      <x:c r="F711" s="128"/>
      <x:c r="G711" s="128"/>
      <x:c r="H711" s="128"/>
    </x:row>
    <x:row r="712">
      <x:c r="A712" s="128"/>
      <x:c r="B712" s="128"/>
      <x:c r="C712" s="128"/>
      <x:c r="D712" s="128"/>
      <x:c r="E712" s="128"/>
      <x:c r="F712" s="128"/>
      <x:c r="G712" s="128"/>
      <x:c r="H712" s="128"/>
    </x:row>
    <x:row r="713">
      <x:c r="A713" s="128"/>
      <x:c r="B713" s="128"/>
      <x:c r="C713" s="128"/>
      <x:c r="D713" s="128"/>
      <x:c r="E713" s="128"/>
      <x:c r="F713" s="128"/>
      <x:c r="G713" s="128"/>
      <x:c r="H713" s="128"/>
    </x:row>
    <x:row r="714">
      <x:c r="A714" s="128"/>
      <x:c r="B714" s="128"/>
      <x:c r="C714" s="128"/>
      <x:c r="D714" s="128"/>
      <x:c r="E714" s="128"/>
      <x:c r="F714" s="128"/>
      <x:c r="G714" s="128"/>
      <x:c r="H714" s="128"/>
    </x:row>
    <x:row r="715">
      <x:c r="A715" s="128"/>
      <x:c r="B715" s="128"/>
      <x:c r="C715" s="128"/>
      <x:c r="D715" s="128"/>
      <x:c r="E715" s="128"/>
      <x:c r="F715" s="128"/>
      <x:c r="G715" s="128"/>
      <x:c r="H715" s="128"/>
    </x:row>
    <x:row r="716">
      <x:c r="A716" s="128"/>
      <x:c r="B716" s="128"/>
      <x:c r="C716" s="128"/>
      <x:c r="D716" s="128"/>
      <x:c r="E716" s="128"/>
      <x:c r="F716" s="128"/>
      <x:c r="G716" s="128"/>
      <x:c r="H716" s="128"/>
    </x:row>
    <x:row r="717">
      <x:c r="A717" s="128"/>
      <x:c r="B717" s="128"/>
      <x:c r="C717" s="128"/>
      <x:c r="D717" s="128"/>
      <x:c r="E717" s="128"/>
      <x:c r="F717" s="128"/>
      <x:c r="G717" s="128"/>
      <x:c r="H717" s="128"/>
    </x:row>
    <x:row r="718">
      <x:c r="A718" s="128"/>
      <x:c r="B718" s="128"/>
      <x:c r="C718" s="128"/>
      <x:c r="D718" s="128"/>
      <x:c r="E718" s="128"/>
      <x:c r="F718" s="128"/>
      <x:c r="G718" s="128"/>
      <x:c r="H718" s="128"/>
    </x:row>
    <x:row r="719">
      <x:c r="A719" s="128"/>
      <x:c r="B719" s="128"/>
      <x:c r="C719" s="128"/>
      <x:c r="D719" s="128"/>
      <x:c r="E719" s="128"/>
      <x:c r="F719" s="128"/>
      <x:c r="G719" s="128"/>
      <x:c r="H719" s="128"/>
    </x:row>
    <x:row r="720">
      <x:c r="A720" s="128"/>
      <x:c r="B720" s="128"/>
      <x:c r="C720" s="128"/>
      <x:c r="D720" s="128"/>
      <x:c r="E720" s="128"/>
      <x:c r="F720" s="128"/>
      <x:c r="G720" s="128"/>
      <x:c r="H720" s="128"/>
    </x:row>
    <x:row r="721">
      <x:c r="A721" s="128"/>
      <x:c r="B721" s="128"/>
      <x:c r="C721" s="128"/>
      <x:c r="D721" s="128"/>
      <x:c r="E721" s="128"/>
      <x:c r="F721" s="128"/>
      <x:c r="G721" s="128"/>
      <x:c r="H721" s="128"/>
    </x:row>
    <x:row r="722">
      <x:c r="A722" s="128"/>
      <x:c r="B722" s="128"/>
      <x:c r="C722" s="128"/>
      <x:c r="D722" s="128"/>
      <x:c r="E722" s="128"/>
      <x:c r="F722" s="128"/>
      <x:c r="G722" s="128"/>
      <x:c r="H722" s="128"/>
    </x:row>
    <x:row r="723">
      <x:c r="A723" s="128"/>
      <x:c r="B723" s="128"/>
      <x:c r="C723" s="128"/>
      <x:c r="D723" s="128"/>
      <x:c r="E723" s="128"/>
      <x:c r="F723" s="128"/>
      <x:c r="G723" s="128"/>
      <x:c r="H723" s="128"/>
    </x:row>
    <x:row r="724">
      <x:c r="A724" s="129"/>
      <x:c r="B724" s="129"/>
      <x:c r="C724" s="129"/>
      <x:c r="D724" s="129"/>
      <x:c r="E724" s="129"/>
      <x:c r="F724" s="129"/>
      <x:c r="G724" s="129"/>
      <x:c r="H724" s="129"/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</x:cols>
  <x:sheetData>
    <x:row r="1" ht="30" customHeight="1">
      <x:c r="A1" s="196" t="str">
        <x:v>Splunk Dashboard Studio — CSV Lookup Integration</x:v>
      </x:c>
      <x:c r="B1" s="196"/>
      <x:c r="C1" s="196"/>
      <x:c r="D1" s="196"/>
      <x:c r="E1" s="196"/>
      <x:c r="F1" s="196"/>
      <x:c r="G1" s="196"/>
      <x:c r="H1" s="196"/>
    </x:row>
    <x:row r="2" ht="42" customHeight="1">
      <x:c r="A2" s="186" t="str">
        <x:v>Advanced Mode uses JSON, not XML. This pack keeps NOCs and Locations in the lookup CSV and uses two search-backed cascading dropdowns.</x:v>
      </x:c>
      <x:c r="B2" s="186"/>
      <x:c r="C2" s="186"/>
      <x:c r="D2" s="186"/>
      <x:c r="E2" s="186"/>
      <x:c r="F2" s="186"/>
      <x:c r="G2" s="186"/>
      <x:c r="H2" s="186"/>
    </x:row>
    <x:row r="3">
      <x:c r="A3" s="24"/>
      <x:c r="B3" s="24"/>
      <x:c r="C3" s="24"/>
      <x:c r="D3" s="24"/>
      <x:c r="E3" s="24"/>
      <x:c r="F3" s="24"/>
      <x:c r="G3" s="24"/>
      <x:c r="H3" s="24"/>
    </x:row>
    <x:row r="4">
      <x:c r="A4" s="197" t="str">
        <x:v>Setting</x:v>
      </x:c>
      <x:c r="B4" s="197" t="str">
        <x:v>Value / Rule</x:v>
      </x:c>
      <x:c r="C4" s="24"/>
      <x:c r="D4" s="24"/>
      <x:c r="E4" s="24"/>
      <x:c r="F4" s="24"/>
      <x:c r="G4" s="24"/>
      <x:c r="H4" s="24"/>
    </x:row>
    <x:row r="5">
      <x:c r="A5" s="24" t="str">
        <x:v>Lookup reference</x:v>
      </x:c>
      <x:c r="B5" s="24" t="str">
        <x:v>network_dashboard_scope.csv</x:v>
      </x:c>
      <x:c r="C5" s="24"/>
      <x:c r="D5" s="24"/>
      <x:c r="E5" s="24"/>
      <x:c r="F5" s="24"/>
      <x:c r="G5" s="24"/>
      <x:c r="H5" s="24"/>
    </x:row>
    <x:row r="6">
      <x:c r="A6" s="24" t="str">
        <x:v>Lookup usage</x:v>
      </x:c>
      <x:c r="B6" s="24" t="str">
        <x:v>| inputlookup network_dashboard_scope.csv</x:v>
      </x:c>
      <x:c r="C6" s="24"/>
      <x:c r="D6" s="24"/>
      <x:c r="E6" s="24"/>
      <x:c r="F6" s="24"/>
      <x:c r="G6" s="24"/>
      <x:c r="H6" s="24"/>
    </x:row>
    <x:row r="7">
      <x:c r="A7" s="24" t="str">
        <x:v>Parent token</x:v>
      </x:c>
      <x:c r="B7" s="24" t="str">
        <x:v>$noc$</x:v>
      </x:c>
      <x:c r="C7" s="24"/>
      <x:c r="D7" s="24"/>
      <x:c r="E7" s="24"/>
      <x:c r="F7" s="24"/>
      <x:c r="G7" s="24"/>
      <x:c r="H7" s="24"/>
    </x:row>
    <x:row r="8">
      <x:c r="A8" s="24" t="str">
        <x:v>Child token</x:v>
      </x:c>
      <x:c r="B8" s="24" t="str">
        <x:v>$scope$</x:v>
      </x:c>
      <x:c r="C8" s="24"/>
      <x:c r="D8" s="24"/>
      <x:c r="E8" s="24"/>
      <x:c r="F8" s="24"/>
      <x:c r="G8" s="24"/>
      <x:c r="H8" s="24"/>
    </x:row>
    <x:row r="9">
      <x:c r="A9" s="24" t="str">
        <x:v>Child token value</x:v>
      </x:c>
      <x:c r="B9" s="24" t="str">
        <x:v>scope_value (complete trusted SPL scope fragment)</x:v>
      </x:c>
      <x:c r="C9" s="24"/>
      <x:c r="D9" s="24"/>
      <x:c r="E9" s="24"/>
      <x:c r="F9" s="24"/>
      <x:c r="G9" s="24"/>
      <x:c r="H9" s="24"/>
    </x:row>
    <x:row r="10">
      <x:c r="A10" s="24" t="str">
        <x:v>Important</x:v>
      </x:c>
      <x:c r="B10" s="24" t="str">
        <x:v>Use the lookup filename or lookup definition name in inputlookup; do not put a filesystem path in the dashboard search.</x:v>
      </x:c>
      <x:c r="C10" s="24"/>
      <x:c r="D10" s="24"/>
      <x:c r="E10" s="24"/>
      <x:c r="F10" s="24"/>
      <x:c r="G10" s="24"/>
      <x:c r="H10" s="24"/>
    </x:row>
    <x:row r="11">
      <x:c r="A11" s="24"/>
      <x:c r="B11" s="24"/>
      <x:c r="C11" s="24"/>
      <x:c r="D11" s="24"/>
      <x:c r="E11" s="24"/>
      <x:c r="F11" s="24"/>
      <x:c r="G11" s="24"/>
      <x:c r="H11" s="24"/>
    </x:row>
    <x:row r="12">
      <x:c r="A12" s="197" t="str">
        <x:v>CSV column</x:v>
      </x:c>
      <x:c r="B12" s="197" t="str">
        <x:v>Dashboard Studio use</x:v>
      </x:c>
      <x:c r="C12" s="24"/>
      <x:c r="D12" s="24"/>
      <x:c r="E12" s="24"/>
      <x:c r="F12" s="24"/>
      <x:c r="G12" s="24"/>
      <x:c r="H12" s="24"/>
    </x:row>
    <x:row r="13">
      <x:c r="A13" s="24" t="str">
        <x:v>record_type</x:v>
      </x:c>
      <x:c r="B13" s="24" t="str">
        <x:v>Filter dropdown source rows to "LOCATION"</x:v>
      </x:c>
      <x:c r="C13" s="24"/>
      <x:c r="D13" s="24"/>
      <x:c r="E13" s="24"/>
      <x:c r="F13" s="24"/>
      <x:c r="G13" s="24"/>
      <x:c r="H13" s="24"/>
    </x:row>
    <x:row r="14">
      <x:c r="A14" s="24" t="str">
        <x:v>status</x:v>
      </x:c>
      <x:c r="B14" s="24" t="str">
        <x:v>Filter dropdown source rows to "OK"</x:v>
      </x:c>
      <x:c r="C14" s="24"/>
      <x:c r="D14" s="24"/>
      <x:c r="E14" s="24"/>
      <x:c r="F14" s="24"/>
      <x:c r="G14" s="24"/>
      <x:c r="H14" s="24"/>
    </x:row>
    <x:row r="15">
      <x:c r="A15" s="24" t="str">
        <x:v>noc_id</x:v>
      </x:c>
      <x:c r="B15" s="24" t="str">
        <x:v>Parent dropdown token value and child dropdown filter</x:v>
      </x:c>
      <x:c r="C15" s="24"/>
      <x:c r="D15" s="24"/>
      <x:c r="E15" s="24"/>
      <x:c r="F15" s="24"/>
      <x:c r="G15" s="24"/>
      <x:c r="H15" s="24"/>
    </x:row>
    <x:row r="16">
      <x:c r="A16" s="24" t="str">
        <x:v>noc_label</x:v>
      </x:c>
      <x:c r="B16" s="24" t="str">
        <x:v>Friendly label shown in the NOC dropdown</x:v>
      </x:c>
      <x:c r="C16" s="24"/>
      <x:c r="D16" s="24"/>
      <x:c r="E16" s="24"/>
      <x:c r="F16" s="24"/>
      <x:c r="G16" s="24"/>
      <x:c r="H16" s="24"/>
    </x:row>
    <x:row r="17">
      <x:c r="A17" s="24" t="str">
        <x:v>location_id</x:v>
      </x:c>
      <x:c r="B17" s="24" t="str">
        <x:v>Stable location identifier / troubleshooting field</x:v>
      </x:c>
      <x:c r="C17" s="24"/>
      <x:c r="D17" s="24"/>
      <x:c r="E17" s="24"/>
      <x:c r="F17" s="24"/>
      <x:c r="G17" s="24"/>
      <x:c r="H17" s="24"/>
    </x:row>
    <x:row r="18">
      <x:c r="A18" s="24" t="str">
        <x:v>scope_label</x:v>
      </x:c>
      <x:c r="B18" s="24" t="str">
        <x:v>Friendly label shown in the Location dropdown</x:v>
      </x:c>
      <x:c r="C18" s="24"/>
      <x:c r="D18" s="24"/>
      <x:c r="E18" s="24"/>
      <x:c r="F18" s="24"/>
      <x:c r="G18" s="24"/>
      <x:c r="H18" s="24"/>
    </x:row>
    <x:row r="19">
      <x:c r="A19" s="24" t="str">
        <x:v>scope_value</x:v>
      </x:c>
      <x:c r="B19" s="24" t="str">
        <x:v>Value assigned to the $scope$ token</x:v>
      </x:c>
      <x:c r="C19" s="24"/>
      <x:c r="D19" s="24"/>
      <x:c r="E19" s="24"/>
      <x:c r="F19" s="24"/>
      <x:c r="G19" s="24"/>
      <x:c r="H19" s="24"/>
    </x:row>
    <x:row r="20">
      <x:c r="A20" s="24" t="str">
        <x:v>scope_sort</x:v>
      </x:c>
      <x:c r="B20" s="24" t="str">
        <x:v>Location ordering inside a NOC</x:v>
      </x:c>
      <x:c r="C20" s="24"/>
      <x:c r="D20" s="24"/>
      <x:c r="E20" s="24"/>
      <x:c r="F20" s="24"/>
      <x:c r="G20" s="24"/>
      <x:c r="H20" s="24"/>
    </x:row>
    <x:row r="21">
      <x:c r="A21" s="24" t="str">
        <x:v>Other columns</x:v>
      </x:c>
      <x:c r="B21" s="24" t="str">
        <x:v>Safe to keep; the dashboard ignores them unless a search uses them</x:v>
      </x:c>
      <x:c r="C21" s="24"/>
      <x:c r="D21" s="24"/>
      <x:c r="E21" s="24"/>
      <x:c r="F21" s="24"/>
      <x:c r="G21" s="24"/>
      <x:c r="H21" s="24"/>
    </x:row>
    <x:row r="22">
      <x:c r="A22" s="24"/>
      <x:c r="B22" s="24"/>
      <x:c r="C22" s="24"/>
      <x:c r="D22" s="24"/>
      <x:c r="E22" s="24"/>
      <x:c r="F22" s="24"/>
      <x:c r="G22" s="24"/>
      <x:c r="H22" s="24"/>
    </x:row>
    <x:row r="23">
      <x:c r="A23" s="197" t="str">
        <x:v>Component</x:v>
      </x:c>
      <x:c r="B23" s="197" t="str">
        <x:v>Copy / Paste</x:v>
      </x:c>
      <x:c r="C23" s="24"/>
      <x:c r="D23" s="24"/>
      <x:c r="E23" s="24"/>
      <x:c r="F23" s="24"/>
      <x:c r="G23" s="24"/>
      <x:c r="H23" s="24"/>
    </x:row>
    <x:row r="24" ht="95" customHeight="1">
      <x:c r="A24" s="24" t="str">
        <x:v>NOC lookup SPL</x:v>
      </x:c>
      <x:c r="B24" s="194" t="str">
        <x:v>| inputlookup network_dashboard_scope.csv
| search record_type="LOCATION" status="OK"
| stats first(noc_label) as noc_label by noc_id
| sort 0 noc_label
| table noc_label noc_id</x:v>
      </x:c>
      <x:c r="C24" s="24"/>
      <x:c r="D24" s="24"/>
      <x:c r="E24" s="24"/>
      <x:c r="F24" s="24"/>
      <x:c r="G24" s="24"/>
      <x:c r="H24" s="24"/>
    </x:row>
    <x:row r="25" ht="95" customHeight="1">
      <x:c r="A25" s="24" t="str">
        <x:v>Location lookup SPL</x:v>
      </x:c>
      <x:c r="B25" s="194" t="str">
        <x:v>| inputlookup network_dashboard_scope.csv
| search record_type="LOCATION" status="OK" noc_id="$noc$"
| sort 0 scope_sort scope_label
| table scope_label scope_value location_id</x:v>
      </x:c>
      <x:c r="C25" s="24"/>
      <x:c r="D25" s="24"/>
      <x:c r="E25" s="24"/>
      <x:c r="F25" s="24"/>
      <x:c r="G25" s="24"/>
      <x:c r="H25" s="24"/>
    </x:row>
    <x:row r="26" ht="95" customHeight="1">
      <x:c r="A26" s="24" t="str">
        <x:v>Scope test SPL</x:v>
      </x:c>
      <x:c r="B26" s="194" t="str">
        <x:v>index="network_eo" sourcetype="cisco:ios"
$scope$
| head 100
| table _time host source sourcetype _raw
| sort - _time</x:v>
      </x:c>
      <x:c r="C26" s="24"/>
      <x:c r="D26" s="24"/>
      <x:c r="E26" s="24"/>
      <x:c r="F26" s="24"/>
      <x:c r="G26" s="24"/>
      <x:c r="H26" s="24"/>
    </x:row>
    <x:row r="27">
      <x:c r="A27" s="24"/>
      <x:c r="B27" s="194"/>
      <x:c r="C27" s="24"/>
      <x:c r="D27" s="24"/>
      <x:c r="E27" s="24"/>
      <x:c r="F27" s="24"/>
      <x:c r="G27" s="24"/>
      <x:c r="H27" s="24"/>
    </x:row>
    <x:row r="28">
      <x:c r="A28" s="197" t="str">
        <x:v>Advanced Mode object</x:v>
      </x:c>
      <x:c r="B28" s="195" t="str">
        <x:v>JSON</x:v>
      </x:c>
      <x:c r="C28" s="24"/>
      <x:c r="D28" s="24"/>
      <x:c r="E28" s="24"/>
      <x:c r="F28" s="24"/>
      <x:c r="G28" s="24"/>
      <x:c r="H28" s="24"/>
    </x:row>
    <x:row r="29" ht="260" customHeight="1">
      <x:c r="A29" s="24" t="str">
        <x:v>inputs</x:v>
      </x:c>
      <x:c r="B29" s="194" t="str">
        <x:v>{
  "input_global_time": {
    "type": "input.timerange",
    "title": "Time Range",
    "options": {
      "token": "global_time",
      "defaultValue": "-24h@h,now"
    }
  },
  "input_noc": {
    "type": "input.dropdown",
    "title": "NOC / Main Location",
    "dataSources": {
      "primary": "ds_noc_lookup"
    },
    "context": {
      "formattedConfig": {
        "number": {
          "prefix": ""
        }
      },
      "label": "&gt;primary | seriesByName(\"noc_label\") | renameSeries(\"label\") | formatByType(formattedConfig)",
      "value": "&gt;primary | seriesByName(\"noc_id\") | renameSeries(\"value\") | formatByType(formattedConfig)"
    },
    "options": {
      "items": "&gt;frame(label, value) | objects()",
      "token": "noc",
      "hideWhenNoData": false
    }
  },
  "input_location": {
    "type": "input.dropdown",
    "title": "Managed Site / Location",
    "dataSources": {
      "primary": "ds_location_lookup"
    },
    "context": {
      "formattedConfig": {
        "number": {
          "prefix": ""
        }
      },
      "label": "&gt;primary | seriesByName(\"scope_label\") | renameSeries(\"label\") | formatByType(formattedConfig)",
      "value": "&gt;primary | seriesByName(\"scope_value\") | renameSeries(\"value\") | formatByType(formattedConfig)"
    },
    "options": {
      "items": "&gt;frame(label, value) | objects()",
      "token": "scope",
      "hideWhenNoData": false
    }
  }
}</x:v>
      </x:c>
      <x:c r="C29" s="24"/>
      <x:c r="D29" s="24"/>
      <x:c r="E29" s="24"/>
      <x:c r="F29" s="24"/>
      <x:c r="G29" s="24"/>
      <x:c r="H29" s="24"/>
    </x:row>
    <x:row r="30" ht="260" customHeight="1">
      <x:c r="A30" s="24" t="str">
        <x:v>dataSources</x:v>
      </x:c>
      <x:c r="B30" s="194" t="str">
        <x:v>{
  "ds_noc_lookup": {
    "type": "ds.search",
    "name": "NOC choices from lookup",
    "options": {
      "query": "| inputlookup network_dashboard_scope.csv\n| search record_type=\"LOCATION\" status=\"OK\"\n| stats first(noc_label) as noc_label by noc_id\n| sort 0 noc_label\n| table noc_label noc_id"
    }
  },
  "ds_location_lookup": {
    "type": "ds.search",
    "name": "Managed location choices for selected NOC",
    "options": {
      "query": "| inputlookup network_dashboard_scope.csv\n| search record_type=\"LOCATION\" status=\"OK\" noc_id=\"$noc$\"\n| sort 0 scope_sort scope_label\n| table scope_label scope_value location_id"
    }
  },
  "ds_scope_test": {
    "type": "ds.search",
    "name": "Scope test",
    "options": {
      "query": "index=\"network_eo\" sourcetype=\"cisco:ios\"\n$scope$\n| head 100\n| table _time host source sourcetype _raw\n| sort - _time",
      "queryParameters": {
        "earliest": "$global_time.earliest$",
        "latest": "$global_time.latest$"
      }
    }
  }
}</x:v>
      </x:c>
      <x:c r="C30" s="24"/>
      <x:c r="D30" s="24"/>
      <x:c r="E30" s="24"/>
      <x:c r="F30" s="24"/>
      <x:c r="G30" s="24"/>
      <x:c r="H30" s="24"/>
    </x:row>
    <x:row r="31" ht="260" customHeight="1">
      <x:c r="A31" s="24" t="str">
        <x:v>layout.globalInputs</x:v>
      </x:c>
      <x:c r="B31" s="194" t="str">
        <x:v>[
  "input_global_time",
  "input_noc",
  "input_location"
]</x:v>
      </x:c>
      <x:c r="C31" s="24"/>
      <x:c r="D31" s="24"/>
      <x:c r="E31" s="24"/>
      <x:c r="F31" s="24"/>
      <x:c r="G31" s="24"/>
      <x:c r="H31" s="24"/>
    </x:row>
    <x:row r="32">
      <x:c r="A32" s="24"/>
      <x:c r="B32" s="24"/>
      <x:c r="C32" s="24"/>
      <x:c r="D32" s="24"/>
      <x:c r="E32" s="24"/>
      <x:c r="F32" s="24"/>
      <x:c r="G32" s="24"/>
      <x:c r="H32" s="24"/>
    </x:row>
    <x:row r="33">
      <x:c r="A33" s="197" t="str">
        <x:v>Full test Dashboard Studio definition</x:v>
      </x:c>
      <x:c r="B33" s="197"/>
      <x:c r="C33" s="197"/>
      <x:c r="D33" s="197"/>
      <x:c r="E33" s="197"/>
      <x:c r="F33" s="197"/>
      <x:c r="G33" s="197"/>
      <x:c r="H33" s="197"/>
    </x:row>
    <x:row r="34" ht="520" customHeight="1">
      <x:c r="A34" s="194" t="str">
        <x:v>{
  "title": "Network Dashboard - Lookup Scope Test",
  "description": "Dashboard Studio test definition for CSV-driven NOC -&gt; Location -&gt; scope cascading inputs.",
  "inputs": {
    "input_global_time": {
      "type": "input.timerange",
      "title": "Time Range",
      "options": {
        "token": "global_time",
        "defaultValue": "-24h@h,now"
      }
    },
    "input_noc": {
      "type": "input.dropdown",
      "title": "NOC / Main Location",
      "dataSources": {
        "primary": "ds_noc_lookup"
      },
      "context": {
        "formattedConfig": {
          "number": {
            "prefix": ""
          }
        },
        "label": "&gt;primary | seriesByName(\"noc_label\") | renameSeries(\"label\") | formatByType(formattedConfig)",
        "value": "&gt;primary | seriesByName(\"noc_id\") | renameSeries(\"value\") | formatByType(formattedConfig)"
      },
      "options": {
        "items": "&gt;frame(label, value) | objects()",
        "token": "noc",
        "hideWhenNoData": false
      }
    },
    "input_location": {
      "type": "input.dropdown",
      "title": "Managed Site / Location",
      "dataSources": {
        "primary": "ds_location_lookup"
      },
      "context": {
        "formattedConfig": {
          "number": {
            "prefix": ""
          }
        },
        "label": "&gt;primary | seriesByName(\"scope_label\") | renameSeries(\"label\") | formatByType(formattedConfig)",
        "value": "&gt;primary | seriesByName(\"scope_value\") | renameSeries(\"value\") | formatByType(formattedConfig)"
      },
      "options": {
        "items": "&gt;frame(label, value) | objects()",
        "token": "scope",
        "hideWhenNoData": false
      }
    }
  },
  "dataSources": {
    "ds_noc_lookup": {
      "type": "ds.search",
      "name": "NOC choices from lookup",
      "options": {
        "query": "| inputlookup network_dashboard_scope.csv\n| search record_type=\"LOCATION\" status=\"OK\"\n| stats first(noc_label) as noc_label by noc_id\n| sort 0 noc_label\n| table noc_label noc_id"
      }
    },
    "ds_location_lookup": {
      "type": "ds.search",
      "name": "Managed location choices for selected NOC",
      "options": {
        "query": "| inputlookup network_dashboard_scope.csv\n| search record_type=\"LOCATION\" status=\"OK\" noc_id=\"$noc$\"\n| sort 0 scope_sort scope_label\n| table scope_label scope_value location_id"
      }
    },
    "ds_scope_test": {
      "type": "ds.search",
      "name": "Scope test",
      "options": {
        "query": "index=\"network_eo\" sourcetype=\"cisco:ios\"\n$scope$\n| head 100\n| table _time host source sourcetype _raw\n| sort - _time",
        "queryParameters": {
          "earliest": "$global_time.earliest$",
          "latest": "$global_time.latest$"
        }
      }
    }
  },
  "defaults": {
    "dataSources": {
      "ds.search": {
        "options": {
          "queryParameters": {
            "earliest": "$global_time.earliest$",
            "latest": "$global_time.latest$"
          }
        }
      }
    }
  },
  "visualizations": {
    "viz_scope_test": {
      "type": "splunk.table",
      "title": "Selected Location Scope Test",
      "description": "Confirms that $scope$ expands to the selected Location's scope_value.",
      "dataSources": {
        "primary": "ds_scope_test"
      }
    }
  },
  "layout": {
    "globalInputs": [
      "input_global_time",
      "input_noc",
      "input_location"
    ],
    "layoutDefinitions": {
      "layout_1": {
        "type": "grid",
        "structure": [
          {
            "item": "viz_scope_test",
            "type": "block",
            "position": {
              "x": 0,
              "y": 0,
              "w": 1200,
              "h": 420
            }
          }
        ]
      }
    },
    "tabs": {
      "items": [
        {
          "label": "Scope Test",
          "layoutId": "layout_1"
        }
      ]
    }
  }
}</x:v>
      </x:c>
      <x:c r="B34" s="194"/>
      <x:c r="C34" s="194"/>
      <x:c r="D34" s="194"/>
      <x:c r="E34" s="194"/>
      <x:c r="F34" s="194"/>
      <x:c r="G34" s="194"/>
      <x:c r="H34" s="194"/>
    </x:row>
    <x:row r="35">
      <x:c r="A35" s="24"/>
      <x:c r="B35" s="24"/>
      <x:c r="C35" s="24"/>
      <x:c r="D35" s="24"/>
      <x:c r="E35" s="24"/>
      <x:c r="F35" s="24"/>
      <x:c r="G35" s="24"/>
      <x:c r="H35" s="24"/>
    </x:row>
    <x:row r="36" ht="52" customHeight="1">
      <x:c r="A36" s="186" t="str">
        <x:v>Workflow: update Excel tables -&gt; export/replace network_dashboard_scope.csv in Splunk -&gt; the NOC dropdown rereads the lookup -&gt; the Location dropdown filters by $noc$ -&gt; selecting a Location assigns its scope_value directly to $scope$.</x:v>
      </x:c>
      <x:c r="B36" s="186"/>
      <x:c r="C36" s="186"/>
      <x:c r="D36" s="186"/>
      <x:c r="E36" s="186"/>
      <x:c r="F36" s="186"/>
      <x:c r="G36" s="186"/>
      <x:c r="H36" s="186"/>
    </x:row>
    <x:row r="37">
      <x:c r="A37" s="24"/>
      <x:c r="B37" s="24"/>
      <x:c r="C37" s="24"/>
      <x:c r="D37" s="24"/>
      <x:c r="E37" s="24"/>
      <x:c r="F37" s="24"/>
      <x:c r="G37" s="24"/>
      <x:c r="H37" s="24"/>
    </x:row>
    <x:row r="38">
      <x:c r="A38" s="24"/>
      <x:c r="B38" s="24"/>
      <x:c r="C38" s="24"/>
      <x:c r="D38" s="24"/>
      <x:c r="E38" s="24"/>
      <x:c r="F38" s="24"/>
      <x:c r="G38" s="24"/>
      <x:c r="H38" s="24"/>
    </x:row>
    <x:row r="39">
      <x:c r="A39" s="24"/>
      <x:c r="B39" s="24"/>
      <x:c r="C39" s="24"/>
      <x:c r="D39" s="24"/>
      <x:c r="E39" s="24"/>
      <x:c r="F39" s="24"/>
      <x:c r="G39" s="24"/>
      <x:c r="H39" s="24"/>
    </x:row>
    <x:row r="40">
      <x:c r="A40" s="24"/>
      <x:c r="B40" s="24"/>
      <x:c r="C40" s="24"/>
      <x:c r="D40" s="24"/>
      <x:c r="E40" s="24"/>
      <x:c r="F40" s="24"/>
      <x:c r="G40" s="24"/>
      <x:c r="H40" s="24"/>
    </x:row>
  </x:sheetData>
  <x:mergeCells>
    <x:mergeCell ref="A1:H1"/>
    <x:mergeCell ref="A2:H2"/>
    <x:mergeCell ref="A33:H33"/>
    <x:mergeCell ref="A34:H34"/>
    <x:mergeCell ref="A36:H36"/>
  </x:mergeCells>
  <x:pageMargins left="0.7" right="0.7" top="0.75" bottom="0.75" header="0.3" footer="0.3"/>
</x:worksheet>
</file>