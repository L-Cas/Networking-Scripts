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c34bd246a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3132edfa16d42cb"/>
    <x:sheet xmlns:r="http://schemas.openxmlformats.org/officeDocument/2006/relationships" name="Dashboard Config" sheetId="2" r:id="R7bf06673464e45f9"/>
    <x:sheet xmlns:r="http://schemas.openxmlformats.org/officeDocument/2006/relationships" name="Sites" sheetId="3" r:id="R929a2a6972b543ec"/>
    <x:sheet xmlns:r="http://schemas.openxmlformats.org/officeDocument/2006/relationships" name="Base Searches" sheetId="4" r:id="Rcc2de550c9704b15"/>
    <x:sheet xmlns:r="http://schemas.openxmlformats.org/officeDocument/2006/relationships" name="Searches" sheetId="5" r:id="Ree38c4bcce7746d3"/>
    <x:sheet xmlns:r="http://schemas.openxmlformats.org/officeDocument/2006/relationships" name="Dashboard Pack" sheetId="6" r:id="R807d304a6221487f"/>
    <x:sheet xmlns:r="http://schemas.openxmlformats.org/officeDocument/2006/relationships" name="Generator" sheetId="7" r:id="Rb1a2cb5e489d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6666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i/>
      </x:font>
      <x:fill>
        <x:patternFill patternType="solid">
          <x:bgColor rgb="FFEAF3F8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a9bd78cbc546c7" /><Relationship Type="http://schemas.openxmlformats.org/officeDocument/2006/relationships/theme" Target="/xl/theme/theme1.xml" Id="R0c0ea0550daf4957" /><Relationship Type="http://schemas.openxmlformats.org/officeDocument/2006/relationships/sharedStrings" Target="/xl/sharedStrings.xml" Id="Ra87a1d9802d743c9" /><Relationship Type="http://schemas.openxmlformats.org/officeDocument/2006/relationships/worksheet" Target="/xl/worksheets/sheet1.xml" Id="R03132edfa16d42cb" /><Relationship Type="http://schemas.openxmlformats.org/officeDocument/2006/relationships/worksheet" Target="/xl/worksheets/sheet2.xml" Id="R7bf06673464e45f9" /><Relationship Type="http://schemas.openxmlformats.org/officeDocument/2006/relationships/worksheet" Target="/xl/worksheets/sheet3.xml" Id="R929a2a6972b543ec" /><Relationship Type="http://schemas.openxmlformats.org/officeDocument/2006/relationships/worksheet" Target="/xl/worksheets/sheet4.xml" Id="Rcc2de550c9704b15" /><Relationship Type="http://schemas.openxmlformats.org/officeDocument/2006/relationships/worksheet" Target="/xl/worksheets/sheet5.xml" Id="Ree38c4bcce7746d3" /><Relationship Type="http://schemas.openxmlformats.org/officeDocument/2006/relationships/worksheet" Target="/xl/worksheets/sheet6.xml" Id="R807d304a6221487f" /><Relationship Type="http://schemas.openxmlformats.org/officeDocument/2006/relationships/worksheet" Target="/xl/worksheets/sheet7.xml" Id="Rb1a2cb5e489d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34" hidden="0" customWidth="1"/>
    <x:col min="4" max="4" width="6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Splunk Dashboard Config Builder v3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Built for a shared Cisco Splunk environment with many sites. Sites, base searches, and chain searches are independent modules: adding a site does not change a search, and adding a search does not require copying it for every site.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5">
      <x:c r="A5" s="16" t="str">
        <x:v>Everyday workflow</x:v>
      </x:c>
      <x:c r="B5" s="16"/>
      <x:c r="C5" s="16"/>
      <x:c r="D5" s="16"/>
      <x:c r="E5" s="16"/>
      <x:c r="F5" s="16"/>
      <x:c r="G5" s="16"/>
      <x:c r="H5" s="16"/>
    </x:row>
    <x:row r="6">
      <x:c r="A6" s="21" t="str">
        <x:v>1</x:v>
      </x:c>
      <x:c r="B6" s="24" t="str">
        <x:v>Add / edit a site</x:v>
      </x:c>
      <x:c r="C6" s="24" t="str">
        <x:v>Sites</x:v>
      </x:c>
      <x:c r="D6" s="24" t="str">
        <x:v>Enter the stable Site ID, display name, hostname patterns and IP patterns. Auto Scope and token value are generated.</x:v>
      </x:c>
    </x:row>
    <x:row r="7">
      <x:c r="A7" s="21" t="str">
        <x:v>2</x:v>
      </x:c>
      <x:c r="B7" s="24" t="str">
        <x:v>Add / edit a base family</x:v>
      </x:c>
      <x:c r="C7" s="24" t="str">
        <x:v>Base Searches</x:v>
      </x:c>
      <x:c r="D7" s="24" t="str">
        <x:v>Only needed when a new event family does not fit an existing base. Bases stay narrow: Interface, L2, L3/Routing, Physical, Access, Operations.</x:v>
      </x:c>
    </x:row>
    <x:row r="8">
      <x:c r="A8" s="21" t="str">
        <x:v>3</x:v>
      </x:c>
      <x:c r="B8" s="24" t="str">
        <x:v>Add a search</x:v>
      </x:c>
      <x:c r="C8" s="24" t="str">
        <x:v>Searches</x:v>
      </x:c>
      <x:c r="D8" s="24" t="str">
        <x:v>Choose Parent Base. Optionally choose Parent Search when you want a second chain level for shared parsing/extraction.</x:v>
      </x:c>
    </x:row>
    <x:row r="9">
      <x:c r="A9" s="21" t="str">
        <x:v>4</x:v>
      </x:c>
      <x:c r="B9" s="24" t="str">
        <x:v>Configure Dashboard Studio</x:v>
      </x:c>
      <x:c r="C9" s="24" t="str">
        <x:v>Dashboard Pack</x:v>
      </x:c>
      <x:c r="D9" s="24" t="str">
        <x:v>Copy site token label/value pairs, base data sources, chain data sources, and global time token information.</x:v>
      </x:c>
    </x:row>
    <x:row r="10">
      <x:c r="A10" s="21" t="str">
        <x:v>5</x:v>
      </x:c>
      <x:c r="B10" s="24" t="str">
        <x:v>Troubleshoot / validate</x:v>
      </x:c>
      <x:c r="C10" s="24" t="str">
        <x:v>Generator</x:v>
      </x:c>
      <x:c r="D10" s="24" t="str">
        <x:v>Pick one site + search and get the dashboard base, chain, and a full standalone search for Search &amp; Reporting.</x:v>
      </x:c>
    </x:row>
    <x:row r="12">
      <x:c r="A12" s="16" t="str">
        <x:v>Architecture we are locking in</x:v>
      </x:c>
      <x:c r="B12" s="16"/>
      <x:c r="C12" s="16"/>
      <x:c r="D12" s="16"/>
      <x:c r="E12" s="16"/>
      <x:c r="F12" s="16"/>
      <x:c r="G12" s="16"/>
      <x:c r="H12" s="16"/>
    </x:row>
    <x:row r="13">
      <x:c r="A13" s="24" t="str">
        <x:v>Dashboard inputs</x:v>
      </x:c>
      <x:c r="B13" s="24" t="str">
        <x:v>Site token + Global time</x:v>
      </x:c>
      <x:c r="C13" s="24" t="str">
        <x:v>Site is a token; time is controlled by the dashboard time picker.</x:v>
      </x:c>
    </x:row>
    <x:row r="14">
      <x:c r="A14" s="24" t="str">
        <x:v>↓</x:v>
      </x:c>
      <x:c r="B14" s="24" t="str">
        <x:v>↓</x:v>
      </x:c>
      <x:c r="C14" s="24" t="str">
        <x:v>↓</x:v>
      </x:c>
    </x:row>
    <x:row r="15">
      <x:c r="A15" s="24" t="str">
        <x:v>Base families</x:v>
      </x:c>
      <x:c r="B15" s="24" t="str">
        <x:v>Interface / L2 / L3-Routing / Physical / Access / Operations</x:v>
      </x:c>
      <x:c r="C15" s="24" t="str">
        <x:v>The site filter and event-family filter happen here, before chain searches.</x:v>
      </x:c>
    </x:row>
    <x:row r="16">
      <x:c r="A16" s="24" t="str">
        <x:v>↓</x:v>
      </x:c>
      <x:c r="B16" s="24" t="str">
        <x:v>↓</x:v>
      </x:c>
      <x:c r="C16" s="24" t="str">
        <x:v>↓</x:v>
      </x:c>
    </x:row>
    <x:row r="17">
      <x:c r="A17" s="24" t="str">
        <x:v>Optional helper chain</x:v>
      </x:c>
      <x:c r="B17" s="24" t="str">
        <x:v>Example: Interface Parsed Fields</x:v>
      </x:c>
      <x:c r="C17" s="24" t="str">
        <x:v>Use only when several child searches can reuse the same rex / preparation work.</x:v>
      </x:c>
    </x:row>
    <x:row r="18">
      <x:c r="A18" s="24" t="str">
        <x:v>↓</x:v>
      </x:c>
      <x:c r="B18" s="24" t="str">
        <x:v>↓</x:v>
      </x:c>
      <x:c r="C18" s="24" t="str">
        <x:v>↓</x:v>
      </x:c>
    </x:row>
    <x:row r="19">
      <x:c r="A19" s="24" t="str">
        <x:v>Panel chains</x:v>
      </x:c>
      <x:c r="B19" s="24" t="str">
        <x:v>Flaps / MAC movement / OSPF / Fiber / Auth / etc.</x:v>
      </x:c>
      <x:c r="C19" s="24" t="str">
        <x:v>Specific panel logic stays small and modular.</x:v>
      </x:c>
    </x:row>
    <x:row r="21">
      <x:c r="A21" s="16" t="str">
        <x:v>Scale / performance guardrails</x:v>
      </x:c>
      <x:c r="B21" s="16"/>
      <x:c r="C21" s="16"/>
      <x:c r="D21" s="16"/>
      <x:c r="E21" s="16"/>
      <x:c r="F21" s="16"/>
      <x:c r="G21" s="16"/>
      <x:c r="H21" s="16"/>
    </x:row>
    <x:row r="22">
      <x:c r="A22" s="27" t="str">
        <x:v>Base raw-event retention</x:v>
      </x:c>
      <x:c r="B22" s="24" t="str">
        <x:v>Splunk documents a 500,000-event retention limit for non-transforming base searches. A chain silently ignores events beyond that default limit. Generator includes a Base Volume Check so you can test representative sites/time windows before deployment.</x:v>
      </x:c>
    </x:row>
    <x:row r="23">
      <x:c r="A23" s="27" t="str">
        <x:v>Site filtering</x:v>
      </x:c>
      <x:c r="B23" s="24" t="str">
        <x:v>Put $site_scope$ in every raw-event base. Do not retrieve all 30 sites and filter the site only in a child chain.</x:v>
      </x:c>
    </x:row>
    <x:row r="24">
      <x:c r="A24" s="27" t="str">
        <x:v>Time</x:v>
      </x:c>
      <x:c r="B24" s="24" t="str">
        <x:v>Use the Dashboard Studio global time input for dashboard data sources. Generator keeps a fixed override only for testing/debugging.</x:v>
      </x:c>
    </x:row>
    <x:row r="25">
      <x:c r="A25" s="27" t="str">
        <x:v>Fields</x:v>
      </x:c>
      <x:c r="B25" s="24" t="str">
        <x:v>Keep only fields required by children. _raw is retained in starter bases because many Cisco fields are parsed with rex downstream.</x:v>
      </x:c>
    </x:row>
    <x:row r="26">
      <x:c r="A26" s="27" t="str">
        <x:v>IP scale</x:v>
      </x:c>
      <x:c r="B26" s="24" t="str">
        <x:v>Prefer safe site-level hostname/IP prefixes or ranges when possible instead of listing 50–80 individual switch IPs. Sites includes 16 IP slots plus Extra Raw Scope for exceptions.</x:v>
      </x:c>
    </x:row>
    <x:row r="27">
      <x:c r="A27" s="27" t="str">
        <x:v>All Sites</x:v>
      </x:c>
      <x:c r="B27" s="24" t="str">
        <x:v>Use all-sites primarily for transforming/aggregated overview searches. Avoid broad raw-event bases across every site for long time windows.</x:v>
      </x:c>
    </x:row>
    <x:row r="28">
      <x:c r="A28" s="27" t="str">
        <x:v>Chain depth</x:v>
      </x:c>
      <x:c r="B28" s="24" t="str">
        <x:v>Workbook supports Base → Search and Base → Helper Search → Child Search. Keep the hierarchy shallow and intentional.</x:v>
      </x:c>
    </x:row>
    <x:row r="30">
      <x:c r="A30" s="16" t="str">
        <x:v>Splunk documentation used for this design</x:v>
      </x:c>
      <x:c r="B30" s="16"/>
      <x:c r="C30" s="16"/>
      <x:c r="D30" s="16"/>
      <x:c r="E30" s="16"/>
      <x:c r="F30" s="16"/>
      <x:c r="G30" s="16"/>
      <x:c r="H30" s="16"/>
    </x:row>
    <x:row r="31">
      <x:c r="A31" s="20" t="str">
        <x:v>Chain searches / event retention</x:v>
      </x:c>
      <x:c r="B31" s="24" t="str">
        <x:v>https://help.splunk.com/en/splunk-enterprise/create-dashboards-and-reports/dashboard-studio/10.4/use-data-sources/chain-searches-together-with-a-base-search-and-chain-searches</x:v>
      </x:c>
    </x:row>
    <x:row r="32">
      <x:c r="A32" s="20" t="str">
        <x:v>Dashboard inputs / time range</x:v>
      </x:c>
      <x:c r="B32" s="24" t="str">
        <x:v>https://help.splunk.com/en/splunk-cloud-platform/create-dashboards-and-reports/dashboard-studio/10.3.2512/make-dashboards-dynamic-and-interactive/inputs</x:v>
      </x:c>
    </x:row>
    <x:row r="33">
      <x:c r="A33" s="20" t="str">
        <x:v>Dynamic input example</x:v>
      </x:c>
      <x:c r="B33" s="24" t="str">
        <x:v>https://help.splunk.com/en/splunk-enterprise/create-dashboards-and-reports/dashboard-studio/9.4/add-dashboard-interactions/use-inputs-to-make-dashboards-dynamic</x:v>
      </x:c>
    </x:row>
  </x:sheetData>
  <x:mergeCells>
    <x:mergeCell ref="A1:H1"/>
    <x:mergeCell ref="A2:H3"/>
    <x:mergeCell ref="A5:H5"/>
    <x:mergeCell ref="A12:H12"/>
    <x:mergeCell ref="A21:H21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" hidden="0" customWidth="1"/>
    <x:col min="4" max="4" width="28" hidden="0" customWidth="1"/>
    <x:col min="5" max="5" width="30" hidden="0" customWidth="1"/>
    <x:col min="6" max="6" width="50" hidden="0" customWidth="1"/>
  </x:cols>
  <x:sheetData>
    <x:row r="1">
      <x:c r="A1" s="4" t="str">
        <x:v>Dashboard Configuration</x:v>
      </x:c>
      <x:c r="B1" s="4"/>
      <x:c r="C1" s="4"/>
      <x:c r="D1" s="4"/>
      <x:c r="E1" s="4"/>
      <x:c r="F1" s="4"/>
    </x:row>
    <x:row r="2">
      <x:c r="A2" s="10" t="str">
        <x:v>Global settings. Dashboard searches use the site token plus Dashboard Studio's time input. Generator can add a fixed time only for standalone troubleshooting.</x:v>
      </x:c>
      <x:c r="B2" s="10"/>
      <x:c r="C2" s="10"/>
      <x:c r="D2" s="10"/>
      <x:c r="E2" s="10"/>
      <x:c r="F2" s="10"/>
    </x:row>
    <x:row r="4">
      <x:c r="A4" s="34" t="str">
        <x:v>Setting</x:v>
      </x:c>
      <x:c r="B4" s="34" t="str">
        <x:v>Value</x:v>
      </x:c>
      <x:c r="D4" s="34" t="str">
        <x:v>Generated dashboard time binding</x:v>
      </x:c>
      <x:c r="E4" s="34" t="str">
        <x:v>Value</x:v>
      </x:c>
      <x:c r="F4" s="34" t="str">
        <x:v>Notes</x:v>
      </x:c>
    </x:row>
    <x:row r="5">
      <x:c r="A5" t="str">
        <x:v>Base search</x:v>
      </x:c>
      <x:c r="B5" s="42" t="str">
        <x:v>index="network_eo" sourcetype="cisco:ios"</x:v>
      </x:c>
      <x:c r="D5" t="str">
        <x:v>Earliest token</x:v>
      </x:c>
      <x:c r="E5" s="48" t="str">
        <x:f>"$"&amp;$B$9&amp;".earliest$"</x:f>
        <x:v>$global_time.earliest$</x:v>
      </x:c>
      <x:c r="F5" s="10" t="str">
        <x:v>Use as the data source queryParameters earliest value.</x:v>
      </x:c>
    </x:row>
    <x:row r="6">
      <x:c r="A6" t="str">
        <x:v>Hostname field</x:v>
      </x:c>
      <x:c r="B6" s="42" t="str">
        <x:v>host</x:v>
      </x:c>
      <x:c r="D6" t="str">
        <x:v>Latest token</x:v>
      </x:c>
      <x:c r="E6" s="48" t="str">
        <x:f>"$"&amp;$B$9&amp;".latest$"</x:f>
        <x:v>$global_time.latest$</x:v>
      </x:c>
      <x:c r="F6" s="10" t="str">
        <x:v>Use as the data source queryParameters latest value.</x:v>
      </x:c>
    </x:row>
    <x:row r="7">
      <x:c r="A7" t="str">
        <x:v>Site IP field</x:v>
      </x:c>
      <x:c r="B7" s="42" t="str">
        <x:v>host</x:v>
      </x:c>
    </x:row>
    <x:row r="8">
      <x:c r="A8" t="str">
        <x:v>Site token name</x:v>
      </x:c>
      <x:c r="B8" s="42" t="str">
        <x:v>site_scope</x:v>
      </x:c>
      <x:c r="D8" s="16" t="str">
        <x:v>Optional future tokens</x:v>
      </x:c>
      <x:c r="E8" s="16"/>
      <x:c r="F8" s="16"/>
    </x:row>
    <x:row r="9">
      <x:c r="A9" t="str">
        <x:v>Global time token name</x:v>
      </x:c>
      <x:c r="B9" s="42" t="str">
        <x:v>global_time</x:v>
      </x:c>
      <x:c r="D9" s="24" t="str">
        <x:v>Device / switch filter</x:v>
      </x:c>
      <x:c r="E9" s="24" t="str">
        <x:v>Not enabled yet</x:v>
      </x:c>
      <x:c r="F9" s="24" t="str">
        <x:v>Add later without changing Sites/Base/Search relationships.</x:v>
      </x:c>
    </x:row>
    <x:row r="10">
      <x:c r="A10" t="str">
        <x:v>Default dashboard time</x:v>
      </x:c>
      <x:c r="B10" s="42" t="str">
        <x:v>-24h@h,now</x:v>
      </x:c>
      <x:c r="D10" s="24" t="str">
        <x:v>Building / room filter</x:v>
      </x:c>
      <x:c r="E10" s="24" t="str">
        <x:v>Not enabled yet</x:v>
      </x:c>
      <x:c r="F10" s="24" t="str">
        <x:v>Good candidate for a cascading input once host naming/metadata is consistent.</x:v>
      </x:c>
    </x:row>
    <x:row r="11">
      <x:c r="A11" t="str">
        <x:v>Debug time mode</x:v>
      </x:c>
      <x:c r="B11" s="42" t="str">
        <x:v>Search UI / Dashboard</x:v>
      </x:c>
      <x:c r="D11" s="24" t="str">
        <x:v>Severity filter</x:v>
      </x:c>
      <x:c r="E11" s="24" t="str">
        <x:v>Usually chain-level</x:v>
      </x:c>
      <x:c r="F11" s="24" t="str">
        <x:v>Keep out of every base unless it materially reduces a high-volume event family.</x:v>
      </x:c>
    </x:row>
    <x:row r="12">
      <x:c r="A12" t="str">
        <x:v>Debug fixed window</x:v>
      </x:c>
      <x:c r="B12" s="42" t="str">
        <x:v>4h</x:v>
      </x:c>
    </x:row>
  </x:sheetData>
  <x:mergeCells>
    <x:mergeCell ref="A1:F1"/>
    <x:mergeCell ref="A2:F2"/>
    <x:mergeCell ref="D8:F8"/>
  </x:mergeCells>
  <x:dataValidations count="2">
    <x:dataValidation type="list" sqref="B11">
      <x:formula1>"Search UI / Dashboard,Fixed Override"</x:formula1>
    </x:dataValidation>
    <x:dataValidation type="list" sqref="B12">
      <x:formula1>"15m,30m,1h,2h,4h,8h,12h,24h,48h,3d,7d,14d,30d"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2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36" hidden="0" customWidth="1"/>
    <x:col min="30" max="30" width="70" hidden="0" customWidth="1"/>
    <x:col min="31" max="31" width="70" hidden="0" customWidth="1"/>
    <x:col min="32" max="32" width="38" hidden="0" customWidth="1"/>
  </x:cols>
  <x:sheetData>
    <x:row r="1">
      <x:c r="A1" s="52" t="str">
        <x:v>Sites — one row per site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</x:row>
    <x:row r="2" ht="36" customHeight="1">
      <x:c r="A2" s="10" t="str">
        <x:v>Normal use: type host patterns and site IP patterns only. The dashboard token value is generated automatically. Use prefixes/wildcards that safely identify the site so 50–80 switches do not require 50–80 individual entries. Extra Raw Scope is an escape hatch for unusual sites.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</x:row>
    <x:row r="4" ht="32" customHeight="1">
      <x:c r="A4" s="34" t="str">
        <x:v>Use?</x:v>
      </x:c>
      <x:c r="B4" s="34" t="str">
        <x:v>Site ID</x:v>
      </x:c>
      <x:c r="C4" s="34" t="str">
        <x:v>Display Name</x:v>
      </x:c>
      <x:c r="D4" s="34" t="str">
        <x:v>Location</x:v>
      </x:c>
      <x:c r="E4" s="34" t="str">
        <x:v>Host 1</x:v>
      </x:c>
      <x:c r="F4" s="34" t="str">
        <x:v>Host 2</x:v>
      </x:c>
      <x:c r="G4" s="34" t="str">
        <x:v>Host 3</x:v>
      </x:c>
      <x:c r="H4" s="34" t="str">
        <x:v>Host 4</x:v>
      </x:c>
      <x:c r="I4" s="34" t="str">
        <x:v>Host 5</x:v>
      </x:c>
      <x:c r="J4" s="34" t="str">
        <x:v>Host 6</x:v>
      </x:c>
      <x:c r="K4" s="34" t="str">
        <x:v>Host 7</x:v>
      </x:c>
      <x:c r="L4" s="34" t="str">
        <x:v>Host 8</x:v>
      </x:c>
      <x:c r="M4" s="34" t="str">
        <x:v>IP 1</x:v>
      </x:c>
      <x:c r="N4" s="34" t="str">
        <x:v>IP 2</x:v>
      </x:c>
      <x:c r="O4" s="34" t="str">
        <x:v>IP 3</x:v>
      </x:c>
      <x:c r="P4" s="34" t="str">
        <x:v>IP 4</x:v>
      </x:c>
      <x:c r="Q4" s="34" t="str">
        <x:v>IP 5</x:v>
      </x:c>
      <x:c r="R4" s="34" t="str">
        <x:v>IP 6</x:v>
      </x:c>
      <x:c r="S4" s="34" t="str">
        <x:v>IP 7</x:v>
      </x:c>
      <x:c r="T4" s="34" t="str">
        <x:v>IP 8</x:v>
      </x:c>
      <x:c r="U4" s="34" t="str">
        <x:v>IP 9</x:v>
      </x:c>
      <x:c r="V4" s="34" t="str">
        <x:v>IP 10</x:v>
      </x:c>
      <x:c r="W4" s="34" t="str">
        <x:v>IP 11</x:v>
      </x:c>
      <x:c r="X4" s="34" t="str">
        <x:v>IP 12</x:v>
      </x:c>
      <x:c r="Y4" s="34" t="str">
        <x:v>IP 13</x:v>
      </x:c>
      <x:c r="Z4" s="34" t="str">
        <x:v>IP 14</x:v>
      </x:c>
      <x:c r="AA4" s="34" t="str">
        <x:v>IP 15</x:v>
      </x:c>
      <x:c r="AB4" s="34" t="str">
        <x:v>IP 16</x:v>
      </x:c>
      <x:c r="AC4" s="34" t="str">
        <x:v>Extra Raw Scope</x:v>
      </x:c>
      <x:c r="AD4" s="34" t="str">
        <x:v>Auto Scope</x:v>
      </x:c>
      <x:c r="AE4" s="34" t="str">
        <x:v>Token Item Snippet</x:v>
      </x:c>
      <x:c r="AF4" s="34" t="str">
        <x:v>Notes</x:v>
      </x:c>
    </x:row>
    <x:row r="5">
      <x:c r="A5" s="42" t="str">
        <x:v>Yes</x:v>
      </x:c>
      <x:c r="B5" s="42" t="str">
        <x:v>SITE_CURRENT</x:v>
      </x:c>
      <x:c r="C5" s="42" t="str">
        <x:v>Current Draft Scope</x:v>
      </x:c>
      <x:c r="D5" s="42" t="str">
        <x:v>Imported sample</x:v>
      </x:c>
      <x:c r="E5" s="42" t="str">
        <x:v>syr*</x:v>
      </x:c>
      <x:c r="F5" s="42" t="str">
        <x:v>salep*</x:v>
      </x:c>
      <x:c r="G5" s="42"/>
      <x:c r="H5" s="42"/>
      <x:c r="I5" s="42"/>
      <x:c r="J5" s="42"/>
      <x:c r="K5" s="42"/>
      <x:c r="L5" s="42"/>
      <x:c r="M5" s="42" t="str">
        <x:v>144.219.*</x:v>
      </x:c>
      <x:c r="N5" s="42" t="str">
        <x:v>144.221.*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  <x:c r="AA5" s="42"/>
      <x:c r="AB5" s="42"/>
      <x:c r="AC5" s="42"/>
      <x:c r="AD5" s="48" t="str">
        <x:f>IF(OR($A5&lt;&gt;"Yes",$C5="",COUNTA($E5:$AC5)=0),"","("&amp;IF(E5&lt;&gt;"",'Dashboard Config'!$B$6&amp;"="""&amp;E5&amp;"""","")&amp;IF(F5&lt;&gt;"",IF(COUNTA($E5:$E5)&gt;0," OR ","")&amp;'Dashboard Config'!$B$6&amp;"="""&amp;F5&amp;"""","")&amp;IF(G5&lt;&gt;"",IF(COUNTA($E5:$F5)&gt;0," OR ","")&amp;'Dashboard Config'!$B$6&amp;"="""&amp;G5&amp;"""","")&amp;IF(H5&lt;&gt;"",IF(COUNTA($E5:$G5)&gt;0," OR ","")&amp;'Dashboard Config'!$B$6&amp;"="""&amp;H5&amp;"""","")&amp;IF(I5&lt;&gt;"",IF(COUNTA($E5:$H5)&gt;0," OR ","")&amp;'Dashboard Config'!$B$6&amp;"="""&amp;I5&amp;"""","")&amp;IF(J5&lt;&gt;"",IF(COUNTA($E5:$I5)&gt;0," OR ","")&amp;'Dashboard Config'!$B$6&amp;"="""&amp;J5&amp;"""","")&amp;IF(K5&lt;&gt;"",IF(COUNTA($E5:$J5)&gt;0," OR ","")&amp;'Dashboard Config'!$B$6&amp;"="""&amp;K5&amp;"""","")&amp;IF(L5&lt;&gt;"",IF(COUNTA($E5:$K5)&gt;0," OR ","")&amp;'Dashboard Config'!$B$6&amp;"="""&amp;L5&amp;"""","")&amp;IF(M5&lt;&gt;"",IF(COUNTA($E5:$L5)&gt;0," OR ","")&amp;'Dashboard Config'!$B$7&amp;"="""&amp;M5&amp;"""","")&amp;IF(N5&lt;&gt;"",IF(COUNTA($E5:$M5)&gt;0," OR ","")&amp;'Dashboard Config'!$B$7&amp;"="""&amp;N5&amp;"""","")&amp;IF(O5&lt;&gt;"",IF(COUNTA($E5:$N5)&gt;0," OR ","")&amp;'Dashboard Config'!$B$7&amp;"="""&amp;O5&amp;"""","")&amp;IF(P5&lt;&gt;"",IF(COUNTA($E5:$O5)&gt;0," OR ","")&amp;'Dashboard Config'!$B$7&amp;"="""&amp;P5&amp;"""","")&amp;IF(Q5&lt;&gt;"",IF(COUNTA($E5:$P5)&gt;0," OR ","")&amp;'Dashboard Config'!$B$7&amp;"="""&amp;Q5&amp;"""","")&amp;IF(R5&lt;&gt;"",IF(COUNTA($E5:$Q5)&gt;0," OR ","")&amp;'Dashboard Config'!$B$7&amp;"="""&amp;R5&amp;"""","")&amp;IF(S5&lt;&gt;"",IF(COUNTA($E5:$R5)&gt;0," OR ","")&amp;'Dashboard Config'!$B$7&amp;"="""&amp;S5&amp;"""","")&amp;IF(T5&lt;&gt;"",IF(COUNTA($E5:$S5)&gt;0," OR ","")&amp;'Dashboard Config'!$B$7&amp;"="""&amp;T5&amp;"""","")&amp;IF(U5&lt;&gt;"",IF(COUNTA($E5:$T5)&gt;0," OR ","")&amp;'Dashboard Config'!$B$7&amp;"="""&amp;U5&amp;"""","")&amp;IF(V5&lt;&gt;"",IF(COUNTA($E5:$U5)&gt;0," OR ","")&amp;'Dashboard Config'!$B$7&amp;"="""&amp;V5&amp;"""","")&amp;IF(W5&lt;&gt;"",IF(COUNTA($E5:$V5)&gt;0," OR ","")&amp;'Dashboard Config'!$B$7&amp;"="""&amp;W5&amp;"""","")&amp;IF(X5&lt;&gt;"",IF(COUNTA($E5:$W5)&gt;0," OR ","")&amp;'Dashboard Config'!$B$7&amp;"="""&amp;X5&amp;"""","")&amp;IF(Y5&lt;&gt;"",IF(COUNTA($E5:$X5)&gt;0," OR ","")&amp;'Dashboard Config'!$B$7&amp;"="""&amp;Y5&amp;"""","")&amp;IF(Z5&lt;&gt;"",IF(COUNTA($E5:$Y5)&gt;0," OR ","")&amp;'Dashboard Config'!$B$7&amp;"="""&amp;Z5&amp;"""","")&amp;IF(AA5&lt;&gt;"",IF(COUNTA($E5:$Z5)&gt;0," OR ","")&amp;'Dashboard Config'!$B$7&amp;"="""&amp;AA5&amp;"""","")&amp;IF(AB5&lt;&gt;"",IF(COUNTA($E5:$AA5)&gt;0," OR ","")&amp;'Dashboard Config'!$B$7&amp;"="""&amp;AB5&amp;"""","")&amp;IF(AC5&lt;&gt;"",IF(COUNTA($E5:$AB5)&gt;0," OR ","")&amp;AC5,"")&amp;")")</x:f>
        <x:v>(host="syr*" OR host="salep*" OR host="144.219.*" OR host="144.221.*")</x:v>
      </x:c>
      <x:c r="AE5" s="48" t="str">
        <x:f>IF($AD5="","",CHAR(123)&amp;CHAR(34)&amp;"label"&amp;CHAR(34)&amp;":"&amp;CHAR(34)&amp;$C5&amp;CHAR(34)&amp;","&amp;CHAR(34)&amp;"value"&amp;CHAR(34)&amp;":"&amp;CHAR(34)&amp;SUBSTITUTE($AD5,CHAR(34),CHAR(92)&amp;CHAR(34))&amp;CHAR(34)&amp;CHAR(125))</x:f>
        <x:v>{"label":"Current Draft Scope","value":"(host=\"syr*\" OR host=\"salep*\" OR host=\"144.219.*\" OR host=\"144.221.*\")"}</x:v>
      </x:c>
      <x:c r="AF5" s="42" t="str">
        <x:v>Example only — replace with the site's real patterns.</x:v>
      </x:c>
    </x:row>
    <x:row r="6">
      <x:c r="A6" s="42" t="str">
        <x:v>Yes</x:v>
      </x:c>
      <x:c r="B6" s="42" t="str">
        <x:v>SITE_SYR</x:v>
      </x:c>
      <x:c r="C6" s="42" t="str">
        <x:v>Syracuse</x:v>
      </x:c>
      <x:c r="D6" s="42" t="str">
        <x:v>Syracuse, NY</x:v>
      </x:c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  <x:c r="AA6" s="42"/>
      <x:c r="AB6" s="42"/>
      <x:c r="AC6" s="42"/>
      <x:c r="AD6" s="48" t="str">
        <x:f>IF(OR($A6&lt;&gt;"Yes",$C6="",COUNTA($E6:$AC6)=0),"","("&amp;IF(E6&lt;&gt;"",'Dashboard Config'!$B$6&amp;"="""&amp;E6&amp;"""","")&amp;IF(F6&lt;&gt;"",IF(COUNTA($E6:$E6)&gt;0," OR ","")&amp;'Dashboard Config'!$B$6&amp;"="""&amp;F6&amp;"""","")&amp;IF(G6&lt;&gt;"",IF(COUNTA($E6:$F6)&gt;0," OR ","")&amp;'Dashboard Config'!$B$6&amp;"="""&amp;G6&amp;"""","")&amp;IF(H6&lt;&gt;"",IF(COUNTA($E6:$G6)&gt;0," OR ","")&amp;'Dashboard Config'!$B$6&amp;"="""&amp;H6&amp;"""","")&amp;IF(I6&lt;&gt;"",IF(COUNTA($E6:$H6)&gt;0," OR ","")&amp;'Dashboard Config'!$B$6&amp;"="""&amp;I6&amp;"""","")&amp;IF(J6&lt;&gt;"",IF(COUNTA($E6:$I6)&gt;0," OR ","")&amp;'Dashboard Config'!$B$6&amp;"="""&amp;J6&amp;"""","")&amp;IF(K6&lt;&gt;"",IF(COUNTA($E6:$J6)&gt;0," OR ","")&amp;'Dashboard Config'!$B$6&amp;"="""&amp;K6&amp;"""","")&amp;IF(L6&lt;&gt;"",IF(COUNTA($E6:$K6)&gt;0," OR ","")&amp;'Dashboard Config'!$B$6&amp;"="""&amp;L6&amp;"""","")&amp;IF(M6&lt;&gt;"",IF(COUNTA($E6:$L6)&gt;0," OR ","")&amp;'Dashboard Config'!$B$7&amp;"="""&amp;M6&amp;"""","")&amp;IF(N6&lt;&gt;"",IF(COUNTA($E6:$M6)&gt;0," OR ","")&amp;'Dashboard Config'!$B$7&amp;"="""&amp;N6&amp;"""","")&amp;IF(O6&lt;&gt;"",IF(COUNTA($E6:$N6)&gt;0," OR ","")&amp;'Dashboard Config'!$B$7&amp;"="""&amp;O6&amp;"""","")&amp;IF(P6&lt;&gt;"",IF(COUNTA($E6:$O6)&gt;0," OR ","")&amp;'Dashboard Config'!$B$7&amp;"="""&amp;P6&amp;"""","")&amp;IF(Q6&lt;&gt;"",IF(COUNTA($E6:$P6)&gt;0," OR ","")&amp;'Dashboard Config'!$B$7&amp;"="""&amp;Q6&amp;"""","")&amp;IF(R6&lt;&gt;"",IF(COUNTA($E6:$Q6)&gt;0," OR ","")&amp;'Dashboard Config'!$B$7&amp;"="""&amp;R6&amp;"""","")&amp;IF(S6&lt;&gt;"",IF(COUNTA($E6:$R6)&gt;0," OR ","")&amp;'Dashboard Config'!$B$7&amp;"="""&amp;S6&amp;"""","")&amp;IF(T6&lt;&gt;"",IF(COUNTA($E6:$S6)&gt;0," OR ","")&amp;'Dashboard Config'!$B$7&amp;"="""&amp;T6&amp;"""","")&amp;IF(U6&lt;&gt;"",IF(COUNTA($E6:$T6)&gt;0," OR ","")&amp;'Dashboard Config'!$B$7&amp;"="""&amp;U6&amp;"""","")&amp;IF(V6&lt;&gt;"",IF(COUNTA($E6:$U6)&gt;0," OR ","")&amp;'Dashboard Config'!$B$7&amp;"="""&amp;V6&amp;"""","")&amp;IF(W6&lt;&gt;"",IF(COUNTA($E6:$V6)&gt;0," OR ","")&amp;'Dashboard Config'!$B$7&amp;"="""&amp;W6&amp;"""","")&amp;IF(X6&lt;&gt;"",IF(COUNTA($E6:$W6)&gt;0," OR ","")&amp;'Dashboard Config'!$B$7&amp;"="""&amp;X6&amp;"""","")&amp;IF(Y6&lt;&gt;"",IF(COUNTA($E6:$X6)&gt;0," OR ","")&amp;'Dashboard Config'!$B$7&amp;"="""&amp;Y6&amp;"""","")&amp;IF(Z6&lt;&gt;"",IF(COUNTA($E6:$Y6)&gt;0," OR ","")&amp;'Dashboard Config'!$B$7&amp;"="""&amp;Z6&amp;"""","")&amp;IF(AA6&lt;&gt;"",IF(COUNTA($E6:$Z6)&gt;0," OR ","")&amp;'Dashboard Config'!$B$7&amp;"="""&amp;AA6&amp;"""","")&amp;IF(AB6&lt;&gt;"",IF(COUNTA($E6:$AA6)&gt;0," OR ","")&amp;'Dashboard Config'!$B$7&amp;"="""&amp;AB6&amp;"""","")&amp;IF(AC6&lt;&gt;"",IF(COUNTA($E6:$AB6)&gt;0," OR ","")&amp;AC6,"")&amp;")")</x:f>
      </x:c>
      <x:c r="AE6" s="48" t="str">
        <x:f>IF($AD6="","",CHAR(123)&amp;CHAR(34)&amp;"label"&amp;CHAR(34)&amp;":"&amp;CHAR(34)&amp;$C6&amp;CHAR(34)&amp;","&amp;CHAR(34)&amp;"value"&amp;CHAR(34)&amp;":"&amp;CHAR(34)&amp;SUBSTITUTE($AD6,CHAR(34),CHAR(92)&amp;CHAR(34))&amp;CHAR(34)&amp;CHAR(125))</x:f>
      </x:c>
      <x:c r="AF6" s="42"/>
    </x:row>
    <x:row r="7">
      <x:c r="A7" s="42" t="str">
        <x:v>No</x:v>
      </x:c>
      <x:c r="B7" s="42" t="str">
        <x:v>SITE_002</x:v>
      </x:c>
      <x:c r="C7" s="42" t="str">
        <x:v>Site 002</x:v>
      </x:c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  <x:c r="AA7" s="42"/>
      <x:c r="AB7" s="42"/>
      <x:c r="AC7" s="42"/>
      <x:c r="AD7" s="48" t="str">
        <x:f>IF(OR($A7&lt;&gt;"Yes",$C7="",COUNTA($E7:$AC7)=0),"","("&amp;IF(E7&lt;&gt;"",'Dashboard Config'!$B$6&amp;"="""&amp;E7&amp;"""","")&amp;IF(F7&lt;&gt;"",IF(COUNTA($E7:$E7)&gt;0," OR ","")&amp;'Dashboard Config'!$B$6&amp;"="""&amp;F7&amp;"""","")&amp;IF(G7&lt;&gt;"",IF(COUNTA($E7:$F7)&gt;0," OR ","")&amp;'Dashboard Config'!$B$6&amp;"="""&amp;G7&amp;"""","")&amp;IF(H7&lt;&gt;"",IF(COUNTA($E7:$G7)&gt;0," OR ","")&amp;'Dashboard Config'!$B$6&amp;"="""&amp;H7&amp;"""","")&amp;IF(I7&lt;&gt;"",IF(COUNTA($E7:$H7)&gt;0," OR ","")&amp;'Dashboard Config'!$B$6&amp;"="""&amp;I7&amp;"""","")&amp;IF(J7&lt;&gt;"",IF(COUNTA($E7:$I7)&gt;0," OR ","")&amp;'Dashboard Config'!$B$6&amp;"="""&amp;J7&amp;"""","")&amp;IF(K7&lt;&gt;"",IF(COUNTA($E7:$J7)&gt;0," OR ","")&amp;'Dashboard Config'!$B$6&amp;"="""&amp;K7&amp;"""","")&amp;IF(L7&lt;&gt;"",IF(COUNTA($E7:$K7)&gt;0," OR ","")&amp;'Dashboard Config'!$B$6&amp;"="""&amp;L7&amp;"""","")&amp;IF(M7&lt;&gt;"",IF(COUNTA($E7:$L7)&gt;0," OR ","")&amp;'Dashboard Config'!$B$7&amp;"="""&amp;M7&amp;"""","")&amp;IF(N7&lt;&gt;"",IF(COUNTA($E7:$M7)&gt;0," OR ","")&amp;'Dashboard Config'!$B$7&amp;"="""&amp;N7&amp;"""","")&amp;IF(O7&lt;&gt;"",IF(COUNTA($E7:$N7)&gt;0," OR ","")&amp;'Dashboard Config'!$B$7&amp;"="""&amp;O7&amp;"""","")&amp;IF(P7&lt;&gt;"",IF(COUNTA($E7:$O7)&gt;0," OR ","")&amp;'Dashboard Config'!$B$7&amp;"="""&amp;P7&amp;"""","")&amp;IF(Q7&lt;&gt;"",IF(COUNTA($E7:$P7)&gt;0," OR ","")&amp;'Dashboard Config'!$B$7&amp;"="""&amp;Q7&amp;"""","")&amp;IF(R7&lt;&gt;"",IF(COUNTA($E7:$Q7)&gt;0," OR ","")&amp;'Dashboard Config'!$B$7&amp;"="""&amp;R7&amp;"""","")&amp;IF(S7&lt;&gt;"",IF(COUNTA($E7:$R7)&gt;0," OR ","")&amp;'Dashboard Config'!$B$7&amp;"="""&amp;S7&amp;"""","")&amp;IF(T7&lt;&gt;"",IF(COUNTA($E7:$S7)&gt;0," OR ","")&amp;'Dashboard Config'!$B$7&amp;"="""&amp;T7&amp;"""","")&amp;IF(U7&lt;&gt;"",IF(COUNTA($E7:$T7)&gt;0," OR ","")&amp;'Dashboard Config'!$B$7&amp;"="""&amp;U7&amp;"""","")&amp;IF(V7&lt;&gt;"",IF(COUNTA($E7:$U7)&gt;0," OR ","")&amp;'Dashboard Config'!$B$7&amp;"="""&amp;V7&amp;"""","")&amp;IF(W7&lt;&gt;"",IF(COUNTA($E7:$V7)&gt;0," OR ","")&amp;'Dashboard Config'!$B$7&amp;"="""&amp;W7&amp;"""","")&amp;IF(X7&lt;&gt;"",IF(COUNTA($E7:$W7)&gt;0," OR ","")&amp;'Dashboard Config'!$B$7&amp;"="""&amp;X7&amp;"""","")&amp;IF(Y7&lt;&gt;"",IF(COUNTA($E7:$X7)&gt;0," OR ","")&amp;'Dashboard Config'!$B$7&amp;"="""&amp;Y7&amp;"""","")&amp;IF(Z7&lt;&gt;"",IF(COUNTA($E7:$Y7)&gt;0," OR ","")&amp;'Dashboard Config'!$B$7&amp;"="""&amp;Z7&amp;"""","")&amp;IF(AA7&lt;&gt;"",IF(COUNTA($E7:$Z7)&gt;0," OR ","")&amp;'Dashboard Config'!$B$7&amp;"="""&amp;AA7&amp;"""","")&amp;IF(AB7&lt;&gt;"",IF(COUNTA($E7:$AA7)&gt;0," OR ","")&amp;'Dashboard Config'!$B$7&amp;"="""&amp;AB7&amp;"""","")&amp;IF(AC7&lt;&gt;"",IF(COUNTA($E7:$AB7)&gt;0," OR ","")&amp;AC7,"")&amp;")")</x:f>
      </x:c>
      <x:c r="AE7" s="48" t="str">
        <x:f>IF($AD7="","",CHAR(123)&amp;CHAR(34)&amp;"label"&amp;CHAR(34)&amp;":"&amp;CHAR(34)&amp;$C7&amp;CHAR(34)&amp;","&amp;CHAR(34)&amp;"value"&amp;CHAR(34)&amp;":"&amp;CHAR(34)&amp;SUBSTITUTE($AD7,CHAR(34),CHAR(92)&amp;CHAR(34))&amp;CHAR(34)&amp;CHAR(125))</x:f>
      </x:c>
      <x:c r="AF7" s="42"/>
    </x:row>
    <x:row r="8">
      <x:c r="A8" s="42" t="str">
        <x:v>No</x:v>
      </x:c>
      <x:c r="B8" s="42" t="str">
        <x:v>SITE_ALL</x:v>
      </x:c>
      <x:c r="C8" s="42" t="str">
        <x:v>All Sites (overview only)</x:v>
      </x:c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  <x:c r="AA8" s="42"/>
      <x:c r="AB8" s="42"/>
      <x:c r="AC8" s="42" t="str">
        <x:v>*</x:v>
      </x:c>
      <x:c r="AD8" s="48" t="str">
        <x:f>IF(OR($A8&lt;&gt;"Yes",$C8="",COUNTA($E8:$AC8)=0),"","("&amp;IF(E8&lt;&gt;"",'Dashboard Config'!$B$6&amp;"="""&amp;E8&amp;"""","")&amp;IF(F8&lt;&gt;"",IF(COUNTA($E8:$E8)&gt;0," OR ","")&amp;'Dashboard Config'!$B$6&amp;"="""&amp;F8&amp;"""","")&amp;IF(G8&lt;&gt;"",IF(COUNTA($E8:$F8)&gt;0," OR ","")&amp;'Dashboard Config'!$B$6&amp;"="""&amp;G8&amp;"""","")&amp;IF(H8&lt;&gt;"",IF(COUNTA($E8:$G8)&gt;0," OR ","")&amp;'Dashboard Config'!$B$6&amp;"="""&amp;H8&amp;"""","")&amp;IF(I8&lt;&gt;"",IF(COUNTA($E8:$H8)&gt;0," OR ","")&amp;'Dashboard Config'!$B$6&amp;"="""&amp;I8&amp;"""","")&amp;IF(J8&lt;&gt;"",IF(COUNTA($E8:$I8)&gt;0," OR ","")&amp;'Dashboard Config'!$B$6&amp;"="""&amp;J8&amp;"""","")&amp;IF(K8&lt;&gt;"",IF(COUNTA($E8:$J8)&gt;0," OR ","")&amp;'Dashboard Config'!$B$6&amp;"="""&amp;K8&amp;"""","")&amp;IF(L8&lt;&gt;"",IF(COUNTA($E8:$K8)&gt;0," OR ","")&amp;'Dashboard Config'!$B$6&amp;"="""&amp;L8&amp;"""","")&amp;IF(M8&lt;&gt;"",IF(COUNTA($E8:$L8)&gt;0," OR ","")&amp;'Dashboard Config'!$B$7&amp;"="""&amp;M8&amp;"""","")&amp;IF(N8&lt;&gt;"",IF(COUNTA($E8:$M8)&gt;0," OR ","")&amp;'Dashboard Config'!$B$7&amp;"="""&amp;N8&amp;"""","")&amp;IF(O8&lt;&gt;"",IF(COUNTA($E8:$N8)&gt;0," OR ","")&amp;'Dashboard Config'!$B$7&amp;"="""&amp;O8&amp;"""","")&amp;IF(P8&lt;&gt;"",IF(COUNTA($E8:$O8)&gt;0," OR ","")&amp;'Dashboard Config'!$B$7&amp;"="""&amp;P8&amp;"""","")&amp;IF(Q8&lt;&gt;"",IF(COUNTA($E8:$P8)&gt;0," OR ","")&amp;'Dashboard Config'!$B$7&amp;"="""&amp;Q8&amp;"""","")&amp;IF(R8&lt;&gt;"",IF(COUNTA($E8:$Q8)&gt;0," OR ","")&amp;'Dashboard Config'!$B$7&amp;"="""&amp;R8&amp;"""","")&amp;IF(S8&lt;&gt;"",IF(COUNTA($E8:$R8)&gt;0," OR ","")&amp;'Dashboard Config'!$B$7&amp;"="""&amp;S8&amp;"""","")&amp;IF(T8&lt;&gt;"",IF(COUNTA($E8:$S8)&gt;0," OR ","")&amp;'Dashboard Config'!$B$7&amp;"="""&amp;T8&amp;"""","")&amp;IF(U8&lt;&gt;"",IF(COUNTA($E8:$T8)&gt;0," OR ","")&amp;'Dashboard Config'!$B$7&amp;"="""&amp;U8&amp;"""","")&amp;IF(V8&lt;&gt;"",IF(COUNTA($E8:$U8)&gt;0," OR ","")&amp;'Dashboard Config'!$B$7&amp;"="""&amp;V8&amp;"""","")&amp;IF(W8&lt;&gt;"",IF(COUNTA($E8:$V8)&gt;0," OR ","")&amp;'Dashboard Config'!$B$7&amp;"="""&amp;W8&amp;"""","")&amp;IF(X8&lt;&gt;"",IF(COUNTA($E8:$W8)&gt;0," OR ","")&amp;'Dashboard Config'!$B$7&amp;"="""&amp;X8&amp;"""","")&amp;IF(Y8&lt;&gt;"",IF(COUNTA($E8:$X8)&gt;0," OR ","")&amp;'Dashboard Config'!$B$7&amp;"="""&amp;Y8&amp;"""","")&amp;IF(Z8&lt;&gt;"",IF(COUNTA($E8:$Y8)&gt;0," OR ","")&amp;'Dashboard Config'!$B$7&amp;"="""&amp;Z8&amp;"""","")&amp;IF(AA8&lt;&gt;"",IF(COUNTA($E8:$Z8)&gt;0," OR ","")&amp;'Dashboard Config'!$B$7&amp;"="""&amp;AA8&amp;"""","")&amp;IF(AB8&lt;&gt;"",IF(COUNTA($E8:$AA8)&gt;0," OR ","")&amp;'Dashboard Config'!$B$7&amp;"="""&amp;AB8&amp;"""","")&amp;IF(AC8&lt;&gt;"",IF(COUNTA($E8:$AB8)&gt;0," OR ","")&amp;AC8,"")&amp;")")</x:f>
      </x:c>
      <x:c r="AE8" s="48" t="str">
        <x:f>IF($AD8="","",CHAR(123)&amp;CHAR(34)&amp;"label"&amp;CHAR(34)&amp;":"&amp;CHAR(34)&amp;$C8&amp;CHAR(34)&amp;","&amp;CHAR(34)&amp;"value"&amp;CHAR(34)&amp;":"&amp;CHAR(34)&amp;SUBSTITUTE($AD8,CHAR(34),CHAR(92)&amp;CHAR(34))&amp;CHAR(34)&amp;CHAR(125))</x:f>
      </x:c>
      <x:c r="AF8" s="42" t="str">
        <x:v>Leave disabled for normal raw-event dashboards. Enable only for intentionally aggregated overview use.</x:v>
      </x:c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  <x:c r="AA9" s="42"/>
      <x:c r="AB9" s="42"/>
      <x:c r="AC9" s="42"/>
      <x:c r="AD9" s="48" t="str">
        <x:f>IF(OR($A9&lt;&gt;"Yes",$C9="",COUNTA($E9:$AC9)=0),"","("&amp;IF(E9&lt;&gt;"",'Dashboard Config'!$B$6&amp;"="""&amp;E9&amp;"""","")&amp;IF(F9&lt;&gt;"",IF(COUNTA($E9:$E9)&gt;0," OR ","")&amp;'Dashboard Config'!$B$6&amp;"="""&amp;F9&amp;"""","")&amp;IF(G9&lt;&gt;"",IF(COUNTA($E9:$F9)&gt;0," OR ","")&amp;'Dashboard Config'!$B$6&amp;"="""&amp;G9&amp;"""","")&amp;IF(H9&lt;&gt;"",IF(COUNTA($E9:$G9)&gt;0," OR ","")&amp;'Dashboard Config'!$B$6&amp;"="""&amp;H9&amp;"""","")&amp;IF(I9&lt;&gt;"",IF(COUNTA($E9:$H9)&gt;0," OR ","")&amp;'Dashboard Config'!$B$6&amp;"="""&amp;I9&amp;"""","")&amp;IF(J9&lt;&gt;"",IF(COUNTA($E9:$I9)&gt;0," OR ","")&amp;'Dashboard Config'!$B$6&amp;"="""&amp;J9&amp;"""","")&amp;IF(K9&lt;&gt;"",IF(COUNTA($E9:$J9)&gt;0," OR ","")&amp;'Dashboard Config'!$B$6&amp;"="""&amp;K9&amp;"""","")&amp;IF(L9&lt;&gt;"",IF(COUNTA($E9:$K9)&gt;0," OR ","")&amp;'Dashboard Config'!$B$6&amp;"="""&amp;L9&amp;"""","")&amp;IF(M9&lt;&gt;"",IF(COUNTA($E9:$L9)&gt;0," OR ","")&amp;'Dashboard Config'!$B$7&amp;"="""&amp;M9&amp;"""","")&amp;IF(N9&lt;&gt;"",IF(COUNTA($E9:$M9)&gt;0," OR ","")&amp;'Dashboard Config'!$B$7&amp;"="""&amp;N9&amp;"""","")&amp;IF(O9&lt;&gt;"",IF(COUNTA($E9:$N9)&gt;0," OR ","")&amp;'Dashboard Config'!$B$7&amp;"="""&amp;O9&amp;"""","")&amp;IF(P9&lt;&gt;"",IF(COUNTA($E9:$O9)&gt;0," OR ","")&amp;'Dashboard Config'!$B$7&amp;"="""&amp;P9&amp;"""","")&amp;IF(Q9&lt;&gt;"",IF(COUNTA($E9:$P9)&gt;0," OR ","")&amp;'Dashboard Config'!$B$7&amp;"="""&amp;Q9&amp;"""","")&amp;IF(R9&lt;&gt;"",IF(COUNTA($E9:$Q9)&gt;0," OR ","")&amp;'Dashboard Config'!$B$7&amp;"="""&amp;R9&amp;"""","")&amp;IF(S9&lt;&gt;"",IF(COUNTA($E9:$R9)&gt;0," OR ","")&amp;'Dashboard Config'!$B$7&amp;"="""&amp;S9&amp;"""","")&amp;IF(T9&lt;&gt;"",IF(COUNTA($E9:$S9)&gt;0," OR ","")&amp;'Dashboard Config'!$B$7&amp;"="""&amp;T9&amp;"""","")&amp;IF(U9&lt;&gt;"",IF(COUNTA($E9:$T9)&gt;0," OR ","")&amp;'Dashboard Config'!$B$7&amp;"="""&amp;U9&amp;"""","")&amp;IF(V9&lt;&gt;"",IF(COUNTA($E9:$U9)&gt;0," OR ","")&amp;'Dashboard Config'!$B$7&amp;"="""&amp;V9&amp;"""","")&amp;IF(W9&lt;&gt;"",IF(COUNTA($E9:$V9)&gt;0," OR ","")&amp;'Dashboard Config'!$B$7&amp;"="""&amp;W9&amp;"""","")&amp;IF(X9&lt;&gt;"",IF(COUNTA($E9:$W9)&gt;0," OR ","")&amp;'Dashboard Config'!$B$7&amp;"="""&amp;X9&amp;"""","")&amp;IF(Y9&lt;&gt;"",IF(COUNTA($E9:$X9)&gt;0," OR ","")&amp;'Dashboard Config'!$B$7&amp;"="""&amp;Y9&amp;"""","")&amp;IF(Z9&lt;&gt;"",IF(COUNTA($E9:$Y9)&gt;0," OR ","")&amp;'Dashboard Config'!$B$7&amp;"="""&amp;Z9&amp;"""","")&amp;IF(AA9&lt;&gt;"",IF(COUNTA($E9:$Z9)&gt;0," OR ","")&amp;'Dashboard Config'!$B$7&amp;"="""&amp;AA9&amp;"""","")&amp;IF(AB9&lt;&gt;"",IF(COUNTA($E9:$AA9)&gt;0," OR ","")&amp;'Dashboard Config'!$B$7&amp;"="""&amp;AB9&amp;"""","")&amp;IF(AC9&lt;&gt;"",IF(COUNTA($E9:$AB9)&gt;0," OR ","")&amp;AC9,"")&amp;")")</x:f>
      </x:c>
      <x:c r="AE9" s="48" t="str">
        <x:f>IF($AD9="","",CHAR(123)&amp;CHAR(34)&amp;"label"&amp;CHAR(34)&amp;":"&amp;CHAR(34)&amp;$C9&amp;CHAR(34)&amp;","&amp;CHAR(34)&amp;"value"&amp;CHAR(34)&amp;":"&amp;CHAR(34)&amp;SUBSTITUTE($AD9,CHAR(34),CHAR(92)&amp;CHAR(34))&amp;CHAR(34)&amp;CHAR(125))</x:f>
      </x:c>
      <x:c r="AF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  <x:c r="AA10" s="42"/>
      <x:c r="AB10" s="42"/>
      <x:c r="AC10" s="42"/>
      <x:c r="AD10" s="48" t="str">
        <x:f>IF(OR($A10&lt;&gt;"Yes",$C10="",COUNTA($E10:$AC10)=0),"","("&amp;IF(E10&lt;&gt;"",'Dashboard Config'!$B$6&amp;"="""&amp;E10&amp;"""","")&amp;IF(F10&lt;&gt;"",IF(COUNTA($E10:$E10)&gt;0," OR ","")&amp;'Dashboard Config'!$B$6&amp;"="""&amp;F10&amp;"""","")&amp;IF(G10&lt;&gt;"",IF(COUNTA($E10:$F10)&gt;0," OR ","")&amp;'Dashboard Config'!$B$6&amp;"="""&amp;G10&amp;"""","")&amp;IF(H10&lt;&gt;"",IF(COUNTA($E10:$G10)&gt;0," OR ","")&amp;'Dashboard Config'!$B$6&amp;"="""&amp;H10&amp;"""","")&amp;IF(I10&lt;&gt;"",IF(COUNTA($E10:$H10)&gt;0," OR ","")&amp;'Dashboard Config'!$B$6&amp;"="""&amp;I10&amp;"""","")&amp;IF(J10&lt;&gt;"",IF(COUNTA($E10:$I10)&gt;0," OR ","")&amp;'Dashboard Config'!$B$6&amp;"="""&amp;J10&amp;"""","")&amp;IF(K10&lt;&gt;"",IF(COUNTA($E10:$J10)&gt;0," OR ","")&amp;'Dashboard Config'!$B$6&amp;"="""&amp;K10&amp;"""","")&amp;IF(L10&lt;&gt;"",IF(COUNTA($E10:$K10)&gt;0," OR ","")&amp;'Dashboard Config'!$B$6&amp;"="""&amp;L10&amp;"""","")&amp;IF(M10&lt;&gt;"",IF(COUNTA($E10:$L10)&gt;0," OR ","")&amp;'Dashboard Config'!$B$7&amp;"="""&amp;M10&amp;"""","")&amp;IF(N10&lt;&gt;"",IF(COUNTA($E10:$M10)&gt;0," OR ","")&amp;'Dashboard Config'!$B$7&amp;"="""&amp;N10&amp;"""","")&amp;IF(O10&lt;&gt;"",IF(COUNTA($E10:$N10)&gt;0," OR ","")&amp;'Dashboard Config'!$B$7&amp;"="""&amp;O10&amp;"""","")&amp;IF(P10&lt;&gt;"",IF(COUNTA($E10:$O10)&gt;0," OR ","")&amp;'Dashboard Config'!$B$7&amp;"="""&amp;P10&amp;"""","")&amp;IF(Q10&lt;&gt;"",IF(COUNTA($E10:$P10)&gt;0," OR ","")&amp;'Dashboard Config'!$B$7&amp;"="""&amp;Q10&amp;"""","")&amp;IF(R10&lt;&gt;"",IF(COUNTA($E10:$Q10)&gt;0," OR ","")&amp;'Dashboard Config'!$B$7&amp;"="""&amp;R10&amp;"""","")&amp;IF(S10&lt;&gt;"",IF(COUNTA($E10:$R10)&gt;0," OR ","")&amp;'Dashboard Config'!$B$7&amp;"="""&amp;S10&amp;"""","")&amp;IF(T10&lt;&gt;"",IF(COUNTA($E10:$S10)&gt;0," OR ","")&amp;'Dashboard Config'!$B$7&amp;"="""&amp;T10&amp;"""","")&amp;IF(U10&lt;&gt;"",IF(COUNTA($E10:$T10)&gt;0," OR ","")&amp;'Dashboard Config'!$B$7&amp;"="""&amp;U10&amp;"""","")&amp;IF(V10&lt;&gt;"",IF(COUNTA($E10:$U10)&gt;0," OR ","")&amp;'Dashboard Config'!$B$7&amp;"="""&amp;V10&amp;"""","")&amp;IF(W10&lt;&gt;"",IF(COUNTA($E10:$V10)&gt;0," OR ","")&amp;'Dashboard Config'!$B$7&amp;"="""&amp;W10&amp;"""","")&amp;IF(X10&lt;&gt;"",IF(COUNTA($E10:$W10)&gt;0," OR ","")&amp;'Dashboard Config'!$B$7&amp;"="""&amp;X10&amp;"""","")&amp;IF(Y10&lt;&gt;"",IF(COUNTA($E10:$X10)&gt;0," OR ","")&amp;'Dashboard Config'!$B$7&amp;"="""&amp;Y10&amp;"""","")&amp;IF(Z10&lt;&gt;"",IF(COUNTA($E10:$Y10)&gt;0," OR ","")&amp;'Dashboard Config'!$B$7&amp;"="""&amp;Z10&amp;"""","")&amp;IF(AA10&lt;&gt;"",IF(COUNTA($E10:$Z10)&gt;0," OR ","")&amp;'Dashboard Config'!$B$7&amp;"="""&amp;AA10&amp;"""","")&amp;IF(AB10&lt;&gt;"",IF(COUNTA($E10:$AA10)&gt;0," OR ","")&amp;'Dashboard Config'!$B$7&amp;"="""&amp;AB10&amp;"""","")&amp;IF(AC10&lt;&gt;"",IF(COUNTA($E10:$AB10)&gt;0," OR ","")&amp;AC10,"")&amp;")")</x:f>
      </x:c>
      <x:c r="AE10" s="48" t="str">
        <x:f>IF($AD10="","",CHAR(123)&amp;CHAR(34)&amp;"label"&amp;CHAR(34)&amp;":"&amp;CHAR(34)&amp;$C10&amp;CHAR(34)&amp;","&amp;CHAR(34)&amp;"value"&amp;CHAR(34)&amp;":"&amp;CHAR(34)&amp;SUBSTITUTE($AD10,CHAR(34),CHAR(92)&amp;CHAR(34))&amp;CHAR(34)&amp;CHAR(125))</x:f>
      </x:c>
      <x:c r="AF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  <x:c r="AA11" s="42"/>
      <x:c r="AB11" s="42"/>
      <x:c r="AC11" s="42"/>
      <x:c r="AD11" s="48" t="str">
        <x:f>IF(OR($A11&lt;&gt;"Yes",$C11="",COUNTA($E11:$AC11)=0),"","("&amp;IF(E11&lt;&gt;"",'Dashboard Config'!$B$6&amp;"="""&amp;E11&amp;"""","")&amp;IF(F11&lt;&gt;"",IF(COUNTA($E11:$E11)&gt;0," OR ","")&amp;'Dashboard Config'!$B$6&amp;"="""&amp;F11&amp;"""","")&amp;IF(G11&lt;&gt;"",IF(COUNTA($E11:$F11)&gt;0," OR ","")&amp;'Dashboard Config'!$B$6&amp;"="""&amp;G11&amp;"""","")&amp;IF(H11&lt;&gt;"",IF(COUNTA($E11:$G11)&gt;0," OR ","")&amp;'Dashboard Config'!$B$6&amp;"="""&amp;H11&amp;"""","")&amp;IF(I11&lt;&gt;"",IF(COUNTA($E11:$H11)&gt;0," OR ","")&amp;'Dashboard Config'!$B$6&amp;"="""&amp;I11&amp;"""","")&amp;IF(J11&lt;&gt;"",IF(COUNTA($E11:$I11)&gt;0," OR ","")&amp;'Dashboard Config'!$B$6&amp;"="""&amp;J11&amp;"""","")&amp;IF(K11&lt;&gt;"",IF(COUNTA($E11:$J11)&gt;0," OR ","")&amp;'Dashboard Config'!$B$6&amp;"="""&amp;K11&amp;"""","")&amp;IF(L11&lt;&gt;"",IF(COUNTA($E11:$K11)&gt;0," OR ","")&amp;'Dashboard Config'!$B$6&amp;"="""&amp;L11&amp;"""","")&amp;IF(M11&lt;&gt;"",IF(COUNTA($E11:$L11)&gt;0," OR ","")&amp;'Dashboard Config'!$B$7&amp;"="""&amp;M11&amp;"""","")&amp;IF(N11&lt;&gt;"",IF(COUNTA($E11:$M11)&gt;0," OR ","")&amp;'Dashboard Config'!$B$7&amp;"="""&amp;N11&amp;"""","")&amp;IF(O11&lt;&gt;"",IF(COUNTA($E11:$N11)&gt;0," OR ","")&amp;'Dashboard Config'!$B$7&amp;"="""&amp;O11&amp;"""","")&amp;IF(P11&lt;&gt;"",IF(COUNTA($E11:$O11)&gt;0," OR ","")&amp;'Dashboard Config'!$B$7&amp;"="""&amp;P11&amp;"""","")&amp;IF(Q11&lt;&gt;"",IF(COUNTA($E11:$P11)&gt;0," OR ","")&amp;'Dashboard Config'!$B$7&amp;"="""&amp;Q11&amp;"""","")&amp;IF(R11&lt;&gt;"",IF(COUNTA($E11:$Q11)&gt;0," OR ","")&amp;'Dashboard Config'!$B$7&amp;"="""&amp;R11&amp;"""","")&amp;IF(S11&lt;&gt;"",IF(COUNTA($E11:$R11)&gt;0," OR ","")&amp;'Dashboard Config'!$B$7&amp;"="""&amp;S11&amp;"""","")&amp;IF(T11&lt;&gt;"",IF(COUNTA($E11:$S11)&gt;0," OR ","")&amp;'Dashboard Config'!$B$7&amp;"="""&amp;T11&amp;"""","")&amp;IF(U11&lt;&gt;"",IF(COUNTA($E11:$T11)&gt;0," OR ","")&amp;'Dashboard Config'!$B$7&amp;"="""&amp;U11&amp;"""","")&amp;IF(V11&lt;&gt;"",IF(COUNTA($E11:$U11)&gt;0," OR ","")&amp;'Dashboard Config'!$B$7&amp;"="""&amp;V11&amp;"""","")&amp;IF(W11&lt;&gt;"",IF(COUNTA($E11:$V11)&gt;0," OR ","")&amp;'Dashboard Config'!$B$7&amp;"="""&amp;W11&amp;"""","")&amp;IF(X11&lt;&gt;"",IF(COUNTA($E11:$W11)&gt;0," OR ","")&amp;'Dashboard Config'!$B$7&amp;"="""&amp;X11&amp;"""","")&amp;IF(Y11&lt;&gt;"",IF(COUNTA($E11:$X11)&gt;0," OR ","")&amp;'Dashboard Config'!$B$7&amp;"="""&amp;Y11&amp;"""","")&amp;IF(Z11&lt;&gt;"",IF(COUNTA($E11:$Y11)&gt;0," OR ","")&amp;'Dashboard Config'!$B$7&amp;"="""&amp;Z11&amp;"""","")&amp;IF(AA11&lt;&gt;"",IF(COUNTA($E11:$Z11)&gt;0," OR ","")&amp;'Dashboard Config'!$B$7&amp;"="""&amp;AA11&amp;"""","")&amp;IF(AB11&lt;&gt;"",IF(COUNTA($E11:$AA11)&gt;0," OR ","")&amp;'Dashboard Config'!$B$7&amp;"="""&amp;AB11&amp;"""","")&amp;IF(AC11&lt;&gt;"",IF(COUNTA($E11:$AB11)&gt;0," OR ","")&amp;AC11,"")&amp;")")</x:f>
      </x:c>
      <x:c r="AE11" s="48" t="str">
        <x:f>IF($AD11="","",CHAR(123)&amp;CHAR(34)&amp;"label"&amp;CHAR(34)&amp;":"&amp;CHAR(34)&amp;$C11&amp;CHAR(34)&amp;","&amp;CHAR(34)&amp;"value"&amp;CHAR(34)&amp;":"&amp;CHAR(34)&amp;SUBSTITUTE($AD11,CHAR(34),CHAR(92)&amp;CHAR(34))&amp;CHAR(34)&amp;CHAR(125))</x:f>
      </x:c>
      <x:c r="AF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  <x:c r="AA12" s="42"/>
      <x:c r="AB12" s="42"/>
      <x:c r="AC12" s="42"/>
      <x:c r="AD12" s="48" t="str">
        <x:f>IF(OR($A12&lt;&gt;"Yes",$C12="",COUNTA($E12:$AC12)=0),"","("&amp;IF(E12&lt;&gt;"",'Dashboard Config'!$B$6&amp;"="""&amp;E12&amp;"""","")&amp;IF(F12&lt;&gt;"",IF(COUNTA($E12:$E12)&gt;0," OR ","")&amp;'Dashboard Config'!$B$6&amp;"="""&amp;F12&amp;"""","")&amp;IF(G12&lt;&gt;"",IF(COUNTA($E12:$F12)&gt;0," OR ","")&amp;'Dashboard Config'!$B$6&amp;"="""&amp;G12&amp;"""","")&amp;IF(H12&lt;&gt;"",IF(COUNTA($E12:$G12)&gt;0," OR ","")&amp;'Dashboard Config'!$B$6&amp;"="""&amp;H12&amp;"""","")&amp;IF(I12&lt;&gt;"",IF(COUNTA($E12:$H12)&gt;0," OR ","")&amp;'Dashboard Config'!$B$6&amp;"="""&amp;I12&amp;"""","")&amp;IF(J12&lt;&gt;"",IF(COUNTA($E12:$I12)&gt;0," OR ","")&amp;'Dashboard Config'!$B$6&amp;"="""&amp;J12&amp;"""","")&amp;IF(K12&lt;&gt;"",IF(COUNTA($E12:$J12)&gt;0," OR ","")&amp;'Dashboard Config'!$B$6&amp;"="""&amp;K12&amp;"""","")&amp;IF(L12&lt;&gt;"",IF(COUNTA($E12:$K12)&gt;0," OR ","")&amp;'Dashboard Config'!$B$6&amp;"="""&amp;L12&amp;"""","")&amp;IF(M12&lt;&gt;"",IF(COUNTA($E12:$L12)&gt;0," OR ","")&amp;'Dashboard Config'!$B$7&amp;"="""&amp;M12&amp;"""","")&amp;IF(N12&lt;&gt;"",IF(COUNTA($E12:$M12)&gt;0," OR ","")&amp;'Dashboard Config'!$B$7&amp;"="""&amp;N12&amp;"""","")&amp;IF(O12&lt;&gt;"",IF(COUNTA($E12:$N12)&gt;0," OR ","")&amp;'Dashboard Config'!$B$7&amp;"="""&amp;O12&amp;"""","")&amp;IF(P12&lt;&gt;"",IF(COUNTA($E12:$O12)&gt;0," OR ","")&amp;'Dashboard Config'!$B$7&amp;"="""&amp;P12&amp;"""","")&amp;IF(Q12&lt;&gt;"",IF(COUNTA($E12:$P12)&gt;0," OR ","")&amp;'Dashboard Config'!$B$7&amp;"="""&amp;Q12&amp;"""","")&amp;IF(R12&lt;&gt;"",IF(COUNTA($E12:$Q12)&gt;0," OR ","")&amp;'Dashboard Config'!$B$7&amp;"="""&amp;R12&amp;"""","")&amp;IF(S12&lt;&gt;"",IF(COUNTA($E12:$R12)&gt;0," OR ","")&amp;'Dashboard Config'!$B$7&amp;"="""&amp;S12&amp;"""","")&amp;IF(T12&lt;&gt;"",IF(COUNTA($E12:$S12)&gt;0," OR ","")&amp;'Dashboard Config'!$B$7&amp;"="""&amp;T12&amp;"""","")&amp;IF(U12&lt;&gt;"",IF(COUNTA($E12:$T12)&gt;0," OR ","")&amp;'Dashboard Config'!$B$7&amp;"="""&amp;U12&amp;"""","")&amp;IF(V12&lt;&gt;"",IF(COUNTA($E12:$U12)&gt;0," OR ","")&amp;'Dashboard Config'!$B$7&amp;"="""&amp;V12&amp;"""","")&amp;IF(W12&lt;&gt;"",IF(COUNTA($E12:$V12)&gt;0," OR ","")&amp;'Dashboard Config'!$B$7&amp;"="""&amp;W12&amp;"""","")&amp;IF(X12&lt;&gt;"",IF(COUNTA($E12:$W12)&gt;0," OR ","")&amp;'Dashboard Config'!$B$7&amp;"="""&amp;X12&amp;"""","")&amp;IF(Y12&lt;&gt;"",IF(COUNTA($E12:$X12)&gt;0," OR ","")&amp;'Dashboard Config'!$B$7&amp;"="""&amp;Y12&amp;"""","")&amp;IF(Z12&lt;&gt;"",IF(COUNTA($E12:$Y12)&gt;0," OR ","")&amp;'Dashboard Config'!$B$7&amp;"="""&amp;Z12&amp;"""","")&amp;IF(AA12&lt;&gt;"",IF(COUNTA($E12:$Z12)&gt;0," OR ","")&amp;'Dashboard Config'!$B$7&amp;"="""&amp;AA12&amp;"""","")&amp;IF(AB12&lt;&gt;"",IF(COUNTA($E12:$AA12)&gt;0," OR ","")&amp;'Dashboard Config'!$B$7&amp;"="""&amp;AB12&amp;"""","")&amp;IF(AC12&lt;&gt;"",IF(COUNTA($E12:$AB12)&gt;0," OR ","")&amp;AC12,"")&amp;")")</x:f>
      </x:c>
      <x:c r="AE12" s="48" t="str">
        <x:f>IF($AD12="","",CHAR(123)&amp;CHAR(34)&amp;"label"&amp;CHAR(34)&amp;":"&amp;CHAR(34)&amp;$C12&amp;CHAR(34)&amp;","&amp;CHAR(34)&amp;"value"&amp;CHAR(34)&amp;":"&amp;CHAR(34)&amp;SUBSTITUTE($AD12,CHAR(34),CHAR(92)&amp;CHAR(34))&amp;CHAR(34)&amp;CHAR(125))</x:f>
      </x:c>
      <x:c r="AF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  <x:c r="AA13" s="42"/>
      <x:c r="AB13" s="42"/>
      <x:c r="AC13" s="42"/>
      <x:c r="AD13" s="48" t="str">
        <x:f>IF(OR($A13&lt;&gt;"Yes",$C13="",COUNTA($E13:$AC13)=0),"","("&amp;IF(E13&lt;&gt;"",'Dashboard Config'!$B$6&amp;"="""&amp;E13&amp;"""","")&amp;IF(F13&lt;&gt;"",IF(COUNTA($E13:$E13)&gt;0," OR ","")&amp;'Dashboard Config'!$B$6&amp;"="""&amp;F13&amp;"""","")&amp;IF(G13&lt;&gt;"",IF(COUNTA($E13:$F13)&gt;0," OR ","")&amp;'Dashboard Config'!$B$6&amp;"="""&amp;G13&amp;"""","")&amp;IF(H13&lt;&gt;"",IF(COUNTA($E13:$G13)&gt;0," OR ","")&amp;'Dashboard Config'!$B$6&amp;"="""&amp;H13&amp;"""","")&amp;IF(I13&lt;&gt;"",IF(COUNTA($E13:$H13)&gt;0," OR ","")&amp;'Dashboard Config'!$B$6&amp;"="""&amp;I13&amp;"""","")&amp;IF(J13&lt;&gt;"",IF(COUNTA($E13:$I13)&gt;0," OR ","")&amp;'Dashboard Config'!$B$6&amp;"="""&amp;J13&amp;"""","")&amp;IF(K13&lt;&gt;"",IF(COUNTA($E13:$J13)&gt;0," OR ","")&amp;'Dashboard Config'!$B$6&amp;"="""&amp;K13&amp;"""","")&amp;IF(L13&lt;&gt;"",IF(COUNTA($E13:$K13)&gt;0," OR ","")&amp;'Dashboard Config'!$B$6&amp;"="""&amp;L13&amp;"""","")&amp;IF(M13&lt;&gt;"",IF(COUNTA($E13:$L13)&gt;0," OR ","")&amp;'Dashboard Config'!$B$7&amp;"="""&amp;M13&amp;"""","")&amp;IF(N13&lt;&gt;"",IF(COUNTA($E13:$M13)&gt;0," OR ","")&amp;'Dashboard Config'!$B$7&amp;"="""&amp;N13&amp;"""","")&amp;IF(O13&lt;&gt;"",IF(COUNTA($E13:$N13)&gt;0," OR ","")&amp;'Dashboard Config'!$B$7&amp;"="""&amp;O13&amp;"""","")&amp;IF(P13&lt;&gt;"",IF(COUNTA($E13:$O13)&gt;0," OR ","")&amp;'Dashboard Config'!$B$7&amp;"="""&amp;P13&amp;"""","")&amp;IF(Q13&lt;&gt;"",IF(COUNTA($E13:$P13)&gt;0," OR ","")&amp;'Dashboard Config'!$B$7&amp;"="""&amp;Q13&amp;"""","")&amp;IF(R13&lt;&gt;"",IF(COUNTA($E13:$Q13)&gt;0," OR ","")&amp;'Dashboard Config'!$B$7&amp;"="""&amp;R13&amp;"""","")&amp;IF(S13&lt;&gt;"",IF(COUNTA($E13:$R13)&gt;0," OR ","")&amp;'Dashboard Config'!$B$7&amp;"="""&amp;S13&amp;"""","")&amp;IF(T13&lt;&gt;"",IF(COUNTA($E13:$S13)&gt;0," OR ","")&amp;'Dashboard Config'!$B$7&amp;"="""&amp;T13&amp;"""","")&amp;IF(U13&lt;&gt;"",IF(COUNTA($E13:$T13)&gt;0," OR ","")&amp;'Dashboard Config'!$B$7&amp;"="""&amp;U13&amp;"""","")&amp;IF(V13&lt;&gt;"",IF(COUNTA($E13:$U13)&gt;0," OR ","")&amp;'Dashboard Config'!$B$7&amp;"="""&amp;V13&amp;"""","")&amp;IF(W13&lt;&gt;"",IF(COUNTA($E13:$V13)&gt;0," OR ","")&amp;'Dashboard Config'!$B$7&amp;"="""&amp;W13&amp;"""","")&amp;IF(X13&lt;&gt;"",IF(COUNTA($E13:$W13)&gt;0," OR ","")&amp;'Dashboard Config'!$B$7&amp;"="""&amp;X13&amp;"""","")&amp;IF(Y13&lt;&gt;"",IF(COUNTA($E13:$X13)&gt;0," OR ","")&amp;'Dashboard Config'!$B$7&amp;"="""&amp;Y13&amp;"""","")&amp;IF(Z13&lt;&gt;"",IF(COUNTA($E13:$Y13)&gt;0," OR ","")&amp;'Dashboard Config'!$B$7&amp;"="""&amp;Z13&amp;"""","")&amp;IF(AA13&lt;&gt;"",IF(COUNTA($E13:$Z13)&gt;0," OR ","")&amp;'Dashboard Config'!$B$7&amp;"="""&amp;AA13&amp;"""","")&amp;IF(AB13&lt;&gt;"",IF(COUNTA($E13:$AA13)&gt;0," OR ","")&amp;'Dashboard Config'!$B$7&amp;"="""&amp;AB13&amp;"""","")&amp;IF(AC13&lt;&gt;"",IF(COUNTA($E13:$AB13)&gt;0," OR ","")&amp;AC13,"")&amp;")")</x:f>
      </x:c>
      <x:c r="AE13" s="48" t="str">
        <x:f>IF($AD13="","",CHAR(123)&amp;CHAR(34)&amp;"label"&amp;CHAR(34)&amp;":"&amp;CHAR(34)&amp;$C13&amp;CHAR(34)&amp;","&amp;CHAR(34)&amp;"value"&amp;CHAR(34)&amp;":"&amp;CHAR(34)&amp;SUBSTITUTE($AD13,CHAR(34),CHAR(92)&amp;CHAR(34))&amp;CHAR(34)&amp;CHAR(125))</x:f>
      </x:c>
      <x:c r="AF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  <x:c r="AA14" s="42"/>
      <x:c r="AB14" s="42"/>
      <x:c r="AC14" s="42"/>
      <x:c r="AD14" s="48" t="str">
        <x:f>IF(OR($A14&lt;&gt;"Yes",$C14="",COUNTA($E14:$AC14)=0),"","("&amp;IF(E14&lt;&gt;"",'Dashboard Config'!$B$6&amp;"="""&amp;E14&amp;"""","")&amp;IF(F14&lt;&gt;"",IF(COUNTA($E14:$E14)&gt;0," OR ","")&amp;'Dashboard Config'!$B$6&amp;"="""&amp;F14&amp;"""","")&amp;IF(G14&lt;&gt;"",IF(COUNTA($E14:$F14)&gt;0," OR ","")&amp;'Dashboard Config'!$B$6&amp;"="""&amp;G14&amp;"""","")&amp;IF(H14&lt;&gt;"",IF(COUNTA($E14:$G14)&gt;0," OR ","")&amp;'Dashboard Config'!$B$6&amp;"="""&amp;H14&amp;"""","")&amp;IF(I14&lt;&gt;"",IF(COUNTA($E14:$H14)&gt;0," OR ","")&amp;'Dashboard Config'!$B$6&amp;"="""&amp;I14&amp;"""","")&amp;IF(J14&lt;&gt;"",IF(COUNTA($E14:$I14)&gt;0," OR ","")&amp;'Dashboard Config'!$B$6&amp;"="""&amp;J14&amp;"""","")&amp;IF(K14&lt;&gt;"",IF(COUNTA($E14:$J14)&gt;0," OR ","")&amp;'Dashboard Config'!$B$6&amp;"="""&amp;K14&amp;"""","")&amp;IF(L14&lt;&gt;"",IF(COUNTA($E14:$K14)&gt;0," OR ","")&amp;'Dashboard Config'!$B$6&amp;"="""&amp;L14&amp;"""","")&amp;IF(M14&lt;&gt;"",IF(COUNTA($E14:$L14)&gt;0," OR ","")&amp;'Dashboard Config'!$B$7&amp;"="""&amp;M14&amp;"""","")&amp;IF(N14&lt;&gt;"",IF(COUNTA($E14:$M14)&gt;0," OR ","")&amp;'Dashboard Config'!$B$7&amp;"="""&amp;N14&amp;"""","")&amp;IF(O14&lt;&gt;"",IF(COUNTA($E14:$N14)&gt;0," OR ","")&amp;'Dashboard Config'!$B$7&amp;"="""&amp;O14&amp;"""","")&amp;IF(P14&lt;&gt;"",IF(COUNTA($E14:$O14)&gt;0," OR ","")&amp;'Dashboard Config'!$B$7&amp;"="""&amp;P14&amp;"""","")&amp;IF(Q14&lt;&gt;"",IF(COUNTA($E14:$P14)&gt;0," OR ","")&amp;'Dashboard Config'!$B$7&amp;"="""&amp;Q14&amp;"""","")&amp;IF(R14&lt;&gt;"",IF(COUNTA($E14:$Q14)&gt;0," OR ","")&amp;'Dashboard Config'!$B$7&amp;"="""&amp;R14&amp;"""","")&amp;IF(S14&lt;&gt;"",IF(COUNTA($E14:$R14)&gt;0," OR ","")&amp;'Dashboard Config'!$B$7&amp;"="""&amp;S14&amp;"""","")&amp;IF(T14&lt;&gt;"",IF(COUNTA($E14:$S14)&gt;0," OR ","")&amp;'Dashboard Config'!$B$7&amp;"="""&amp;T14&amp;"""","")&amp;IF(U14&lt;&gt;"",IF(COUNTA($E14:$T14)&gt;0," OR ","")&amp;'Dashboard Config'!$B$7&amp;"="""&amp;U14&amp;"""","")&amp;IF(V14&lt;&gt;"",IF(COUNTA($E14:$U14)&gt;0," OR ","")&amp;'Dashboard Config'!$B$7&amp;"="""&amp;V14&amp;"""","")&amp;IF(W14&lt;&gt;"",IF(COUNTA($E14:$V14)&gt;0," OR ","")&amp;'Dashboard Config'!$B$7&amp;"="""&amp;W14&amp;"""","")&amp;IF(X14&lt;&gt;"",IF(COUNTA($E14:$W14)&gt;0," OR ","")&amp;'Dashboard Config'!$B$7&amp;"="""&amp;X14&amp;"""","")&amp;IF(Y14&lt;&gt;"",IF(COUNTA($E14:$X14)&gt;0," OR ","")&amp;'Dashboard Config'!$B$7&amp;"="""&amp;Y14&amp;"""","")&amp;IF(Z14&lt;&gt;"",IF(COUNTA($E14:$Y14)&gt;0," OR ","")&amp;'Dashboard Config'!$B$7&amp;"="""&amp;Z14&amp;"""","")&amp;IF(AA14&lt;&gt;"",IF(COUNTA($E14:$Z14)&gt;0," OR ","")&amp;'Dashboard Config'!$B$7&amp;"="""&amp;AA14&amp;"""","")&amp;IF(AB14&lt;&gt;"",IF(COUNTA($E14:$AA14)&gt;0," OR ","")&amp;'Dashboard Config'!$B$7&amp;"="""&amp;AB14&amp;"""","")&amp;IF(AC14&lt;&gt;"",IF(COUNTA($E14:$AB14)&gt;0," OR ","")&amp;AC14,"")&amp;")")</x:f>
      </x:c>
      <x:c r="AE14" s="48" t="str">
        <x:f>IF($AD14="","",CHAR(123)&amp;CHAR(34)&amp;"label"&amp;CHAR(34)&amp;":"&amp;CHAR(34)&amp;$C14&amp;CHAR(34)&amp;","&amp;CHAR(34)&amp;"value"&amp;CHAR(34)&amp;":"&amp;CHAR(34)&amp;SUBSTITUTE($AD14,CHAR(34),CHAR(92)&amp;CHAR(34))&amp;CHAR(34)&amp;CHAR(125))</x:f>
      </x:c>
      <x:c r="AF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  <x:c r="AA15" s="42"/>
      <x:c r="AB15" s="42"/>
      <x:c r="AC15" s="42"/>
      <x:c r="AD15" s="48" t="str">
        <x:f>IF(OR($A15&lt;&gt;"Yes",$C15="",COUNTA($E15:$AC15)=0),"","("&amp;IF(E15&lt;&gt;"",'Dashboard Config'!$B$6&amp;"="""&amp;E15&amp;"""","")&amp;IF(F15&lt;&gt;"",IF(COUNTA($E15:$E15)&gt;0," OR ","")&amp;'Dashboard Config'!$B$6&amp;"="""&amp;F15&amp;"""","")&amp;IF(G15&lt;&gt;"",IF(COUNTA($E15:$F15)&gt;0," OR ","")&amp;'Dashboard Config'!$B$6&amp;"="""&amp;G15&amp;"""","")&amp;IF(H15&lt;&gt;"",IF(COUNTA($E15:$G15)&gt;0," OR ","")&amp;'Dashboard Config'!$B$6&amp;"="""&amp;H15&amp;"""","")&amp;IF(I15&lt;&gt;"",IF(COUNTA($E15:$H15)&gt;0," OR ","")&amp;'Dashboard Config'!$B$6&amp;"="""&amp;I15&amp;"""","")&amp;IF(J15&lt;&gt;"",IF(COUNTA($E15:$I15)&gt;0," OR ","")&amp;'Dashboard Config'!$B$6&amp;"="""&amp;J15&amp;"""","")&amp;IF(K15&lt;&gt;"",IF(COUNTA($E15:$J15)&gt;0," OR ","")&amp;'Dashboard Config'!$B$6&amp;"="""&amp;K15&amp;"""","")&amp;IF(L15&lt;&gt;"",IF(COUNTA($E15:$K15)&gt;0," OR ","")&amp;'Dashboard Config'!$B$6&amp;"="""&amp;L15&amp;"""","")&amp;IF(M15&lt;&gt;"",IF(COUNTA($E15:$L15)&gt;0," OR ","")&amp;'Dashboard Config'!$B$7&amp;"="""&amp;M15&amp;"""","")&amp;IF(N15&lt;&gt;"",IF(COUNTA($E15:$M15)&gt;0," OR ","")&amp;'Dashboard Config'!$B$7&amp;"="""&amp;N15&amp;"""","")&amp;IF(O15&lt;&gt;"",IF(COUNTA($E15:$N15)&gt;0," OR ","")&amp;'Dashboard Config'!$B$7&amp;"="""&amp;O15&amp;"""","")&amp;IF(P15&lt;&gt;"",IF(COUNTA($E15:$O15)&gt;0," OR ","")&amp;'Dashboard Config'!$B$7&amp;"="""&amp;P15&amp;"""","")&amp;IF(Q15&lt;&gt;"",IF(COUNTA($E15:$P15)&gt;0," OR ","")&amp;'Dashboard Config'!$B$7&amp;"="""&amp;Q15&amp;"""","")&amp;IF(R15&lt;&gt;"",IF(COUNTA($E15:$Q15)&gt;0," OR ","")&amp;'Dashboard Config'!$B$7&amp;"="""&amp;R15&amp;"""","")&amp;IF(S15&lt;&gt;"",IF(COUNTA($E15:$R15)&gt;0," OR ","")&amp;'Dashboard Config'!$B$7&amp;"="""&amp;S15&amp;"""","")&amp;IF(T15&lt;&gt;"",IF(COUNTA($E15:$S15)&gt;0," OR ","")&amp;'Dashboard Config'!$B$7&amp;"="""&amp;T15&amp;"""","")&amp;IF(U15&lt;&gt;"",IF(COUNTA($E15:$T15)&gt;0," OR ","")&amp;'Dashboard Config'!$B$7&amp;"="""&amp;U15&amp;"""","")&amp;IF(V15&lt;&gt;"",IF(COUNTA($E15:$U15)&gt;0," OR ","")&amp;'Dashboard Config'!$B$7&amp;"="""&amp;V15&amp;"""","")&amp;IF(W15&lt;&gt;"",IF(COUNTA($E15:$V15)&gt;0," OR ","")&amp;'Dashboard Config'!$B$7&amp;"="""&amp;W15&amp;"""","")&amp;IF(X15&lt;&gt;"",IF(COUNTA($E15:$W15)&gt;0," OR ","")&amp;'Dashboard Config'!$B$7&amp;"="""&amp;X15&amp;"""","")&amp;IF(Y15&lt;&gt;"",IF(COUNTA($E15:$X15)&gt;0," OR ","")&amp;'Dashboard Config'!$B$7&amp;"="""&amp;Y15&amp;"""","")&amp;IF(Z15&lt;&gt;"",IF(COUNTA($E15:$Y15)&gt;0," OR ","")&amp;'Dashboard Config'!$B$7&amp;"="""&amp;Z15&amp;"""","")&amp;IF(AA15&lt;&gt;"",IF(COUNTA($E15:$Z15)&gt;0," OR ","")&amp;'Dashboard Config'!$B$7&amp;"="""&amp;AA15&amp;"""","")&amp;IF(AB15&lt;&gt;"",IF(COUNTA($E15:$AA15)&gt;0," OR ","")&amp;'Dashboard Config'!$B$7&amp;"="""&amp;AB15&amp;"""","")&amp;IF(AC15&lt;&gt;"",IF(COUNTA($E15:$AB15)&gt;0," OR ","")&amp;AC15,"")&amp;")")</x:f>
      </x:c>
      <x:c r="AE15" s="48" t="str">
        <x:f>IF($AD15="","",CHAR(123)&amp;CHAR(34)&amp;"label"&amp;CHAR(34)&amp;":"&amp;CHAR(34)&amp;$C15&amp;CHAR(34)&amp;","&amp;CHAR(34)&amp;"value"&amp;CHAR(34)&amp;":"&amp;CHAR(34)&amp;SUBSTITUTE($AD15,CHAR(34),CHAR(92)&amp;CHAR(34))&amp;CHAR(34)&amp;CHAR(125))</x:f>
      </x:c>
      <x:c r="AF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  <x:c r="AA16" s="42"/>
      <x:c r="AB16" s="42"/>
      <x:c r="AC16" s="42"/>
      <x:c r="AD16" s="48" t="str">
        <x:f>IF(OR($A16&lt;&gt;"Yes",$C16="",COUNTA($E16:$AC16)=0),"","("&amp;IF(E16&lt;&gt;"",'Dashboard Config'!$B$6&amp;"="""&amp;E16&amp;"""","")&amp;IF(F16&lt;&gt;"",IF(COUNTA($E16:$E16)&gt;0," OR ","")&amp;'Dashboard Config'!$B$6&amp;"="""&amp;F16&amp;"""","")&amp;IF(G16&lt;&gt;"",IF(COUNTA($E16:$F16)&gt;0," OR ","")&amp;'Dashboard Config'!$B$6&amp;"="""&amp;G16&amp;"""","")&amp;IF(H16&lt;&gt;"",IF(COUNTA($E16:$G16)&gt;0," OR ","")&amp;'Dashboard Config'!$B$6&amp;"="""&amp;H16&amp;"""","")&amp;IF(I16&lt;&gt;"",IF(COUNTA($E16:$H16)&gt;0," OR ","")&amp;'Dashboard Config'!$B$6&amp;"="""&amp;I16&amp;"""","")&amp;IF(J16&lt;&gt;"",IF(COUNTA($E16:$I16)&gt;0," OR ","")&amp;'Dashboard Config'!$B$6&amp;"="""&amp;J16&amp;"""","")&amp;IF(K16&lt;&gt;"",IF(COUNTA($E16:$J16)&gt;0," OR ","")&amp;'Dashboard Config'!$B$6&amp;"="""&amp;K16&amp;"""","")&amp;IF(L16&lt;&gt;"",IF(COUNTA($E16:$K16)&gt;0," OR ","")&amp;'Dashboard Config'!$B$6&amp;"="""&amp;L16&amp;"""","")&amp;IF(M16&lt;&gt;"",IF(COUNTA($E16:$L16)&gt;0," OR ","")&amp;'Dashboard Config'!$B$7&amp;"="""&amp;M16&amp;"""","")&amp;IF(N16&lt;&gt;"",IF(COUNTA($E16:$M16)&gt;0," OR ","")&amp;'Dashboard Config'!$B$7&amp;"="""&amp;N16&amp;"""","")&amp;IF(O16&lt;&gt;"",IF(COUNTA($E16:$N16)&gt;0," OR ","")&amp;'Dashboard Config'!$B$7&amp;"="""&amp;O16&amp;"""","")&amp;IF(P16&lt;&gt;"",IF(COUNTA($E16:$O16)&gt;0," OR ","")&amp;'Dashboard Config'!$B$7&amp;"="""&amp;P16&amp;"""","")&amp;IF(Q16&lt;&gt;"",IF(COUNTA($E16:$P16)&gt;0," OR ","")&amp;'Dashboard Config'!$B$7&amp;"="""&amp;Q16&amp;"""","")&amp;IF(R16&lt;&gt;"",IF(COUNTA($E16:$Q16)&gt;0," OR ","")&amp;'Dashboard Config'!$B$7&amp;"="""&amp;R16&amp;"""","")&amp;IF(S16&lt;&gt;"",IF(COUNTA($E16:$R16)&gt;0," OR ","")&amp;'Dashboard Config'!$B$7&amp;"="""&amp;S16&amp;"""","")&amp;IF(T16&lt;&gt;"",IF(COUNTA($E16:$S16)&gt;0," OR ","")&amp;'Dashboard Config'!$B$7&amp;"="""&amp;T16&amp;"""","")&amp;IF(U16&lt;&gt;"",IF(COUNTA($E16:$T16)&gt;0," OR ","")&amp;'Dashboard Config'!$B$7&amp;"="""&amp;U16&amp;"""","")&amp;IF(V16&lt;&gt;"",IF(COUNTA($E16:$U16)&gt;0," OR ","")&amp;'Dashboard Config'!$B$7&amp;"="""&amp;V16&amp;"""","")&amp;IF(W16&lt;&gt;"",IF(COUNTA($E16:$V16)&gt;0," OR ","")&amp;'Dashboard Config'!$B$7&amp;"="""&amp;W16&amp;"""","")&amp;IF(X16&lt;&gt;"",IF(COUNTA($E16:$W16)&gt;0," OR ","")&amp;'Dashboard Config'!$B$7&amp;"="""&amp;X16&amp;"""","")&amp;IF(Y16&lt;&gt;"",IF(COUNTA($E16:$X16)&gt;0," OR ","")&amp;'Dashboard Config'!$B$7&amp;"="""&amp;Y16&amp;"""","")&amp;IF(Z16&lt;&gt;"",IF(COUNTA($E16:$Y16)&gt;0," OR ","")&amp;'Dashboard Config'!$B$7&amp;"="""&amp;Z16&amp;"""","")&amp;IF(AA16&lt;&gt;"",IF(COUNTA($E16:$Z16)&gt;0," OR ","")&amp;'Dashboard Config'!$B$7&amp;"="""&amp;AA16&amp;"""","")&amp;IF(AB16&lt;&gt;"",IF(COUNTA($E16:$AA16)&gt;0," OR ","")&amp;'Dashboard Config'!$B$7&amp;"="""&amp;AB16&amp;"""","")&amp;IF(AC16&lt;&gt;"",IF(COUNTA($E16:$AB16)&gt;0," OR ","")&amp;AC16,"")&amp;")")</x:f>
      </x:c>
      <x:c r="AE16" s="48" t="str">
        <x:f>IF($AD16="","",CHAR(123)&amp;CHAR(34)&amp;"label"&amp;CHAR(34)&amp;":"&amp;CHAR(34)&amp;$C16&amp;CHAR(34)&amp;","&amp;CHAR(34)&amp;"value"&amp;CHAR(34)&amp;":"&amp;CHAR(34)&amp;SUBSTITUTE($AD16,CHAR(34),CHAR(92)&amp;CHAR(34))&amp;CHAR(34)&amp;CHAR(125))</x:f>
      </x:c>
      <x:c r="AF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  <x:c r="AA17" s="42"/>
      <x:c r="AB17" s="42"/>
      <x:c r="AC17" s="42"/>
      <x:c r="AD17" s="48" t="str">
        <x:f>IF(OR($A17&lt;&gt;"Yes",$C17="",COUNTA($E17:$AC17)=0),"","("&amp;IF(E17&lt;&gt;"",'Dashboard Config'!$B$6&amp;"="""&amp;E17&amp;"""","")&amp;IF(F17&lt;&gt;"",IF(COUNTA($E17:$E17)&gt;0," OR ","")&amp;'Dashboard Config'!$B$6&amp;"="""&amp;F17&amp;"""","")&amp;IF(G17&lt;&gt;"",IF(COUNTA($E17:$F17)&gt;0," OR ","")&amp;'Dashboard Config'!$B$6&amp;"="""&amp;G17&amp;"""","")&amp;IF(H17&lt;&gt;"",IF(COUNTA($E17:$G17)&gt;0," OR ","")&amp;'Dashboard Config'!$B$6&amp;"="""&amp;H17&amp;"""","")&amp;IF(I17&lt;&gt;"",IF(COUNTA($E17:$H17)&gt;0," OR ","")&amp;'Dashboard Config'!$B$6&amp;"="""&amp;I17&amp;"""","")&amp;IF(J17&lt;&gt;"",IF(COUNTA($E17:$I17)&gt;0," OR ","")&amp;'Dashboard Config'!$B$6&amp;"="""&amp;J17&amp;"""","")&amp;IF(K17&lt;&gt;"",IF(COUNTA($E17:$J17)&gt;0," OR ","")&amp;'Dashboard Config'!$B$6&amp;"="""&amp;K17&amp;"""","")&amp;IF(L17&lt;&gt;"",IF(COUNTA($E17:$K17)&gt;0," OR ","")&amp;'Dashboard Config'!$B$6&amp;"="""&amp;L17&amp;"""","")&amp;IF(M17&lt;&gt;"",IF(COUNTA($E17:$L17)&gt;0," OR ","")&amp;'Dashboard Config'!$B$7&amp;"="""&amp;M17&amp;"""","")&amp;IF(N17&lt;&gt;"",IF(COUNTA($E17:$M17)&gt;0," OR ","")&amp;'Dashboard Config'!$B$7&amp;"="""&amp;N17&amp;"""","")&amp;IF(O17&lt;&gt;"",IF(COUNTA($E17:$N17)&gt;0," OR ","")&amp;'Dashboard Config'!$B$7&amp;"="""&amp;O17&amp;"""","")&amp;IF(P17&lt;&gt;"",IF(COUNTA($E17:$O17)&gt;0," OR ","")&amp;'Dashboard Config'!$B$7&amp;"="""&amp;P17&amp;"""","")&amp;IF(Q17&lt;&gt;"",IF(COUNTA($E17:$P17)&gt;0," OR ","")&amp;'Dashboard Config'!$B$7&amp;"="""&amp;Q17&amp;"""","")&amp;IF(R17&lt;&gt;"",IF(COUNTA($E17:$Q17)&gt;0," OR ","")&amp;'Dashboard Config'!$B$7&amp;"="""&amp;R17&amp;"""","")&amp;IF(S17&lt;&gt;"",IF(COUNTA($E17:$R17)&gt;0," OR ","")&amp;'Dashboard Config'!$B$7&amp;"="""&amp;S17&amp;"""","")&amp;IF(T17&lt;&gt;"",IF(COUNTA($E17:$S17)&gt;0," OR ","")&amp;'Dashboard Config'!$B$7&amp;"="""&amp;T17&amp;"""","")&amp;IF(U17&lt;&gt;"",IF(COUNTA($E17:$T17)&gt;0," OR ","")&amp;'Dashboard Config'!$B$7&amp;"="""&amp;U17&amp;"""","")&amp;IF(V17&lt;&gt;"",IF(COUNTA($E17:$U17)&gt;0," OR ","")&amp;'Dashboard Config'!$B$7&amp;"="""&amp;V17&amp;"""","")&amp;IF(W17&lt;&gt;"",IF(COUNTA($E17:$V17)&gt;0," OR ","")&amp;'Dashboard Config'!$B$7&amp;"="""&amp;W17&amp;"""","")&amp;IF(X17&lt;&gt;"",IF(COUNTA($E17:$W17)&gt;0," OR ","")&amp;'Dashboard Config'!$B$7&amp;"="""&amp;X17&amp;"""","")&amp;IF(Y17&lt;&gt;"",IF(COUNTA($E17:$X17)&gt;0," OR ","")&amp;'Dashboard Config'!$B$7&amp;"="""&amp;Y17&amp;"""","")&amp;IF(Z17&lt;&gt;"",IF(COUNTA($E17:$Y17)&gt;0," OR ","")&amp;'Dashboard Config'!$B$7&amp;"="""&amp;Z17&amp;"""","")&amp;IF(AA17&lt;&gt;"",IF(COUNTA($E17:$Z17)&gt;0," OR ","")&amp;'Dashboard Config'!$B$7&amp;"="""&amp;AA17&amp;"""","")&amp;IF(AB17&lt;&gt;"",IF(COUNTA($E17:$AA17)&gt;0," OR ","")&amp;'Dashboard Config'!$B$7&amp;"="""&amp;AB17&amp;"""","")&amp;IF(AC17&lt;&gt;"",IF(COUNTA($E17:$AB17)&gt;0," OR ","")&amp;AC17,"")&amp;")")</x:f>
      </x:c>
      <x:c r="AE17" s="48" t="str">
        <x:f>IF($AD17="","",CHAR(123)&amp;CHAR(34)&amp;"label"&amp;CHAR(34)&amp;":"&amp;CHAR(34)&amp;$C17&amp;CHAR(34)&amp;","&amp;CHAR(34)&amp;"value"&amp;CHAR(34)&amp;":"&amp;CHAR(34)&amp;SUBSTITUTE($AD17,CHAR(34),CHAR(92)&amp;CHAR(34))&amp;CHAR(34)&amp;CHAR(125))</x:f>
      </x:c>
      <x:c r="AF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  <x:c r="AA18" s="42"/>
      <x:c r="AB18" s="42"/>
      <x:c r="AC18" s="42"/>
      <x:c r="AD18" s="48" t="str">
        <x:f>IF(OR($A18&lt;&gt;"Yes",$C18="",COUNTA($E18:$AC18)=0),"","("&amp;IF(E18&lt;&gt;"",'Dashboard Config'!$B$6&amp;"="""&amp;E18&amp;"""","")&amp;IF(F18&lt;&gt;"",IF(COUNTA($E18:$E18)&gt;0," OR ","")&amp;'Dashboard Config'!$B$6&amp;"="""&amp;F18&amp;"""","")&amp;IF(G18&lt;&gt;"",IF(COUNTA($E18:$F18)&gt;0," OR ","")&amp;'Dashboard Config'!$B$6&amp;"="""&amp;G18&amp;"""","")&amp;IF(H18&lt;&gt;"",IF(COUNTA($E18:$G18)&gt;0," OR ","")&amp;'Dashboard Config'!$B$6&amp;"="""&amp;H18&amp;"""","")&amp;IF(I18&lt;&gt;"",IF(COUNTA($E18:$H18)&gt;0," OR ","")&amp;'Dashboard Config'!$B$6&amp;"="""&amp;I18&amp;"""","")&amp;IF(J18&lt;&gt;"",IF(COUNTA($E18:$I18)&gt;0," OR ","")&amp;'Dashboard Config'!$B$6&amp;"="""&amp;J18&amp;"""","")&amp;IF(K18&lt;&gt;"",IF(COUNTA($E18:$J18)&gt;0," OR ","")&amp;'Dashboard Config'!$B$6&amp;"="""&amp;K18&amp;"""","")&amp;IF(L18&lt;&gt;"",IF(COUNTA($E18:$K18)&gt;0," OR ","")&amp;'Dashboard Config'!$B$6&amp;"="""&amp;L18&amp;"""","")&amp;IF(M18&lt;&gt;"",IF(COUNTA($E18:$L18)&gt;0," OR ","")&amp;'Dashboard Config'!$B$7&amp;"="""&amp;M18&amp;"""","")&amp;IF(N18&lt;&gt;"",IF(COUNTA($E18:$M18)&gt;0," OR ","")&amp;'Dashboard Config'!$B$7&amp;"="""&amp;N18&amp;"""","")&amp;IF(O18&lt;&gt;"",IF(COUNTA($E18:$N18)&gt;0," OR ","")&amp;'Dashboard Config'!$B$7&amp;"="""&amp;O18&amp;"""","")&amp;IF(P18&lt;&gt;"",IF(COUNTA($E18:$O18)&gt;0," OR ","")&amp;'Dashboard Config'!$B$7&amp;"="""&amp;P18&amp;"""","")&amp;IF(Q18&lt;&gt;"",IF(COUNTA($E18:$P18)&gt;0," OR ","")&amp;'Dashboard Config'!$B$7&amp;"="""&amp;Q18&amp;"""","")&amp;IF(R18&lt;&gt;"",IF(COUNTA($E18:$Q18)&gt;0," OR ","")&amp;'Dashboard Config'!$B$7&amp;"="""&amp;R18&amp;"""","")&amp;IF(S18&lt;&gt;"",IF(COUNTA($E18:$R18)&gt;0," OR ","")&amp;'Dashboard Config'!$B$7&amp;"="""&amp;S18&amp;"""","")&amp;IF(T18&lt;&gt;"",IF(COUNTA($E18:$S18)&gt;0," OR ","")&amp;'Dashboard Config'!$B$7&amp;"="""&amp;T18&amp;"""","")&amp;IF(U18&lt;&gt;"",IF(COUNTA($E18:$T18)&gt;0," OR ","")&amp;'Dashboard Config'!$B$7&amp;"="""&amp;U18&amp;"""","")&amp;IF(V18&lt;&gt;"",IF(COUNTA($E18:$U18)&gt;0," OR ","")&amp;'Dashboard Config'!$B$7&amp;"="""&amp;V18&amp;"""","")&amp;IF(W18&lt;&gt;"",IF(COUNTA($E18:$V18)&gt;0," OR ","")&amp;'Dashboard Config'!$B$7&amp;"="""&amp;W18&amp;"""","")&amp;IF(X18&lt;&gt;"",IF(COUNTA($E18:$W18)&gt;0," OR ","")&amp;'Dashboard Config'!$B$7&amp;"="""&amp;X18&amp;"""","")&amp;IF(Y18&lt;&gt;"",IF(COUNTA($E18:$X18)&gt;0," OR ","")&amp;'Dashboard Config'!$B$7&amp;"="""&amp;Y18&amp;"""","")&amp;IF(Z18&lt;&gt;"",IF(COUNTA($E18:$Y18)&gt;0," OR ","")&amp;'Dashboard Config'!$B$7&amp;"="""&amp;Z18&amp;"""","")&amp;IF(AA18&lt;&gt;"",IF(COUNTA($E18:$Z18)&gt;0," OR ","")&amp;'Dashboard Config'!$B$7&amp;"="""&amp;AA18&amp;"""","")&amp;IF(AB18&lt;&gt;"",IF(COUNTA($E18:$AA18)&gt;0," OR ","")&amp;'Dashboard Config'!$B$7&amp;"="""&amp;AB18&amp;"""","")&amp;IF(AC18&lt;&gt;"",IF(COUNTA($E18:$AB18)&gt;0," OR ","")&amp;AC18,"")&amp;")")</x:f>
      </x:c>
      <x:c r="AE18" s="48" t="str">
        <x:f>IF($AD18="","",CHAR(123)&amp;CHAR(34)&amp;"label"&amp;CHAR(34)&amp;":"&amp;CHAR(34)&amp;$C18&amp;CHAR(34)&amp;","&amp;CHAR(34)&amp;"value"&amp;CHAR(34)&amp;":"&amp;CHAR(34)&amp;SUBSTITUTE($AD18,CHAR(34),CHAR(92)&amp;CHAR(34))&amp;CHAR(34)&amp;CHAR(125))</x:f>
      </x:c>
      <x:c r="AF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  <x:c r="AA19" s="42"/>
      <x:c r="AB19" s="42"/>
      <x:c r="AC19" s="42"/>
      <x:c r="AD19" s="48" t="str">
        <x:f>IF(OR($A19&lt;&gt;"Yes",$C19="",COUNTA($E19:$AC19)=0),"","("&amp;IF(E19&lt;&gt;"",'Dashboard Config'!$B$6&amp;"="""&amp;E19&amp;"""","")&amp;IF(F19&lt;&gt;"",IF(COUNTA($E19:$E19)&gt;0," OR ","")&amp;'Dashboard Config'!$B$6&amp;"="""&amp;F19&amp;"""","")&amp;IF(G19&lt;&gt;"",IF(COUNTA($E19:$F19)&gt;0," OR ","")&amp;'Dashboard Config'!$B$6&amp;"="""&amp;G19&amp;"""","")&amp;IF(H19&lt;&gt;"",IF(COUNTA($E19:$G19)&gt;0," OR ","")&amp;'Dashboard Config'!$B$6&amp;"="""&amp;H19&amp;"""","")&amp;IF(I19&lt;&gt;"",IF(COUNTA($E19:$H19)&gt;0," OR ","")&amp;'Dashboard Config'!$B$6&amp;"="""&amp;I19&amp;"""","")&amp;IF(J19&lt;&gt;"",IF(COUNTA($E19:$I19)&gt;0," OR ","")&amp;'Dashboard Config'!$B$6&amp;"="""&amp;J19&amp;"""","")&amp;IF(K19&lt;&gt;"",IF(COUNTA($E19:$J19)&gt;0," OR ","")&amp;'Dashboard Config'!$B$6&amp;"="""&amp;K19&amp;"""","")&amp;IF(L19&lt;&gt;"",IF(COUNTA($E19:$K19)&gt;0," OR ","")&amp;'Dashboard Config'!$B$6&amp;"="""&amp;L19&amp;"""","")&amp;IF(M19&lt;&gt;"",IF(COUNTA($E19:$L19)&gt;0," OR ","")&amp;'Dashboard Config'!$B$7&amp;"="""&amp;M19&amp;"""","")&amp;IF(N19&lt;&gt;"",IF(COUNTA($E19:$M19)&gt;0," OR ","")&amp;'Dashboard Config'!$B$7&amp;"="""&amp;N19&amp;"""","")&amp;IF(O19&lt;&gt;"",IF(COUNTA($E19:$N19)&gt;0," OR ","")&amp;'Dashboard Config'!$B$7&amp;"="""&amp;O19&amp;"""","")&amp;IF(P19&lt;&gt;"",IF(COUNTA($E19:$O19)&gt;0," OR ","")&amp;'Dashboard Config'!$B$7&amp;"="""&amp;P19&amp;"""","")&amp;IF(Q19&lt;&gt;"",IF(COUNTA($E19:$P19)&gt;0," OR ","")&amp;'Dashboard Config'!$B$7&amp;"="""&amp;Q19&amp;"""","")&amp;IF(R19&lt;&gt;"",IF(COUNTA($E19:$Q19)&gt;0," OR ","")&amp;'Dashboard Config'!$B$7&amp;"="""&amp;R19&amp;"""","")&amp;IF(S19&lt;&gt;"",IF(COUNTA($E19:$R19)&gt;0," OR ","")&amp;'Dashboard Config'!$B$7&amp;"="""&amp;S19&amp;"""","")&amp;IF(T19&lt;&gt;"",IF(COUNTA($E19:$S19)&gt;0," OR ","")&amp;'Dashboard Config'!$B$7&amp;"="""&amp;T19&amp;"""","")&amp;IF(U19&lt;&gt;"",IF(COUNTA($E19:$T19)&gt;0," OR ","")&amp;'Dashboard Config'!$B$7&amp;"="""&amp;U19&amp;"""","")&amp;IF(V19&lt;&gt;"",IF(COUNTA($E19:$U19)&gt;0," OR ","")&amp;'Dashboard Config'!$B$7&amp;"="""&amp;V19&amp;"""","")&amp;IF(W19&lt;&gt;"",IF(COUNTA($E19:$V19)&gt;0," OR ","")&amp;'Dashboard Config'!$B$7&amp;"="""&amp;W19&amp;"""","")&amp;IF(X19&lt;&gt;"",IF(COUNTA($E19:$W19)&gt;0," OR ","")&amp;'Dashboard Config'!$B$7&amp;"="""&amp;X19&amp;"""","")&amp;IF(Y19&lt;&gt;"",IF(COUNTA($E19:$X19)&gt;0," OR ","")&amp;'Dashboard Config'!$B$7&amp;"="""&amp;Y19&amp;"""","")&amp;IF(Z19&lt;&gt;"",IF(COUNTA($E19:$Y19)&gt;0," OR ","")&amp;'Dashboard Config'!$B$7&amp;"="""&amp;Z19&amp;"""","")&amp;IF(AA19&lt;&gt;"",IF(COUNTA($E19:$Z19)&gt;0," OR ","")&amp;'Dashboard Config'!$B$7&amp;"="""&amp;AA19&amp;"""","")&amp;IF(AB19&lt;&gt;"",IF(COUNTA($E19:$AA19)&gt;0," OR ","")&amp;'Dashboard Config'!$B$7&amp;"="""&amp;AB19&amp;"""","")&amp;IF(AC19&lt;&gt;"",IF(COUNTA($E19:$AB19)&gt;0," OR ","")&amp;AC19,"")&amp;")")</x:f>
      </x:c>
      <x:c r="AE19" s="48" t="str">
        <x:f>IF($AD19="","",CHAR(123)&amp;CHAR(34)&amp;"label"&amp;CHAR(34)&amp;":"&amp;CHAR(34)&amp;$C19&amp;CHAR(34)&amp;","&amp;CHAR(34)&amp;"value"&amp;CHAR(34)&amp;":"&amp;CHAR(34)&amp;SUBSTITUTE($AD19,CHAR(34),CHAR(92)&amp;CHAR(34))&amp;CHAR(34)&amp;CHAR(125))</x:f>
      </x:c>
      <x:c r="AF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  <x:c r="AA20" s="42"/>
      <x:c r="AB20" s="42"/>
      <x:c r="AC20" s="42"/>
      <x:c r="AD20" s="48" t="str">
        <x:f>IF(OR($A20&lt;&gt;"Yes",$C20="",COUNTA($E20:$AC20)=0),"","("&amp;IF(E20&lt;&gt;"",'Dashboard Config'!$B$6&amp;"="""&amp;E20&amp;"""","")&amp;IF(F20&lt;&gt;"",IF(COUNTA($E20:$E20)&gt;0," OR ","")&amp;'Dashboard Config'!$B$6&amp;"="""&amp;F20&amp;"""","")&amp;IF(G20&lt;&gt;"",IF(COUNTA($E20:$F20)&gt;0," OR ","")&amp;'Dashboard Config'!$B$6&amp;"="""&amp;G20&amp;"""","")&amp;IF(H20&lt;&gt;"",IF(COUNTA($E20:$G20)&gt;0," OR ","")&amp;'Dashboard Config'!$B$6&amp;"="""&amp;H20&amp;"""","")&amp;IF(I20&lt;&gt;"",IF(COUNTA($E20:$H20)&gt;0," OR ","")&amp;'Dashboard Config'!$B$6&amp;"="""&amp;I20&amp;"""","")&amp;IF(J20&lt;&gt;"",IF(COUNTA($E20:$I20)&gt;0," OR ","")&amp;'Dashboard Config'!$B$6&amp;"="""&amp;J20&amp;"""","")&amp;IF(K20&lt;&gt;"",IF(COUNTA($E20:$J20)&gt;0," OR ","")&amp;'Dashboard Config'!$B$6&amp;"="""&amp;K20&amp;"""","")&amp;IF(L20&lt;&gt;"",IF(COUNTA($E20:$K20)&gt;0," OR ","")&amp;'Dashboard Config'!$B$6&amp;"="""&amp;L20&amp;"""","")&amp;IF(M20&lt;&gt;"",IF(COUNTA($E20:$L20)&gt;0," OR ","")&amp;'Dashboard Config'!$B$7&amp;"="""&amp;M20&amp;"""","")&amp;IF(N20&lt;&gt;"",IF(COUNTA($E20:$M20)&gt;0," OR ","")&amp;'Dashboard Config'!$B$7&amp;"="""&amp;N20&amp;"""","")&amp;IF(O20&lt;&gt;"",IF(COUNTA($E20:$N20)&gt;0," OR ","")&amp;'Dashboard Config'!$B$7&amp;"="""&amp;O20&amp;"""","")&amp;IF(P20&lt;&gt;"",IF(COUNTA($E20:$O20)&gt;0," OR ","")&amp;'Dashboard Config'!$B$7&amp;"="""&amp;P20&amp;"""","")&amp;IF(Q20&lt;&gt;"",IF(COUNTA($E20:$P20)&gt;0," OR ","")&amp;'Dashboard Config'!$B$7&amp;"="""&amp;Q20&amp;"""","")&amp;IF(R20&lt;&gt;"",IF(COUNTA($E20:$Q20)&gt;0," OR ","")&amp;'Dashboard Config'!$B$7&amp;"="""&amp;R20&amp;"""","")&amp;IF(S20&lt;&gt;"",IF(COUNTA($E20:$R20)&gt;0," OR ","")&amp;'Dashboard Config'!$B$7&amp;"="""&amp;S20&amp;"""","")&amp;IF(T20&lt;&gt;"",IF(COUNTA($E20:$S20)&gt;0," OR ","")&amp;'Dashboard Config'!$B$7&amp;"="""&amp;T20&amp;"""","")&amp;IF(U20&lt;&gt;"",IF(COUNTA($E20:$T20)&gt;0," OR ","")&amp;'Dashboard Config'!$B$7&amp;"="""&amp;U20&amp;"""","")&amp;IF(V20&lt;&gt;"",IF(COUNTA($E20:$U20)&gt;0," OR ","")&amp;'Dashboard Config'!$B$7&amp;"="""&amp;V20&amp;"""","")&amp;IF(W20&lt;&gt;"",IF(COUNTA($E20:$V20)&gt;0," OR ","")&amp;'Dashboard Config'!$B$7&amp;"="""&amp;W20&amp;"""","")&amp;IF(X20&lt;&gt;"",IF(COUNTA($E20:$W20)&gt;0," OR ","")&amp;'Dashboard Config'!$B$7&amp;"="""&amp;X20&amp;"""","")&amp;IF(Y20&lt;&gt;"",IF(COUNTA($E20:$X20)&gt;0," OR ","")&amp;'Dashboard Config'!$B$7&amp;"="""&amp;Y20&amp;"""","")&amp;IF(Z20&lt;&gt;"",IF(COUNTA($E20:$Y20)&gt;0," OR ","")&amp;'Dashboard Config'!$B$7&amp;"="""&amp;Z20&amp;"""","")&amp;IF(AA20&lt;&gt;"",IF(COUNTA($E20:$Z20)&gt;0," OR ","")&amp;'Dashboard Config'!$B$7&amp;"="""&amp;AA20&amp;"""","")&amp;IF(AB20&lt;&gt;"",IF(COUNTA($E20:$AA20)&gt;0," OR ","")&amp;'Dashboard Config'!$B$7&amp;"="""&amp;AB20&amp;"""","")&amp;IF(AC20&lt;&gt;"",IF(COUNTA($E20:$AB20)&gt;0," OR ","")&amp;AC20,"")&amp;")")</x:f>
      </x:c>
      <x:c r="AE20" s="48" t="str">
        <x:f>IF($AD20="","",CHAR(123)&amp;CHAR(34)&amp;"label"&amp;CHAR(34)&amp;":"&amp;CHAR(34)&amp;$C20&amp;CHAR(34)&amp;","&amp;CHAR(34)&amp;"value"&amp;CHAR(34)&amp;":"&amp;CHAR(34)&amp;SUBSTITUTE($AD20,CHAR(34),CHAR(92)&amp;CHAR(34))&amp;CHAR(34)&amp;CHAR(125))</x:f>
      </x:c>
      <x:c r="AF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  <x:c r="AA21" s="42"/>
      <x:c r="AB21" s="42"/>
      <x:c r="AC21" s="42"/>
      <x:c r="AD21" s="48" t="str">
        <x:f>IF(OR($A21&lt;&gt;"Yes",$C21="",COUNTA($E21:$AC21)=0),"","("&amp;IF(E21&lt;&gt;"",'Dashboard Config'!$B$6&amp;"="""&amp;E21&amp;"""","")&amp;IF(F21&lt;&gt;"",IF(COUNTA($E21:$E21)&gt;0," OR ","")&amp;'Dashboard Config'!$B$6&amp;"="""&amp;F21&amp;"""","")&amp;IF(G21&lt;&gt;"",IF(COUNTA($E21:$F21)&gt;0," OR ","")&amp;'Dashboard Config'!$B$6&amp;"="""&amp;G21&amp;"""","")&amp;IF(H21&lt;&gt;"",IF(COUNTA($E21:$G21)&gt;0," OR ","")&amp;'Dashboard Config'!$B$6&amp;"="""&amp;H21&amp;"""","")&amp;IF(I21&lt;&gt;"",IF(COUNTA($E21:$H21)&gt;0," OR ","")&amp;'Dashboard Config'!$B$6&amp;"="""&amp;I21&amp;"""","")&amp;IF(J21&lt;&gt;"",IF(COUNTA($E21:$I21)&gt;0," OR ","")&amp;'Dashboard Config'!$B$6&amp;"="""&amp;J21&amp;"""","")&amp;IF(K21&lt;&gt;"",IF(COUNTA($E21:$J21)&gt;0," OR ","")&amp;'Dashboard Config'!$B$6&amp;"="""&amp;K21&amp;"""","")&amp;IF(L21&lt;&gt;"",IF(COUNTA($E21:$K21)&gt;0," OR ","")&amp;'Dashboard Config'!$B$6&amp;"="""&amp;L21&amp;"""","")&amp;IF(M21&lt;&gt;"",IF(COUNTA($E21:$L21)&gt;0," OR ","")&amp;'Dashboard Config'!$B$7&amp;"="""&amp;M21&amp;"""","")&amp;IF(N21&lt;&gt;"",IF(COUNTA($E21:$M21)&gt;0," OR ","")&amp;'Dashboard Config'!$B$7&amp;"="""&amp;N21&amp;"""","")&amp;IF(O21&lt;&gt;"",IF(COUNTA($E21:$N21)&gt;0," OR ","")&amp;'Dashboard Config'!$B$7&amp;"="""&amp;O21&amp;"""","")&amp;IF(P21&lt;&gt;"",IF(COUNTA($E21:$O21)&gt;0," OR ","")&amp;'Dashboard Config'!$B$7&amp;"="""&amp;P21&amp;"""","")&amp;IF(Q21&lt;&gt;"",IF(COUNTA($E21:$P21)&gt;0," OR ","")&amp;'Dashboard Config'!$B$7&amp;"="""&amp;Q21&amp;"""","")&amp;IF(R21&lt;&gt;"",IF(COUNTA($E21:$Q21)&gt;0," OR ","")&amp;'Dashboard Config'!$B$7&amp;"="""&amp;R21&amp;"""","")&amp;IF(S21&lt;&gt;"",IF(COUNTA($E21:$R21)&gt;0," OR ","")&amp;'Dashboard Config'!$B$7&amp;"="""&amp;S21&amp;"""","")&amp;IF(T21&lt;&gt;"",IF(COUNTA($E21:$S21)&gt;0," OR ","")&amp;'Dashboard Config'!$B$7&amp;"="""&amp;T21&amp;"""","")&amp;IF(U21&lt;&gt;"",IF(COUNTA($E21:$T21)&gt;0," OR ","")&amp;'Dashboard Config'!$B$7&amp;"="""&amp;U21&amp;"""","")&amp;IF(V21&lt;&gt;"",IF(COUNTA($E21:$U21)&gt;0," OR ","")&amp;'Dashboard Config'!$B$7&amp;"="""&amp;V21&amp;"""","")&amp;IF(W21&lt;&gt;"",IF(COUNTA($E21:$V21)&gt;0," OR ","")&amp;'Dashboard Config'!$B$7&amp;"="""&amp;W21&amp;"""","")&amp;IF(X21&lt;&gt;"",IF(COUNTA($E21:$W21)&gt;0," OR ","")&amp;'Dashboard Config'!$B$7&amp;"="""&amp;X21&amp;"""","")&amp;IF(Y21&lt;&gt;"",IF(COUNTA($E21:$X21)&gt;0," OR ","")&amp;'Dashboard Config'!$B$7&amp;"="""&amp;Y21&amp;"""","")&amp;IF(Z21&lt;&gt;"",IF(COUNTA($E21:$Y21)&gt;0," OR ","")&amp;'Dashboard Config'!$B$7&amp;"="""&amp;Z21&amp;"""","")&amp;IF(AA21&lt;&gt;"",IF(COUNTA($E21:$Z21)&gt;0," OR ","")&amp;'Dashboard Config'!$B$7&amp;"="""&amp;AA21&amp;"""","")&amp;IF(AB21&lt;&gt;"",IF(COUNTA($E21:$AA21)&gt;0," OR ","")&amp;'Dashboard Config'!$B$7&amp;"="""&amp;AB21&amp;"""","")&amp;IF(AC21&lt;&gt;"",IF(COUNTA($E21:$AB21)&gt;0," OR ","")&amp;AC21,"")&amp;")")</x:f>
      </x:c>
      <x:c r="AE21" s="48" t="str">
        <x:f>IF($AD21="","",CHAR(123)&amp;CHAR(34)&amp;"label"&amp;CHAR(34)&amp;":"&amp;CHAR(34)&amp;$C21&amp;CHAR(34)&amp;","&amp;CHAR(34)&amp;"value"&amp;CHAR(34)&amp;":"&amp;CHAR(34)&amp;SUBSTITUTE($AD21,CHAR(34),CHAR(92)&amp;CHAR(34))&amp;CHAR(34)&amp;CHAR(125))</x:f>
      </x:c>
      <x:c r="AF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  <x:c r="AA22" s="42"/>
      <x:c r="AB22" s="42"/>
      <x:c r="AC22" s="42"/>
      <x:c r="AD22" s="48" t="str">
        <x:f>IF(OR($A22&lt;&gt;"Yes",$C22="",COUNTA($E22:$AC22)=0),"","("&amp;IF(E22&lt;&gt;"",'Dashboard Config'!$B$6&amp;"="""&amp;E22&amp;"""","")&amp;IF(F22&lt;&gt;"",IF(COUNTA($E22:$E22)&gt;0," OR ","")&amp;'Dashboard Config'!$B$6&amp;"="""&amp;F22&amp;"""","")&amp;IF(G22&lt;&gt;"",IF(COUNTA($E22:$F22)&gt;0," OR ","")&amp;'Dashboard Config'!$B$6&amp;"="""&amp;G22&amp;"""","")&amp;IF(H22&lt;&gt;"",IF(COUNTA($E22:$G22)&gt;0," OR ","")&amp;'Dashboard Config'!$B$6&amp;"="""&amp;H22&amp;"""","")&amp;IF(I22&lt;&gt;"",IF(COUNTA($E22:$H22)&gt;0," OR ","")&amp;'Dashboard Config'!$B$6&amp;"="""&amp;I22&amp;"""","")&amp;IF(J22&lt;&gt;"",IF(COUNTA($E22:$I22)&gt;0," OR ","")&amp;'Dashboard Config'!$B$6&amp;"="""&amp;J22&amp;"""","")&amp;IF(K22&lt;&gt;"",IF(COUNTA($E22:$J22)&gt;0," OR ","")&amp;'Dashboard Config'!$B$6&amp;"="""&amp;K22&amp;"""","")&amp;IF(L22&lt;&gt;"",IF(COUNTA($E22:$K22)&gt;0," OR ","")&amp;'Dashboard Config'!$B$6&amp;"="""&amp;L22&amp;"""","")&amp;IF(M22&lt;&gt;"",IF(COUNTA($E22:$L22)&gt;0," OR ","")&amp;'Dashboard Config'!$B$7&amp;"="""&amp;M22&amp;"""","")&amp;IF(N22&lt;&gt;"",IF(COUNTA($E22:$M22)&gt;0," OR ","")&amp;'Dashboard Config'!$B$7&amp;"="""&amp;N22&amp;"""","")&amp;IF(O22&lt;&gt;"",IF(COUNTA($E22:$N22)&gt;0," OR ","")&amp;'Dashboard Config'!$B$7&amp;"="""&amp;O22&amp;"""","")&amp;IF(P22&lt;&gt;"",IF(COUNTA($E22:$O22)&gt;0," OR ","")&amp;'Dashboard Config'!$B$7&amp;"="""&amp;P22&amp;"""","")&amp;IF(Q22&lt;&gt;"",IF(COUNTA($E22:$P22)&gt;0," OR ","")&amp;'Dashboard Config'!$B$7&amp;"="""&amp;Q22&amp;"""","")&amp;IF(R22&lt;&gt;"",IF(COUNTA($E22:$Q22)&gt;0," OR ","")&amp;'Dashboard Config'!$B$7&amp;"="""&amp;R22&amp;"""","")&amp;IF(S22&lt;&gt;"",IF(COUNTA($E22:$R22)&gt;0," OR ","")&amp;'Dashboard Config'!$B$7&amp;"="""&amp;S22&amp;"""","")&amp;IF(T22&lt;&gt;"",IF(COUNTA($E22:$S22)&gt;0," OR ","")&amp;'Dashboard Config'!$B$7&amp;"="""&amp;T22&amp;"""","")&amp;IF(U22&lt;&gt;"",IF(COUNTA($E22:$T22)&gt;0," OR ","")&amp;'Dashboard Config'!$B$7&amp;"="""&amp;U22&amp;"""","")&amp;IF(V22&lt;&gt;"",IF(COUNTA($E22:$U22)&gt;0," OR ","")&amp;'Dashboard Config'!$B$7&amp;"="""&amp;V22&amp;"""","")&amp;IF(W22&lt;&gt;"",IF(COUNTA($E22:$V22)&gt;0," OR ","")&amp;'Dashboard Config'!$B$7&amp;"="""&amp;W22&amp;"""","")&amp;IF(X22&lt;&gt;"",IF(COUNTA($E22:$W22)&gt;0," OR ","")&amp;'Dashboard Config'!$B$7&amp;"="""&amp;X22&amp;"""","")&amp;IF(Y22&lt;&gt;"",IF(COUNTA($E22:$X22)&gt;0," OR ","")&amp;'Dashboard Config'!$B$7&amp;"="""&amp;Y22&amp;"""","")&amp;IF(Z22&lt;&gt;"",IF(COUNTA($E22:$Y22)&gt;0," OR ","")&amp;'Dashboard Config'!$B$7&amp;"="""&amp;Z22&amp;"""","")&amp;IF(AA22&lt;&gt;"",IF(COUNTA($E22:$Z22)&gt;0," OR ","")&amp;'Dashboard Config'!$B$7&amp;"="""&amp;AA22&amp;"""","")&amp;IF(AB22&lt;&gt;"",IF(COUNTA($E22:$AA22)&gt;0," OR ","")&amp;'Dashboard Config'!$B$7&amp;"="""&amp;AB22&amp;"""","")&amp;IF(AC22&lt;&gt;"",IF(COUNTA($E22:$AB22)&gt;0," OR ","")&amp;AC22,"")&amp;")")</x:f>
      </x:c>
      <x:c r="AE22" s="48" t="str">
        <x:f>IF($AD22="","",CHAR(123)&amp;CHAR(34)&amp;"label"&amp;CHAR(34)&amp;":"&amp;CHAR(34)&amp;$C22&amp;CHAR(34)&amp;","&amp;CHAR(34)&amp;"value"&amp;CHAR(34)&amp;":"&amp;CHAR(34)&amp;SUBSTITUTE($AD22,CHAR(34),CHAR(92)&amp;CHAR(34))&amp;CHAR(34)&amp;CHAR(125))</x:f>
      </x:c>
      <x:c r="AF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  <x:c r="AA23" s="42"/>
      <x:c r="AB23" s="42"/>
      <x:c r="AC23" s="42"/>
      <x:c r="AD23" s="48" t="str">
        <x:f>IF(OR($A23&lt;&gt;"Yes",$C23="",COUNTA($E23:$AC23)=0),"","("&amp;IF(E23&lt;&gt;"",'Dashboard Config'!$B$6&amp;"="""&amp;E23&amp;"""","")&amp;IF(F23&lt;&gt;"",IF(COUNTA($E23:$E23)&gt;0," OR ","")&amp;'Dashboard Config'!$B$6&amp;"="""&amp;F23&amp;"""","")&amp;IF(G23&lt;&gt;"",IF(COUNTA($E23:$F23)&gt;0," OR ","")&amp;'Dashboard Config'!$B$6&amp;"="""&amp;G23&amp;"""","")&amp;IF(H23&lt;&gt;"",IF(COUNTA($E23:$G23)&gt;0," OR ","")&amp;'Dashboard Config'!$B$6&amp;"="""&amp;H23&amp;"""","")&amp;IF(I23&lt;&gt;"",IF(COUNTA($E23:$H23)&gt;0," OR ","")&amp;'Dashboard Config'!$B$6&amp;"="""&amp;I23&amp;"""","")&amp;IF(J23&lt;&gt;"",IF(COUNTA($E23:$I23)&gt;0," OR ","")&amp;'Dashboard Config'!$B$6&amp;"="""&amp;J23&amp;"""","")&amp;IF(K23&lt;&gt;"",IF(COUNTA($E23:$J23)&gt;0," OR ","")&amp;'Dashboard Config'!$B$6&amp;"="""&amp;K23&amp;"""","")&amp;IF(L23&lt;&gt;"",IF(COUNTA($E23:$K23)&gt;0," OR ","")&amp;'Dashboard Config'!$B$6&amp;"="""&amp;L23&amp;"""","")&amp;IF(M23&lt;&gt;"",IF(COUNTA($E23:$L23)&gt;0," OR ","")&amp;'Dashboard Config'!$B$7&amp;"="""&amp;M23&amp;"""","")&amp;IF(N23&lt;&gt;"",IF(COUNTA($E23:$M23)&gt;0," OR ","")&amp;'Dashboard Config'!$B$7&amp;"="""&amp;N23&amp;"""","")&amp;IF(O23&lt;&gt;"",IF(COUNTA($E23:$N23)&gt;0," OR ","")&amp;'Dashboard Config'!$B$7&amp;"="""&amp;O23&amp;"""","")&amp;IF(P23&lt;&gt;"",IF(COUNTA($E23:$O23)&gt;0," OR ","")&amp;'Dashboard Config'!$B$7&amp;"="""&amp;P23&amp;"""","")&amp;IF(Q23&lt;&gt;"",IF(COUNTA($E23:$P23)&gt;0," OR ","")&amp;'Dashboard Config'!$B$7&amp;"="""&amp;Q23&amp;"""","")&amp;IF(R23&lt;&gt;"",IF(COUNTA($E23:$Q23)&gt;0," OR ","")&amp;'Dashboard Config'!$B$7&amp;"="""&amp;R23&amp;"""","")&amp;IF(S23&lt;&gt;"",IF(COUNTA($E23:$R23)&gt;0," OR ","")&amp;'Dashboard Config'!$B$7&amp;"="""&amp;S23&amp;"""","")&amp;IF(T23&lt;&gt;"",IF(COUNTA($E23:$S23)&gt;0," OR ","")&amp;'Dashboard Config'!$B$7&amp;"="""&amp;T23&amp;"""","")&amp;IF(U23&lt;&gt;"",IF(COUNTA($E23:$T23)&gt;0," OR ","")&amp;'Dashboard Config'!$B$7&amp;"="""&amp;U23&amp;"""","")&amp;IF(V23&lt;&gt;"",IF(COUNTA($E23:$U23)&gt;0," OR ","")&amp;'Dashboard Config'!$B$7&amp;"="""&amp;V23&amp;"""","")&amp;IF(W23&lt;&gt;"",IF(COUNTA($E23:$V23)&gt;0," OR ","")&amp;'Dashboard Config'!$B$7&amp;"="""&amp;W23&amp;"""","")&amp;IF(X23&lt;&gt;"",IF(COUNTA($E23:$W23)&gt;0," OR ","")&amp;'Dashboard Config'!$B$7&amp;"="""&amp;X23&amp;"""","")&amp;IF(Y23&lt;&gt;"",IF(COUNTA($E23:$X23)&gt;0," OR ","")&amp;'Dashboard Config'!$B$7&amp;"="""&amp;Y23&amp;"""","")&amp;IF(Z23&lt;&gt;"",IF(COUNTA($E23:$Y23)&gt;0," OR ","")&amp;'Dashboard Config'!$B$7&amp;"="""&amp;Z23&amp;"""","")&amp;IF(AA23&lt;&gt;"",IF(COUNTA($E23:$Z23)&gt;0," OR ","")&amp;'Dashboard Config'!$B$7&amp;"="""&amp;AA23&amp;"""","")&amp;IF(AB23&lt;&gt;"",IF(COUNTA($E23:$AA23)&gt;0," OR ","")&amp;'Dashboard Config'!$B$7&amp;"="""&amp;AB23&amp;"""","")&amp;IF(AC23&lt;&gt;"",IF(COUNTA($E23:$AB23)&gt;0," OR ","")&amp;AC23,"")&amp;")")</x:f>
      </x:c>
      <x:c r="AE23" s="48" t="str">
        <x:f>IF($AD23="","",CHAR(123)&amp;CHAR(34)&amp;"label"&amp;CHAR(34)&amp;":"&amp;CHAR(34)&amp;$C23&amp;CHAR(34)&amp;","&amp;CHAR(34)&amp;"value"&amp;CHAR(34)&amp;":"&amp;CHAR(34)&amp;SUBSTITUTE($AD23,CHAR(34),CHAR(92)&amp;CHAR(34))&amp;CHAR(34)&amp;CHAR(125))</x:f>
      </x:c>
      <x:c r="AF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  <x:c r="AA24" s="42"/>
      <x:c r="AB24" s="42"/>
      <x:c r="AC24" s="42"/>
      <x:c r="AD24" s="48" t="str">
        <x:f>IF(OR($A24&lt;&gt;"Yes",$C24="",COUNTA($E24:$AC24)=0),"","("&amp;IF(E24&lt;&gt;"",'Dashboard Config'!$B$6&amp;"="""&amp;E24&amp;"""","")&amp;IF(F24&lt;&gt;"",IF(COUNTA($E24:$E24)&gt;0," OR ","")&amp;'Dashboard Config'!$B$6&amp;"="""&amp;F24&amp;"""","")&amp;IF(G24&lt;&gt;"",IF(COUNTA($E24:$F24)&gt;0," OR ","")&amp;'Dashboard Config'!$B$6&amp;"="""&amp;G24&amp;"""","")&amp;IF(H24&lt;&gt;"",IF(COUNTA($E24:$G24)&gt;0," OR ","")&amp;'Dashboard Config'!$B$6&amp;"="""&amp;H24&amp;"""","")&amp;IF(I24&lt;&gt;"",IF(COUNTA($E24:$H24)&gt;0," OR ","")&amp;'Dashboard Config'!$B$6&amp;"="""&amp;I24&amp;"""","")&amp;IF(J24&lt;&gt;"",IF(COUNTA($E24:$I24)&gt;0," OR ","")&amp;'Dashboard Config'!$B$6&amp;"="""&amp;J24&amp;"""","")&amp;IF(K24&lt;&gt;"",IF(COUNTA($E24:$J24)&gt;0," OR ","")&amp;'Dashboard Config'!$B$6&amp;"="""&amp;K24&amp;"""","")&amp;IF(L24&lt;&gt;"",IF(COUNTA($E24:$K24)&gt;0," OR ","")&amp;'Dashboard Config'!$B$6&amp;"="""&amp;L24&amp;"""","")&amp;IF(M24&lt;&gt;"",IF(COUNTA($E24:$L24)&gt;0," OR ","")&amp;'Dashboard Config'!$B$7&amp;"="""&amp;M24&amp;"""","")&amp;IF(N24&lt;&gt;"",IF(COUNTA($E24:$M24)&gt;0," OR ","")&amp;'Dashboard Config'!$B$7&amp;"="""&amp;N24&amp;"""","")&amp;IF(O24&lt;&gt;"",IF(COUNTA($E24:$N24)&gt;0," OR ","")&amp;'Dashboard Config'!$B$7&amp;"="""&amp;O24&amp;"""","")&amp;IF(P24&lt;&gt;"",IF(COUNTA($E24:$O24)&gt;0," OR ","")&amp;'Dashboard Config'!$B$7&amp;"="""&amp;P24&amp;"""","")&amp;IF(Q24&lt;&gt;"",IF(COUNTA($E24:$P24)&gt;0," OR ","")&amp;'Dashboard Config'!$B$7&amp;"="""&amp;Q24&amp;"""","")&amp;IF(R24&lt;&gt;"",IF(COUNTA($E24:$Q24)&gt;0," OR ","")&amp;'Dashboard Config'!$B$7&amp;"="""&amp;R24&amp;"""","")&amp;IF(S24&lt;&gt;"",IF(COUNTA($E24:$R24)&gt;0," OR ","")&amp;'Dashboard Config'!$B$7&amp;"="""&amp;S24&amp;"""","")&amp;IF(T24&lt;&gt;"",IF(COUNTA($E24:$S24)&gt;0," OR ","")&amp;'Dashboard Config'!$B$7&amp;"="""&amp;T24&amp;"""","")&amp;IF(U24&lt;&gt;"",IF(COUNTA($E24:$T24)&gt;0," OR ","")&amp;'Dashboard Config'!$B$7&amp;"="""&amp;U24&amp;"""","")&amp;IF(V24&lt;&gt;"",IF(COUNTA($E24:$U24)&gt;0," OR ","")&amp;'Dashboard Config'!$B$7&amp;"="""&amp;V24&amp;"""","")&amp;IF(W24&lt;&gt;"",IF(COUNTA($E24:$V24)&gt;0," OR ","")&amp;'Dashboard Config'!$B$7&amp;"="""&amp;W24&amp;"""","")&amp;IF(X24&lt;&gt;"",IF(COUNTA($E24:$W24)&gt;0," OR ","")&amp;'Dashboard Config'!$B$7&amp;"="""&amp;X24&amp;"""","")&amp;IF(Y24&lt;&gt;"",IF(COUNTA($E24:$X24)&gt;0," OR ","")&amp;'Dashboard Config'!$B$7&amp;"="""&amp;Y24&amp;"""","")&amp;IF(Z24&lt;&gt;"",IF(COUNTA($E24:$Y24)&gt;0," OR ","")&amp;'Dashboard Config'!$B$7&amp;"="""&amp;Z24&amp;"""","")&amp;IF(AA24&lt;&gt;"",IF(COUNTA($E24:$Z24)&gt;0," OR ","")&amp;'Dashboard Config'!$B$7&amp;"="""&amp;AA24&amp;"""","")&amp;IF(AB24&lt;&gt;"",IF(COUNTA($E24:$AA24)&gt;0," OR ","")&amp;'Dashboard Config'!$B$7&amp;"="""&amp;AB24&amp;"""","")&amp;IF(AC24&lt;&gt;"",IF(COUNTA($E24:$AB24)&gt;0," OR ","")&amp;AC24,"")&amp;")")</x:f>
      </x:c>
      <x:c r="AE24" s="48" t="str">
        <x:f>IF($AD24="","",CHAR(123)&amp;CHAR(34)&amp;"label"&amp;CHAR(34)&amp;":"&amp;CHAR(34)&amp;$C24&amp;CHAR(34)&amp;","&amp;CHAR(34)&amp;"value"&amp;CHAR(34)&amp;":"&amp;CHAR(34)&amp;SUBSTITUTE($AD24,CHAR(34),CHAR(92)&amp;CHAR(34))&amp;CHAR(34)&amp;CHAR(125))</x:f>
      </x:c>
      <x:c r="AF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  <x:c r="AA25" s="42"/>
      <x:c r="AB25" s="42"/>
      <x:c r="AC25" s="42"/>
      <x:c r="AD25" s="48" t="str">
        <x:f>IF(OR($A25&lt;&gt;"Yes",$C25="",COUNTA($E25:$AC25)=0),"","("&amp;IF(E25&lt;&gt;"",'Dashboard Config'!$B$6&amp;"="""&amp;E25&amp;"""","")&amp;IF(F25&lt;&gt;"",IF(COUNTA($E25:$E25)&gt;0," OR ","")&amp;'Dashboard Config'!$B$6&amp;"="""&amp;F25&amp;"""","")&amp;IF(G25&lt;&gt;"",IF(COUNTA($E25:$F25)&gt;0," OR ","")&amp;'Dashboard Config'!$B$6&amp;"="""&amp;G25&amp;"""","")&amp;IF(H25&lt;&gt;"",IF(COUNTA($E25:$G25)&gt;0," OR ","")&amp;'Dashboard Config'!$B$6&amp;"="""&amp;H25&amp;"""","")&amp;IF(I25&lt;&gt;"",IF(COUNTA($E25:$H25)&gt;0," OR ","")&amp;'Dashboard Config'!$B$6&amp;"="""&amp;I25&amp;"""","")&amp;IF(J25&lt;&gt;"",IF(COUNTA($E25:$I25)&gt;0," OR ","")&amp;'Dashboard Config'!$B$6&amp;"="""&amp;J25&amp;"""","")&amp;IF(K25&lt;&gt;"",IF(COUNTA($E25:$J25)&gt;0," OR ","")&amp;'Dashboard Config'!$B$6&amp;"="""&amp;K25&amp;"""","")&amp;IF(L25&lt;&gt;"",IF(COUNTA($E25:$K25)&gt;0," OR ","")&amp;'Dashboard Config'!$B$6&amp;"="""&amp;L25&amp;"""","")&amp;IF(M25&lt;&gt;"",IF(COUNTA($E25:$L25)&gt;0," OR ","")&amp;'Dashboard Config'!$B$7&amp;"="""&amp;M25&amp;"""","")&amp;IF(N25&lt;&gt;"",IF(COUNTA($E25:$M25)&gt;0," OR ","")&amp;'Dashboard Config'!$B$7&amp;"="""&amp;N25&amp;"""","")&amp;IF(O25&lt;&gt;"",IF(COUNTA($E25:$N25)&gt;0," OR ","")&amp;'Dashboard Config'!$B$7&amp;"="""&amp;O25&amp;"""","")&amp;IF(P25&lt;&gt;"",IF(COUNTA($E25:$O25)&gt;0," OR ","")&amp;'Dashboard Config'!$B$7&amp;"="""&amp;P25&amp;"""","")&amp;IF(Q25&lt;&gt;"",IF(COUNTA($E25:$P25)&gt;0," OR ","")&amp;'Dashboard Config'!$B$7&amp;"="""&amp;Q25&amp;"""","")&amp;IF(R25&lt;&gt;"",IF(COUNTA($E25:$Q25)&gt;0," OR ","")&amp;'Dashboard Config'!$B$7&amp;"="""&amp;R25&amp;"""","")&amp;IF(S25&lt;&gt;"",IF(COUNTA($E25:$R25)&gt;0," OR ","")&amp;'Dashboard Config'!$B$7&amp;"="""&amp;S25&amp;"""","")&amp;IF(T25&lt;&gt;"",IF(COUNTA($E25:$S25)&gt;0," OR ","")&amp;'Dashboard Config'!$B$7&amp;"="""&amp;T25&amp;"""","")&amp;IF(U25&lt;&gt;"",IF(COUNTA($E25:$T25)&gt;0," OR ","")&amp;'Dashboard Config'!$B$7&amp;"="""&amp;U25&amp;"""","")&amp;IF(V25&lt;&gt;"",IF(COUNTA($E25:$U25)&gt;0," OR ","")&amp;'Dashboard Config'!$B$7&amp;"="""&amp;V25&amp;"""","")&amp;IF(W25&lt;&gt;"",IF(COUNTA($E25:$V25)&gt;0," OR ","")&amp;'Dashboard Config'!$B$7&amp;"="""&amp;W25&amp;"""","")&amp;IF(X25&lt;&gt;"",IF(COUNTA($E25:$W25)&gt;0," OR ","")&amp;'Dashboard Config'!$B$7&amp;"="""&amp;X25&amp;"""","")&amp;IF(Y25&lt;&gt;"",IF(COUNTA($E25:$X25)&gt;0," OR ","")&amp;'Dashboard Config'!$B$7&amp;"="""&amp;Y25&amp;"""","")&amp;IF(Z25&lt;&gt;"",IF(COUNTA($E25:$Y25)&gt;0," OR ","")&amp;'Dashboard Config'!$B$7&amp;"="""&amp;Z25&amp;"""","")&amp;IF(AA25&lt;&gt;"",IF(COUNTA($E25:$Z25)&gt;0," OR ","")&amp;'Dashboard Config'!$B$7&amp;"="""&amp;AA25&amp;"""","")&amp;IF(AB25&lt;&gt;"",IF(COUNTA($E25:$AA25)&gt;0," OR ","")&amp;'Dashboard Config'!$B$7&amp;"="""&amp;AB25&amp;"""","")&amp;IF(AC25&lt;&gt;"",IF(COUNTA($E25:$AB25)&gt;0," OR ","")&amp;AC25,"")&amp;")")</x:f>
      </x:c>
      <x:c r="AE25" s="48" t="str">
        <x:f>IF($AD25="","",CHAR(123)&amp;CHAR(34)&amp;"label"&amp;CHAR(34)&amp;":"&amp;CHAR(34)&amp;$C25&amp;CHAR(34)&amp;","&amp;CHAR(34)&amp;"value"&amp;CHAR(34)&amp;":"&amp;CHAR(34)&amp;SUBSTITUTE($AD25,CHAR(34),CHAR(92)&amp;CHAR(34))&amp;CHAR(34)&amp;CHAR(125))</x:f>
      </x:c>
      <x:c r="AF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  <x:c r="AA26" s="42"/>
      <x:c r="AB26" s="42"/>
      <x:c r="AC26" s="42"/>
      <x:c r="AD26" s="48" t="str">
        <x:f>IF(OR($A26&lt;&gt;"Yes",$C26="",COUNTA($E26:$AC26)=0),"","("&amp;IF(E26&lt;&gt;"",'Dashboard Config'!$B$6&amp;"="""&amp;E26&amp;"""","")&amp;IF(F26&lt;&gt;"",IF(COUNTA($E26:$E26)&gt;0," OR ","")&amp;'Dashboard Config'!$B$6&amp;"="""&amp;F26&amp;"""","")&amp;IF(G26&lt;&gt;"",IF(COUNTA($E26:$F26)&gt;0," OR ","")&amp;'Dashboard Config'!$B$6&amp;"="""&amp;G26&amp;"""","")&amp;IF(H26&lt;&gt;"",IF(COUNTA($E26:$G26)&gt;0," OR ","")&amp;'Dashboard Config'!$B$6&amp;"="""&amp;H26&amp;"""","")&amp;IF(I26&lt;&gt;"",IF(COUNTA($E26:$H26)&gt;0," OR ","")&amp;'Dashboard Config'!$B$6&amp;"="""&amp;I26&amp;"""","")&amp;IF(J26&lt;&gt;"",IF(COUNTA($E26:$I26)&gt;0," OR ","")&amp;'Dashboard Config'!$B$6&amp;"="""&amp;J26&amp;"""","")&amp;IF(K26&lt;&gt;"",IF(COUNTA($E26:$J26)&gt;0," OR ","")&amp;'Dashboard Config'!$B$6&amp;"="""&amp;K26&amp;"""","")&amp;IF(L26&lt;&gt;"",IF(COUNTA($E26:$K26)&gt;0," OR ","")&amp;'Dashboard Config'!$B$6&amp;"="""&amp;L26&amp;"""","")&amp;IF(M26&lt;&gt;"",IF(COUNTA($E26:$L26)&gt;0," OR ","")&amp;'Dashboard Config'!$B$7&amp;"="""&amp;M26&amp;"""","")&amp;IF(N26&lt;&gt;"",IF(COUNTA($E26:$M26)&gt;0," OR ","")&amp;'Dashboard Config'!$B$7&amp;"="""&amp;N26&amp;"""","")&amp;IF(O26&lt;&gt;"",IF(COUNTA($E26:$N26)&gt;0," OR ","")&amp;'Dashboard Config'!$B$7&amp;"="""&amp;O26&amp;"""","")&amp;IF(P26&lt;&gt;"",IF(COUNTA($E26:$O26)&gt;0," OR ","")&amp;'Dashboard Config'!$B$7&amp;"="""&amp;P26&amp;"""","")&amp;IF(Q26&lt;&gt;"",IF(COUNTA($E26:$P26)&gt;0," OR ","")&amp;'Dashboard Config'!$B$7&amp;"="""&amp;Q26&amp;"""","")&amp;IF(R26&lt;&gt;"",IF(COUNTA($E26:$Q26)&gt;0," OR ","")&amp;'Dashboard Config'!$B$7&amp;"="""&amp;R26&amp;"""","")&amp;IF(S26&lt;&gt;"",IF(COUNTA($E26:$R26)&gt;0," OR ","")&amp;'Dashboard Config'!$B$7&amp;"="""&amp;S26&amp;"""","")&amp;IF(T26&lt;&gt;"",IF(COUNTA($E26:$S26)&gt;0," OR ","")&amp;'Dashboard Config'!$B$7&amp;"="""&amp;T26&amp;"""","")&amp;IF(U26&lt;&gt;"",IF(COUNTA($E26:$T26)&gt;0," OR ","")&amp;'Dashboard Config'!$B$7&amp;"="""&amp;U26&amp;"""","")&amp;IF(V26&lt;&gt;"",IF(COUNTA($E26:$U26)&gt;0," OR ","")&amp;'Dashboard Config'!$B$7&amp;"="""&amp;V26&amp;"""","")&amp;IF(W26&lt;&gt;"",IF(COUNTA($E26:$V26)&gt;0," OR ","")&amp;'Dashboard Config'!$B$7&amp;"="""&amp;W26&amp;"""","")&amp;IF(X26&lt;&gt;"",IF(COUNTA($E26:$W26)&gt;0," OR ","")&amp;'Dashboard Config'!$B$7&amp;"="""&amp;X26&amp;"""","")&amp;IF(Y26&lt;&gt;"",IF(COUNTA($E26:$X26)&gt;0," OR ","")&amp;'Dashboard Config'!$B$7&amp;"="""&amp;Y26&amp;"""","")&amp;IF(Z26&lt;&gt;"",IF(COUNTA($E26:$Y26)&gt;0," OR ","")&amp;'Dashboard Config'!$B$7&amp;"="""&amp;Z26&amp;"""","")&amp;IF(AA26&lt;&gt;"",IF(COUNTA($E26:$Z26)&gt;0," OR ","")&amp;'Dashboard Config'!$B$7&amp;"="""&amp;AA26&amp;"""","")&amp;IF(AB26&lt;&gt;"",IF(COUNTA($E26:$AA26)&gt;0," OR ","")&amp;'Dashboard Config'!$B$7&amp;"="""&amp;AB26&amp;"""","")&amp;IF(AC26&lt;&gt;"",IF(COUNTA($E26:$AB26)&gt;0," OR ","")&amp;AC26,"")&amp;")")</x:f>
      </x:c>
      <x:c r="AE26" s="48" t="str">
        <x:f>IF($AD26="","",CHAR(123)&amp;CHAR(34)&amp;"label"&amp;CHAR(34)&amp;":"&amp;CHAR(34)&amp;$C26&amp;CHAR(34)&amp;","&amp;CHAR(34)&amp;"value"&amp;CHAR(34)&amp;":"&amp;CHAR(34)&amp;SUBSTITUTE($AD26,CHAR(34),CHAR(92)&amp;CHAR(34))&amp;CHAR(34)&amp;CHAR(125))</x:f>
      </x:c>
      <x:c r="AF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  <x:c r="AA27" s="42"/>
      <x:c r="AB27" s="42"/>
      <x:c r="AC27" s="42"/>
      <x:c r="AD27" s="48" t="str">
        <x:f>IF(OR($A27&lt;&gt;"Yes",$C27="",COUNTA($E27:$AC27)=0),"","("&amp;IF(E27&lt;&gt;"",'Dashboard Config'!$B$6&amp;"="""&amp;E27&amp;"""","")&amp;IF(F27&lt;&gt;"",IF(COUNTA($E27:$E27)&gt;0," OR ","")&amp;'Dashboard Config'!$B$6&amp;"="""&amp;F27&amp;"""","")&amp;IF(G27&lt;&gt;"",IF(COUNTA($E27:$F27)&gt;0," OR ","")&amp;'Dashboard Config'!$B$6&amp;"="""&amp;G27&amp;"""","")&amp;IF(H27&lt;&gt;"",IF(COUNTA($E27:$G27)&gt;0," OR ","")&amp;'Dashboard Config'!$B$6&amp;"="""&amp;H27&amp;"""","")&amp;IF(I27&lt;&gt;"",IF(COUNTA($E27:$H27)&gt;0," OR ","")&amp;'Dashboard Config'!$B$6&amp;"="""&amp;I27&amp;"""","")&amp;IF(J27&lt;&gt;"",IF(COUNTA($E27:$I27)&gt;0," OR ","")&amp;'Dashboard Config'!$B$6&amp;"="""&amp;J27&amp;"""","")&amp;IF(K27&lt;&gt;"",IF(COUNTA($E27:$J27)&gt;0," OR ","")&amp;'Dashboard Config'!$B$6&amp;"="""&amp;K27&amp;"""","")&amp;IF(L27&lt;&gt;"",IF(COUNTA($E27:$K27)&gt;0," OR ","")&amp;'Dashboard Config'!$B$6&amp;"="""&amp;L27&amp;"""","")&amp;IF(M27&lt;&gt;"",IF(COUNTA($E27:$L27)&gt;0," OR ","")&amp;'Dashboard Config'!$B$7&amp;"="""&amp;M27&amp;"""","")&amp;IF(N27&lt;&gt;"",IF(COUNTA($E27:$M27)&gt;0," OR ","")&amp;'Dashboard Config'!$B$7&amp;"="""&amp;N27&amp;"""","")&amp;IF(O27&lt;&gt;"",IF(COUNTA($E27:$N27)&gt;0," OR ","")&amp;'Dashboard Config'!$B$7&amp;"="""&amp;O27&amp;"""","")&amp;IF(P27&lt;&gt;"",IF(COUNTA($E27:$O27)&gt;0," OR ","")&amp;'Dashboard Config'!$B$7&amp;"="""&amp;P27&amp;"""","")&amp;IF(Q27&lt;&gt;"",IF(COUNTA($E27:$P27)&gt;0," OR ","")&amp;'Dashboard Config'!$B$7&amp;"="""&amp;Q27&amp;"""","")&amp;IF(R27&lt;&gt;"",IF(COUNTA($E27:$Q27)&gt;0," OR ","")&amp;'Dashboard Config'!$B$7&amp;"="""&amp;R27&amp;"""","")&amp;IF(S27&lt;&gt;"",IF(COUNTA($E27:$R27)&gt;0," OR ","")&amp;'Dashboard Config'!$B$7&amp;"="""&amp;S27&amp;"""","")&amp;IF(T27&lt;&gt;"",IF(COUNTA($E27:$S27)&gt;0," OR ","")&amp;'Dashboard Config'!$B$7&amp;"="""&amp;T27&amp;"""","")&amp;IF(U27&lt;&gt;"",IF(COUNTA($E27:$T27)&gt;0," OR ","")&amp;'Dashboard Config'!$B$7&amp;"="""&amp;U27&amp;"""","")&amp;IF(V27&lt;&gt;"",IF(COUNTA($E27:$U27)&gt;0," OR ","")&amp;'Dashboard Config'!$B$7&amp;"="""&amp;V27&amp;"""","")&amp;IF(W27&lt;&gt;"",IF(COUNTA($E27:$V27)&gt;0," OR ","")&amp;'Dashboard Config'!$B$7&amp;"="""&amp;W27&amp;"""","")&amp;IF(X27&lt;&gt;"",IF(COUNTA($E27:$W27)&gt;0," OR ","")&amp;'Dashboard Config'!$B$7&amp;"="""&amp;X27&amp;"""","")&amp;IF(Y27&lt;&gt;"",IF(COUNTA($E27:$X27)&gt;0," OR ","")&amp;'Dashboard Config'!$B$7&amp;"="""&amp;Y27&amp;"""","")&amp;IF(Z27&lt;&gt;"",IF(COUNTA($E27:$Y27)&gt;0," OR ","")&amp;'Dashboard Config'!$B$7&amp;"="""&amp;Z27&amp;"""","")&amp;IF(AA27&lt;&gt;"",IF(COUNTA($E27:$Z27)&gt;0," OR ","")&amp;'Dashboard Config'!$B$7&amp;"="""&amp;AA27&amp;"""","")&amp;IF(AB27&lt;&gt;"",IF(COUNTA($E27:$AA27)&gt;0," OR ","")&amp;'Dashboard Config'!$B$7&amp;"="""&amp;AB27&amp;"""","")&amp;IF(AC27&lt;&gt;"",IF(COUNTA($E27:$AB27)&gt;0," OR ","")&amp;AC27,"")&amp;")")</x:f>
      </x:c>
      <x:c r="AE27" s="48" t="str">
        <x:f>IF($AD27="","",CHAR(123)&amp;CHAR(34)&amp;"label"&amp;CHAR(34)&amp;":"&amp;CHAR(34)&amp;$C27&amp;CHAR(34)&amp;","&amp;CHAR(34)&amp;"value"&amp;CHAR(34)&amp;":"&amp;CHAR(34)&amp;SUBSTITUTE($AD27,CHAR(34),CHAR(92)&amp;CHAR(34))&amp;CHAR(34)&amp;CHAR(125))</x:f>
      </x:c>
      <x:c r="AF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  <x:c r="AA28" s="42"/>
      <x:c r="AB28" s="42"/>
      <x:c r="AC28" s="42"/>
      <x:c r="AD28" s="48" t="str">
        <x:f>IF(OR($A28&lt;&gt;"Yes",$C28="",COUNTA($E28:$AC28)=0),"","("&amp;IF(E28&lt;&gt;"",'Dashboard Config'!$B$6&amp;"="""&amp;E28&amp;"""","")&amp;IF(F28&lt;&gt;"",IF(COUNTA($E28:$E28)&gt;0," OR ","")&amp;'Dashboard Config'!$B$6&amp;"="""&amp;F28&amp;"""","")&amp;IF(G28&lt;&gt;"",IF(COUNTA($E28:$F28)&gt;0," OR ","")&amp;'Dashboard Config'!$B$6&amp;"="""&amp;G28&amp;"""","")&amp;IF(H28&lt;&gt;"",IF(COUNTA($E28:$G28)&gt;0," OR ","")&amp;'Dashboard Config'!$B$6&amp;"="""&amp;H28&amp;"""","")&amp;IF(I28&lt;&gt;"",IF(COUNTA($E28:$H28)&gt;0," OR ","")&amp;'Dashboard Config'!$B$6&amp;"="""&amp;I28&amp;"""","")&amp;IF(J28&lt;&gt;"",IF(COUNTA($E28:$I28)&gt;0," OR ","")&amp;'Dashboard Config'!$B$6&amp;"="""&amp;J28&amp;"""","")&amp;IF(K28&lt;&gt;"",IF(COUNTA($E28:$J28)&gt;0," OR ","")&amp;'Dashboard Config'!$B$6&amp;"="""&amp;K28&amp;"""","")&amp;IF(L28&lt;&gt;"",IF(COUNTA($E28:$K28)&gt;0," OR ","")&amp;'Dashboard Config'!$B$6&amp;"="""&amp;L28&amp;"""","")&amp;IF(M28&lt;&gt;"",IF(COUNTA($E28:$L28)&gt;0," OR ","")&amp;'Dashboard Config'!$B$7&amp;"="""&amp;M28&amp;"""","")&amp;IF(N28&lt;&gt;"",IF(COUNTA($E28:$M28)&gt;0," OR ","")&amp;'Dashboard Config'!$B$7&amp;"="""&amp;N28&amp;"""","")&amp;IF(O28&lt;&gt;"",IF(COUNTA($E28:$N28)&gt;0," OR ","")&amp;'Dashboard Config'!$B$7&amp;"="""&amp;O28&amp;"""","")&amp;IF(P28&lt;&gt;"",IF(COUNTA($E28:$O28)&gt;0," OR ","")&amp;'Dashboard Config'!$B$7&amp;"="""&amp;P28&amp;"""","")&amp;IF(Q28&lt;&gt;"",IF(COUNTA($E28:$P28)&gt;0," OR ","")&amp;'Dashboard Config'!$B$7&amp;"="""&amp;Q28&amp;"""","")&amp;IF(R28&lt;&gt;"",IF(COUNTA($E28:$Q28)&gt;0," OR ","")&amp;'Dashboard Config'!$B$7&amp;"="""&amp;R28&amp;"""","")&amp;IF(S28&lt;&gt;"",IF(COUNTA($E28:$R28)&gt;0," OR ","")&amp;'Dashboard Config'!$B$7&amp;"="""&amp;S28&amp;"""","")&amp;IF(T28&lt;&gt;"",IF(COUNTA($E28:$S28)&gt;0," OR ","")&amp;'Dashboard Config'!$B$7&amp;"="""&amp;T28&amp;"""","")&amp;IF(U28&lt;&gt;"",IF(COUNTA($E28:$T28)&gt;0," OR ","")&amp;'Dashboard Config'!$B$7&amp;"="""&amp;U28&amp;"""","")&amp;IF(V28&lt;&gt;"",IF(COUNTA($E28:$U28)&gt;0," OR ","")&amp;'Dashboard Config'!$B$7&amp;"="""&amp;V28&amp;"""","")&amp;IF(W28&lt;&gt;"",IF(COUNTA($E28:$V28)&gt;0," OR ","")&amp;'Dashboard Config'!$B$7&amp;"="""&amp;W28&amp;"""","")&amp;IF(X28&lt;&gt;"",IF(COUNTA($E28:$W28)&gt;0," OR ","")&amp;'Dashboard Config'!$B$7&amp;"="""&amp;X28&amp;"""","")&amp;IF(Y28&lt;&gt;"",IF(COUNTA($E28:$X28)&gt;0," OR ","")&amp;'Dashboard Config'!$B$7&amp;"="""&amp;Y28&amp;"""","")&amp;IF(Z28&lt;&gt;"",IF(COUNTA($E28:$Y28)&gt;0," OR ","")&amp;'Dashboard Config'!$B$7&amp;"="""&amp;Z28&amp;"""","")&amp;IF(AA28&lt;&gt;"",IF(COUNTA($E28:$Z28)&gt;0," OR ","")&amp;'Dashboard Config'!$B$7&amp;"="""&amp;AA28&amp;"""","")&amp;IF(AB28&lt;&gt;"",IF(COUNTA($E28:$AA28)&gt;0," OR ","")&amp;'Dashboard Config'!$B$7&amp;"="""&amp;AB28&amp;"""","")&amp;IF(AC28&lt;&gt;"",IF(COUNTA($E28:$AB28)&gt;0," OR ","")&amp;AC28,"")&amp;")")</x:f>
      </x:c>
      <x:c r="AE28" s="48" t="str">
        <x:f>IF($AD28="","",CHAR(123)&amp;CHAR(34)&amp;"label"&amp;CHAR(34)&amp;":"&amp;CHAR(34)&amp;$C28&amp;CHAR(34)&amp;","&amp;CHAR(34)&amp;"value"&amp;CHAR(34)&amp;":"&amp;CHAR(34)&amp;SUBSTITUTE($AD28,CHAR(34),CHAR(92)&amp;CHAR(34))&amp;CHAR(34)&amp;CHAR(125))</x:f>
      </x:c>
      <x:c r="AF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  <x:c r="AA29" s="42"/>
      <x:c r="AB29" s="42"/>
      <x:c r="AC29" s="42"/>
      <x:c r="AD29" s="48" t="str">
        <x:f>IF(OR($A29&lt;&gt;"Yes",$C29="",COUNTA($E29:$AC29)=0),"","("&amp;IF(E29&lt;&gt;"",'Dashboard Config'!$B$6&amp;"="""&amp;E29&amp;"""","")&amp;IF(F29&lt;&gt;"",IF(COUNTA($E29:$E29)&gt;0," OR ","")&amp;'Dashboard Config'!$B$6&amp;"="""&amp;F29&amp;"""","")&amp;IF(G29&lt;&gt;"",IF(COUNTA($E29:$F29)&gt;0," OR ","")&amp;'Dashboard Config'!$B$6&amp;"="""&amp;G29&amp;"""","")&amp;IF(H29&lt;&gt;"",IF(COUNTA($E29:$G29)&gt;0," OR ","")&amp;'Dashboard Config'!$B$6&amp;"="""&amp;H29&amp;"""","")&amp;IF(I29&lt;&gt;"",IF(COUNTA($E29:$H29)&gt;0," OR ","")&amp;'Dashboard Config'!$B$6&amp;"="""&amp;I29&amp;"""","")&amp;IF(J29&lt;&gt;"",IF(COUNTA($E29:$I29)&gt;0," OR ","")&amp;'Dashboard Config'!$B$6&amp;"="""&amp;J29&amp;"""","")&amp;IF(K29&lt;&gt;"",IF(COUNTA($E29:$J29)&gt;0," OR ","")&amp;'Dashboard Config'!$B$6&amp;"="""&amp;K29&amp;"""","")&amp;IF(L29&lt;&gt;"",IF(COUNTA($E29:$K29)&gt;0," OR ","")&amp;'Dashboard Config'!$B$6&amp;"="""&amp;L29&amp;"""","")&amp;IF(M29&lt;&gt;"",IF(COUNTA($E29:$L29)&gt;0," OR ","")&amp;'Dashboard Config'!$B$7&amp;"="""&amp;M29&amp;"""","")&amp;IF(N29&lt;&gt;"",IF(COUNTA($E29:$M29)&gt;0," OR ","")&amp;'Dashboard Config'!$B$7&amp;"="""&amp;N29&amp;"""","")&amp;IF(O29&lt;&gt;"",IF(COUNTA($E29:$N29)&gt;0," OR ","")&amp;'Dashboard Config'!$B$7&amp;"="""&amp;O29&amp;"""","")&amp;IF(P29&lt;&gt;"",IF(COUNTA($E29:$O29)&gt;0," OR ","")&amp;'Dashboard Config'!$B$7&amp;"="""&amp;P29&amp;"""","")&amp;IF(Q29&lt;&gt;"",IF(COUNTA($E29:$P29)&gt;0," OR ","")&amp;'Dashboard Config'!$B$7&amp;"="""&amp;Q29&amp;"""","")&amp;IF(R29&lt;&gt;"",IF(COUNTA($E29:$Q29)&gt;0," OR ","")&amp;'Dashboard Config'!$B$7&amp;"="""&amp;R29&amp;"""","")&amp;IF(S29&lt;&gt;"",IF(COUNTA($E29:$R29)&gt;0," OR ","")&amp;'Dashboard Config'!$B$7&amp;"="""&amp;S29&amp;"""","")&amp;IF(T29&lt;&gt;"",IF(COUNTA($E29:$S29)&gt;0," OR ","")&amp;'Dashboard Config'!$B$7&amp;"="""&amp;T29&amp;"""","")&amp;IF(U29&lt;&gt;"",IF(COUNTA($E29:$T29)&gt;0," OR ","")&amp;'Dashboard Config'!$B$7&amp;"="""&amp;U29&amp;"""","")&amp;IF(V29&lt;&gt;"",IF(COUNTA($E29:$U29)&gt;0," OR ","")&amp;'Dashboard Config'!$B$7&amp;"="""&amp;V29&amp;"""","")&amp;IF(W29&lt;&gt;"",IF(COUNTA($E29:$V29)&gt;0," OR ","")&amp;'Dashboard Config'!$B$7&amp;"="""&amp;W29&amp;"""","")&amp;IF(X29&lt;&gt;"",IF(COUNTA($E29:$W29)&gt;0," OR ","")&amp;'Dashboard Config'!$B$7&amp;"="""&amp;X29&amp;"""","")&amp;IF(Y29&lt;&gt;"",IF(COUNTA($E29:$X29)&gt;0," OR ","")&amp;'Dashboard Config'!$B$7&amp;"="""&amp;Y29&amp;"""","")&amp;IF(Z29&lt;&gt;"",IF(COUNTA($E29:$Y29)&gt;0," OR ","")&amp;'Dashboard Config'!$B$7&amp;"="""&amp;Z29&amp;"""","")&amp;IF(AA29&lt;&gt;"",IF(COUNTA($E29:$Z29)&gt;0," OR ","")&amp;'Dashboard Config'!$B$7&amp;"="""&amp;AA29&amp;"""","")&amp;IF(AB29&lt;&gt;"",IF(COUNTA($E29:$AA29)&gt;0," OR ","")&amp;'Dashboard Config'!$B$7&amp;"="""&amp;AB29&amp;"""","")&amp;IF(AC29&lt;&gt;"",IF(COUNTA($E29:$AB29)&gt;0," OR ","")&amp;AC29,"")&amp;")")</x:f>
      </x:c>
      <x:c r="AE29" s="48" t="str">
        <x:f>IF($AD29="","",CHAR(123)&amp;CHAR(34)&amp;"label"&amp;CHAR(34)&amp;":"&amp;CHAR(34)&amp;$C29&amp;CHAR(34)&amp;","&amp;CHAR(34)&amp;"value"&amp;CHAR(34)&amp;":"&amp;CHAR(34)&amp;SUBSTITUTE($AD29,CHAR(34),CHAR(92)&amp;CHAR(34))&amp;CHAR(34)&amp;CHAR(125))</x:f>
      </x:c>
      <x:c r="AF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  <x:c r="AA30" s="42"/>
      <x:c r="AB30" s="42"/>
      <x:c r="AC30" s="42"/>
      <x:c r="AD30" s="48" t="str">
        <x:f>IF(OR($A30&lt;&gt;"Yes",$C30="",COUNTA($E30:$AC30)=0),"","("&amp;IF(E30&lt;&gt;"",'Dashboard Config'!$B$6&amp;"="""&amp;E30&amp;"""","")&amp;IF(F30&lt;&gt;"",IF(COUNTA($E30:$E30)&gt;0," OR ","")&amp;'Dashboard Config'!$B$6&amp;"="""&amp;F30&amp;"""","")&amp;IF(G30&lt;&gt;"",IF(COUNTA($E30:$F30)&gt;0," OR ","")&amp;'Dashboard Config'!$B$6&amp;"="""&amp;G30&amp;"""","")&amp;IF(H30&lt;&gt;"",IF(COUNTA($E30:$G30)&gt;0," OR ","")&amp;'Dashboard Config'!$B$6&amp;"="""&amp;H30&amp;"""","")&amp;IF(I30&lt;&gt;"",IF(COUNTA($E30:$H30)&gt;0," OR ","")&amp;'Dashboard Config'!$B$6&amp;"="""&amp;I30&amp;"""","")&amp;IF(J30&lt;&gt;"",IF(COUNTA($E30:$I30)&gt;0," OR ","")&amp;'Dashboard Config'!$B$6&amp;"="""&amp;J30&amp;"""","")&amp;IF(K30&lt;&gt;"",IF(COUNTA($E30:$J30)&gt;0," OR ","")&amp;'Dashboard Config'!$B$6&amp;"="""&amp;K30&amp;"""","")&amp;IF(L30&lt;&gt;"",IF(COUNTA($E30:$K30)&gt;0," OR ","")&amp;'Dashboard Config'!$B$6&amp;"="""&amp;L30&amp;"""","")&amp;IF(M30&lt;&gt;"",IF(COUNTA($E30:$L30)&gt;0," OR ","")&amp;'Dashboard Config'!$B$7&amp;"="""&amp;M30&amp;"""","")&amp;IF(N30&lt;&gt;"",IF(COUNTA($E30:$M30)&gt;0," OR ","")&amp;'Dashboard Config'!$B$7&amp;"="""&amp;N30&amp;"""","")&amp;IF(O30&lt;&gt;"",IF(COUNTA($E30:$N30)&gt;0," OR ","")&amp;'Dashboard Config'!$B$7&amp;"="""&amp;O30&amp;"""","")&amp;IF(P30&lt;&gt;"",IF(COUNTA($E30:$O30)&gt;0," OR ","")&amp;'Dashboard Config'!$B$7&amp;"="""&amp;P30&amp;"""","")&amp;IF(Q30&lt;&gt;"",IF(COUNTA($E30:$P30)&gt;0," OR ","")&amp;'Dashboard Config'!$B$7&amp;"="""&amp;Q30&amp;"""","")&amp;IF(R30&lt;&gt;"",IF(COUNTA($E30:$Q30)&gt;0," OR ","")&amp;'Dashboard Config'!$B$7&amp;"="""&amp;R30&amp;"""","")&amp;IF(S30&lt;&gt;"",IF(COUNTA($E30:$R30)&gt;0," OR ","")&amp;'Dashboard Config'!$B$7&amp;"="""&amp;S30&amp;"""","")&amp;IF(T30&lt;&gt;"",IF(COUNTA($E30:$S30)&gt;0," OR ","")&amp;'Dashboard Config'!$B$7&amp;"="""&amp;T30&amp;"""","")&amp;IF(U30&lt;&gt;"",IF(COUNTA($E30:$T30)&gt;0," OR ","")&amp;'Dashboard Config'!$B$7&amp;"="""&amp;U30&amp;"""","")&amp;IF(V30&lt;&gt;"",IF(COUNTA($E30:$U30)&gt;0," OR ","")&amp;'Dashboard Config'!$B$7&amp;"="""&amp;V30&amp;"""","")&amp;IF(W30&lt;&gt;"",IF(COUNTA($E30:$V30)&gt;0," OR ","")&amp;'Dashboard Config'!$B$7&amp;"="""&amp;W30&amp;"""","")&amp;IF(X30&lt;&gt;"",IF(COUNTA($E30:$W30)&gt;0," OR ","")&amp;'Dashboard Config'!$B$7&amp;"="""&amp;X30&amp;"""","")&amp;IF(Y30&lt;&gt;"",IF(COUNTA($E30:$X30)&gt;0," OR ","")&amp;'Dashboard Config'!$B$7&amp;"="""&amp;Y30&amp;"""","")&amp;IF(Z30&lt;&gt;"",IF(COUNTA($E30:$Y30)&gt;0," OR ","")&amp;'Dashboard Config'!$B$7&amp;"="""&amp;Z30&amp;"""","")&amp;IF(AA30&lt;&gt;"",IF(COUNTA($E30:$Z30)&gt;0," OR ","")&amp;'Dashboard Config'!$B$7&amp;"="""&amp;AA30&amp;"""","")&amp;IF(AB30&lt;&gt;"",IF(COUNTA($E30:$AA30)&gt;0," OR ","")&amp;'Dashboard Config'!$B$7&amp;"="""&amp;AB30&amp;"""","")&amp;IF(AC30&lt;&gt;"",IF(COUNTA($E30:$AB30)&gt;0," OR ","")&amp;AC30,"")&amp;")")</x:f>
      </x:c>
      <x:c r="AE30" s="48" t="str">
        <x:f>IF($AD30="","",CHAR(123)&amp;CHAR(34)&amp;"label"&amp;CHAR(34)&amp;":"&amp;CHAR(34)&amp;$C30&amp;CHAR(34)&amp;","&amp;CHAR(34)&amp;"value"&amp;CHAR(34)&amp;":"&amp;CHAR(34)&amp;SUBSTITUTE($AD30,CHAR(34),CHAR(92)&amp;CHAR(34))&amp;CHAR(34)&amp;CHAR(125))</x:f>
      </x:c>
      <x:c r="AF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  <x:c r="AA31" s="42"/>
      <x:c r="AB31" s="42"/>
      <x:c r="AC31" s="42"/>
      <x:c r="AD31" s="48" t="str">
        <x:f>IF(OR($A31&lt;&gt;"Yes",$C31="",COUNTA($E31:$AC31)=0),"","("&amp;IF(E31&lt;&gt;"",'Dashboard Config'!$B$6&amp;"="""&amp;E31&amp;"""","")&amp;IF(F31&lt;&gt;"",IF(COUNTA($E31:$E31)&gt;0," OR ","")&amp;'Dashboard Config'!$B$6&amp;"="""&amp;F31&amp;"""","")&amp;IF(G31&lt;&gt;"",IF(COUNTA($E31:$F31)&gt;0," OR ","")&amp;'Dashboard Config'!$B$6&amp;"="""&amp;G31&amp;"""","")&amp;IF(H31&lt;&gt;"",IF(COUNTA($E31:$G31)&gt;0," OR ","")&amp;'Dashboard Config'!$B$6&amp;"="""&amp;H31&amp;"""","")&amp;IF(I31&lt;&gt;"",IF(COUNTA($E31:$H31)&gt;0," OR ","")&amp;'Dashboard Config'!$B$6&amp;"="""&amp;I31&amp;"""","")&amp;IF(J31&lt;&gt;"",IF(COUNTA($E31:$I31)&gt;0," OR ","")&amp;'Dashboard Config'!$B$6&amp;"="""&amp;J31&amp;"""","")&amp;IF(K31&lt;&gt;"",IF(COUNTA($E31:$J31)&gt;0," OR ","")&amp;'Dashboard Config'!$B$6&amp;"="""&amp;K31&amp;"""","")&amp;IF(L31&lt;&gt;"",IF(COUNTA($E31:$K31)&gt;0," OR ","")&amp;'Dashboard Config'!$B$6&amp;"="""&amp;L31&amp;"""","")&amp;IF(M31&lt;&gt;"",IF(COUNTA($E31:$L31)&gt;0," OR ","")&amp;'Dashboard Config'!$B$7&amp;"="""&amp;M31&amp;"""","")&amp;IF(N31&lt;&gt;"",IF(COUNTA($E31:$M31)&gt;0," OR ","")&amp;'Dashboard Config'!$B$7&amp;"="""&amp;N31&amp;"""","")&amp;IF(O31&lt;&gt;"",IF(COUNTA($E31:$N31)&gt;0," OR ","")&amp;'Dashboard Config'!$B$7&amp;"="""&amp;O31&amp;"""","")&amp;IF(P31&lt;&gt;"",IF(COUNTA($E31:$O31)&gt;0," OR ","")&amp;'Dashboard Config'!$B$7&amp;"="""&amp;P31&amp;"""","")&amp;IF(Q31&lt;&gt;"",IF(COUNTA($E31:$P31)&gt;0," OR ","")&amp;'Dashboard Config'!$B$7&amp;"="""&amp;Q31&amp;"""","")&amp;IF(R31&lt;&gt;"",IF(COUNTA($E31:$Q31)&gt;0," OR ","")&amp;'Dashboard Config'!$B$7&amp;"="""&amp;R31&amp;"""","")&amp;IF(S31&lt;&gt;"",IF(COUNTA($E31:$R31)&gt;0," OR ","")&amp;'Dashboard Config'!$B$7&amp;"="""&amp;S31&amp;"""","")&amp;IF(T31&lt;&gt;"",IF(COUNTA($E31:$S31)&gt;0," OR ","")&amp;'Dashboard Config'!$B$7&amp;"="""&amp;T31&amp;"""","")&amp;IF(U31&lt;&gt;"",IF(COUNTA($E31:$T31)&gt;0," OR ","")&amp;'Dashboard Config'!$B$7&amp;"="""&amp;U31&amp;"""","")&amp;IF(V31&lt;&gt;"",IF(COUNTA($E31:$U31)&gt;0," OR ","")&amp;'Dashboard Config'!$B$7&amp;"="""&amp;V31&amp;"""","")&amp;IF(W31&lt;&gt;"",IF(COUNTA($E31:$V31)&gt;0," OR ","")&amp;'Dashboard Config'!$B$7&amp;"="""&amp;W31&amp;"""","")&amp;IF(X31&lt;&gt;"",IF(COUNTA($E31:$W31)&gt;0," OR ","")&amp;'Dashboard Config'!$B$7&amp;"="""&amp;X31&amp;"""","")&amp;IF(Y31&lt;&gt;"",IF(COUNTA($E31:$X31)&gt;0," OR ","")&amp;'Dashboard Config'!$B$7&amp;"="""&amp;Y31&amp;"""","")&amp;IF(Z31&lt;&gt;"",IF(COUNTA($E31:$Y31)&gt;0," OR ","")&amp;'Dashboard Config'!$B$7&amp;"="""&amp;Z31&amp;"""","")&amp;IF(AA31&lt;&gt;"",IF(COUNTA($E31:$Z31)&gt;0," OR ","")&amp;'Dashboard Config'!$B$7&amp;"="""&amp;AA31&amp;"""","")&amp;IF(AB31&lt;&gt;"",IF(COUNTA($E31:$AA31)&gt;0," OR ","")&amp;'Dashboard Config'!$B$7&amp;"="""&amp;AB31&amp;"""","")&amp;IF(AC31&lt;&gt;"",IF(COUNTA($E31:$AB31)&gt;0," OR ","")&amp;AC31,"")&amp;")")</x:f>
      </x:c>
      <x:c r="AE31" s="48" t="str">
        <x:f>IF($AD31="","",CHAR(123)&amp;CHAR(34)&amp;"label"&amp;CHAR(34)&amp;":"&amp;CHAR(34)&amp;$C31&amp;CHAR(34)&amp;","&amp;CHAR(34)&amp;"value"&amp;CHAR(34)&amp;":"&amp;CHAR(34)&amp;SUBSTITUTE($AD31,CHAR(34),CHAR(92)&amp;CHAR(34))&amp;CHAR(34)&amp;CHAR(125))</x:f>
      </x:c>
      <x:c r="AF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  <x:c r="AA32" s="42"/>
      <x:c r="AB32" s="42"/>
      <x:c r="AC32" s="42"/>
      <x:c r="AD32" s="48" t="str">
        <x:f>IF(OR($A32&lt;&gt;"Yes",$C32="",COUNTA($E32:$AC32)=0),"","("&amp;IF(E32&lt;&gt;"",'Dashboard Config'!$B$6&amp;"="""&amp;E32&amp;"""","")&amp;IF(F32&lt;&gt;"",IF(COUNTA($E32:$E32)&gt;0," OR ","")&amp;'Dashboard Config'!$B$6&amp;"="""&amp;F32&amp;"""","")&amp;IF(G32&lt;&gt;"",IF(COUNTA($E32:$F32)&gt;0," OR ","")&amp;'Dashboard Config'!$B$6&amp;"="""&amp;G32&amp;"""","")&amp;IF(H32&lt;&gt;"",IF(COUNTA($E32:$G32)&gt;0," OR ","")&amp;'Dashboard Config'!$B$6&amp;"="""&amp;H32&amp;"""","")&amp;IF(I32&lt;&gt;"",IF(COUNTA($E32:$H32)&gt;0," OR ","")&amp;'Dashboard Config'!$B$6&amp;"="""&amp;I32&amp;"""","")&amp;IF(J32&lt;&gt;"",IF(COUNTA($E32:$I32)&gt;0," OR ","")&amp;'Dashboard Config'!$B$6&amp;"="""&amp;J32&amp;"""","")&amp;IF(K32&lt;&gt;"",IF(COUNTA($E32:$J32)&gt;0," OR ","")&amp;'Dashboard Config'!$B$6&amp;"="""&amp;K32&amp;"""","")&amp;IF(L32&lt;&gt;"",IF(COUNTA($E32:$K32)&gt;0," OR ","")&amp;'Dashboard Config'!$B$6&amp;"="""&amp;L32&amp;"""","")&amp;IF(M32&lt;&gt;"",IF(COUNTA($E32:$L32)&gt;0," OR ","")&amp;'Dashboard Config'!$B$7&amp;"="""&amp;M32&amp;"""","")&amp;IF(N32&lt;&gt;"",IF(COUNTA($E32:$M32)&gt;0," OR ","")&amp;'Dashboard Config'!$B$7&amp;"="""&amp;N32&amp;"""","")&amp;IF(O32&lt;&gt;"",IF(COUNTA($E32:$N32)&gt;0," OR ","")&amp;'Dashboard Config'!$B$7&amp;"="""&amp;O32&amp;"""","")&amp;IF(P32&lt;&gt;"",IF(COUNTA($E32:$O32)&gt;0," OR ","")&amp;'Dashboard Config'!$B$7&amp;"="""&amp;P32&amp;"""","")&amp;IF(Q32&lt;&gt;"",IF(COUNTA($E32:$P32)&gt;0," OR ","")&amp;'Dashboard Config'!$B$7&amp;"="""&amp;Q32&amp;"""","")&amp;IF(R32&lt;&gt;"",IF(COUNTA($E32:$Q32)&gt;0," OR ","")&amp;'Dashboard Config'!$B$7&amp;"="""&amp;R32&amp;"""","")&amp;IF(S32&lt;&gt;"",IF(COUNTA($E32:$R32)&gt;0," OR ","")&amp;'Dashboard Config'!$B$7&amp;"="""&amp;S32&amp;"""","")&amp;IF(T32&lt;&gt;"",IF(COUNTA($E32:$S32)&gt;0," OR ","")&amp;'Dashboard Config'!$B$7&amp;"="""&amp;T32&amp;"""","")&amp;IF(U32&lt;&gt;"",IF(COUNTA($E32:$T32)&gt;0," OR ","")&amp;'Dashboard Config'!$B$7&amp;"="""&amp;U32&amp;"""","")&amp;IF(V32&lt;&gt;"",IF(COUNTA($E32:$U32)&gt;0," OR ","")&amp;'Dashboard Config'!$B$7&amp;"="""&amp;V32&amp;"""","")&amp;IF(W32&lt;&gt;"",IF(COUNTA($E32:$V32)&gt;0," OR ","")&amp;'Dashboard Config'!$B$7&amp;"="""&amp;W32&amp;"""","")&amp;IF(X32&lt;&gt;"",IF(COUNTA($E32:$W32)&gt;0," OR ","")&amp;'Dashboard Config'!$B$7&amp;"="""&amp;X32&amp;"""","")&amp;IF(Y32&lt;&gt;"",IF(COUNTA($E32:$X32)&gt;0," OR ","")&amp;'Dashboard Config'!$B$7&amp;"="""&amp;Y32&amp;"""","")&amp;IF(Z32&lt;&gt;"",IF(COUNTA($E32:$Y32)&gt;0," OR ","")&amp;'Dashboard Config'!$B$7&amp;"="""&amp;Z32&amp;"""","")&amp;IF(AA32&lt;&gt;"",IF(COUNTA($E32:$Z32)&gt;0," OR ","")&amp;'Dashboard Config'!$B$7&amp;"="""&amp;AA32&amp;"""","")&amp;IF(AB32&lt;&gt;"",IF(COUNTA($E32:$AA32)&gt;0," OR ","")&amp;'Dashboard Config'!$B$7&amp;"="""&amp;AB32&amp;"""","")&amp;IF(AC32&lt;&gt;"",IF(COUNTA($E32:$AB32)&gt;0," OR ","")&amp;AC32,"")&amp;")")</x:f>
      </x:c>
      <x:c r="AE32" s="48" t="str">
        <x:f>IF($AD32="","",CHAR(123)&amp;CHAR(34)&amp;"label"&amp;CHAR(34)&amp;":"&amp;CHAR(34)&amp;$C32&amp;CHAR(34)&amp;","&amp;CHAR(34)&amp;"value"&amp;CHAR(34)&amp;":"&amp;CHAR(34)&amp;SUBSTITUTE($AD32,CHAR(34),CHAR(92)&amp;CHAR(34))&amp;CHAR(34)&amp;CHAR(125))</x:f>
      </x:c>
      <x:c r="AF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  <x:c r="AA33" s="42"/>
      <x:c r="AB33" s="42"/>
      <x:c r="AC33" s="42"/>
      <x:c r="AD33" s="48" t="str">
        <x:f>IF(OR($A33&lt;&gt;"Yes",$C33="",COUNTA($E33:$AC33)=0),"","("&amp;IF(E33&lt;&gt;"",'Dashboard Config'!$B$6&amp;"="""&amp;E33&amp;"""","")&amp;IF(F33&lt;&gt;"",IF(COUNTA($E33:$E33)&gt;0," OR ","")&amp;'Dashboard Config'!$B$6&amp;"="""&amp;F33&amp;"""","")&amp;IF(G33&lt;&gt;"",IF(COUNTA($E33:$F33)&gt;0," OR ","")&amp;'Dashboard Config'!$B$6&amp;"="""&amp;G33&amp;"""","")&amp;IF(H33&lt;&gt;"",IF(COUNTA($E33:$G33)&gt;0," OR ","")&amp;'Dashboard Config'!$B$6&amp;"="""&amp;H33&amp;"""","")&amp;IF(I33&lt;&gt;"",IF(COUNTA($E33:$H33)&gt;0," OR ","")&amp;'Dashboard Config'!$B$6&amp;"="""&amp;I33&amp;"""","")&amp;IF(J33&lt;&gt;"",IF(COUNTA($E33:$I33)&gt;0," OR ","")&amp;'Dashboard Config'!$B$6&amp;"="""&amp;J33&amp;"""","")&amp;IF(K33&lt;&gt;"",IF(COUNTA($E33:$J33)&gt;0," OR ","")&amp;'Dashboard Config'!$B$6&amp;"="""&amp;K33&amp;"""","")&amp;IF(L33&lt;&gt;"",IF(COUNTA($E33:$K33)&gt;0," OR ","")&amp;'Dashboard Config'!$B$6&amp;"="""&amp;L33&amp;"""","")&amp;IF(M33&lt;&gt;"",IF(COUNTA($E33:$L33)&gt;0," OR ","")&amp;'Dashboard Config'!$B$7&amp;"="""&amp;M33&amp;"""","")&amp;IF(N33&lt;&gt;"",IF(COUNTA($E33:$M33)&gt;0," OR ","")&amp;'Dashboard Config'!$B$7&amp;"="""&amp;N33&amp;"""","")&amp;IF(O33&lt;&gt;"",IF(COUNTA($E33:$N33)&gt;0," OR ","")&amp;'Dashboard Config'!$B$7&amp;"="""&amp;O33&amp;"""","")&amp;IF(P33&lt;&gt;"",IF(COUNTA($E33:$O33)&gt;0," OR ","")&amp;'Dashboard Config'!$B$7&amp;"="""&amp;P33&amp;"""","")&amp;IF(Q33&lt;&gt;"",IF(COUNTA($E33:$P33)&gt;0," OR ","")&amp;'Dashboard Config'!$B$7&amp;"="""&amp;Q33&amp;"""","")&amp;IF(R33&lt;&gt;"",IF(COUNTA($E33:$Q33)&gt;0," OR ","")&amp;'Dashboard Config'!$B$7&amp;"="""&amp;R33&amp;"""","")&amp;IF(S33&lt;&gt;"",IF(COUNTA($E33:$R33)&gt;0," OR ","")&amp;'Dashboard Config'!$B$7&amp;"="""&amp;S33&amp;"""","")&amp;IF(T33&lt;&gt;"",IF(COUNTA($E33:$S33)&gt;0," OR ","")&amp;'Dashboard Config'!$B$7&amp;"="""&amp;T33&amp;"""","")&amp;IF(U33&lt;&gt;"",IF(COUNTA($E33:$T33)&gt;0," OR ","")&amp;'Dashboard Config'!$B$7&amp;"="""&amp;U33&amp;"""","")&amp;IF(V33&lt;&gt;"",IF(COUNTA($E33:$U33)&gt;0," OR ","")&amp;'Dashboard Config'!$B$7&amp;"="""&amp;V33&amp;"""","")&amp;IF(W33&lt;&gt;"",IF(COUNTA($E33:$V33)&gt;0," OR ","")&amp;'Dashboard Config'!$B$7&amp;"="""&amp;W33&amp;"""","")&amp;IF(X33&lt;&gt;"",IF(COUNTA($E33:$W33)&gt;0," OR ","")&amp;'Dashboard Config'!$B$7&amp;"="""&amp;X33&amp;"""","")&amp;IF(Y33&lt;&gt;"",IF(COUNTA($E33:$X33)&gt;0," OR ","")&amp;'Dashboard Config'!$B$7&amp;"="""&amp;Y33&amp;"""","")&amp;IF(Z33&lt;&gt;"",IF(COUNTA($E33:$Y33)&gt;0," OR ","")&amp;'Dashboard Config'!$B$7&amp;"="""&amp;Z33&amp;"""","")&amp;IF(AA33&lt;&gt;"",IF(COUNTA($E33:$Z33)&gt;0," OR ","")&amp;'Dashboard Config'!$B$7&amp;"="""&amp;AA33&amp;"""","")&amp;IF(AB33&lt;&gt;"",IF(COUNTA($E33:$AA33)&gt;0," OR ","")&amp;'Dashboard Config'!$B$7&amp;"="""&amp;AB33&amp;"""","")&amp;IF(AC33&lt;&gt;"",IF(COUNTA($E33:$AB33)&gt;0," OR ","")&amp;AC33,"")&amp;")")</x:f>
      </x:c>
      <x:c r="AE33" s="48" t="str">
        <x:f>IF($AD33="","",CHAR(123)&amp;CHAR(34)&amp;"label"&amp;CHAR(34)&amp;":"&amp;CHAR(34)&amp;$C33&amp;CHAR(34)&amp;","&amp;CHAR(34)&amp;"value"&amp;CHAR(34)&amp;":"&amp;CHAR(34)&amp;SUBSTITUTE($AD33,CHAR(34),CHAR(92)&amp;CHAR(34))&amp;CHAR(34)&amp;CHAR(125))</x:f>
      </x:c>
      <x:c r="AF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  <x:c r="AA34" s="42"/>
      <x:c r="AB34" s="42"/>
      <x:c r="AC34" s="42"/>
      <x:c r="AD34" s="48" t="str">
        <x:f>IF(OR($A34&lt;&gt;"Yes",$C34="",COUNTA($E34:$AC34)=0),"","("&amp;IF(E34&lt;&gt;"",'Dashboard Config'!$B$6&amp;"="""&amp;E34&amp;"""","")&amp;IF(F34&lt;&gt;"",IF(COUNTA($E34:$E34)&gt;0," OR ","")&amp;'Dashboard Config'!$B$6&amp;"="""&amp;F34&amp;"""","")&amp;IF(G34&lt;&gt;"",IF(COUNTA($E34:$F34)&gt;0," OR ","")&amp;'Dashboard Config'!$B$6&amp;"="""&amp;G34&amp;"""","")&amp;IF(H34&lt;&gt;"",IF(COUNTA($E34:$G34)&gt;0," OR ","")&amp;'Dashboard Config'!$B$6&amp;"="""&amp;H34&amp;"""","")&amp;IF(I34&lt;&gt;"",IF(COUNTA($E34:$H34)&gt;0," OR ","")&amp;'Dashboard Config'!$B$6&amp;"="""&amp;I34&amp;"""","")&amp;IF(J34&lt;&gt;"",IF(COUNTA($E34:$I34)&gt;0," OR ","")&amp;'Dashboard Config'!$B$6&amp;"="""&amp;J34&amp;"""","")&amp;IF(K34&lt;&gt;"",IF(COUNTA($E34:$J34)&gt;0," OR ","")&amp;'Dashboard Config'!$B$6&amp;"="""&amp;K34&amp;"""","")&amp;IF(L34&lt;&gt;"",IF(COUNTA($E34:$K34)&gt;0," OR ","")&amp;'Dashboard Config'!$B$6&amp;"="""&amp;L34&amp;"""","")&amp;IF(M34&lt;&gt;"",IF(COUNTA($E34:$L34)&gt;0," OR ","")&amp;'Dashboard Config'!$B$7&amp;"="""&amp;M34&amp;"""","")&amp;IF(N34&lt;&gt;"",IF(COUNTA($E34:$M34)&gt;0," OR ","")&amp;'Dashboard Config'!$B$7&amp;"="""&amp;N34&amp;"""","")&amp;IF(O34&lt;&gt;"",IF(COUNTA($E34:$N34)&gt;0," OR ","")&amp;'Dashboard Config'!$B$7&amp;"="""&amp;O34&amp;"""","")&amp;IF(P34&lt;&gt;"",IF(COUNTA($E34:$O34)&gt;0," OR ","")&amp;'Dashboard Config'!$B$7&amp;"="""&amp;P34&amp;"""","")&amp;IF(Q34&lt;&gt;"",IF(COUNTA($E34:$P34)&gt;0," OR ","")&amp;'Dashboard Config'!$B$7&amp;"="""&amp;Q34&amp;"""","")&amp;IF(R34&lt;&gt;"",IF(COUNTA($E34:$Q34)&gt;0," OR ","")&amp;'Dashboard Config'!$B$7&amp;"="""&amp;R34&amp;"""","")&amp;IF(S34&lt;&gt;"",IF(COUNTA($E34:$R34)&gt;0," OR ","")&amp;'Dashboard Config'!$B$7&amp;"="""&amp;S34&amp;"""","")&amp;IF(T34&lt;&gt;"",IF(COUNTA($E34:$S34)&gt;0," OR ","")&amp;'Dashboard Config'!$B$7&amp;"="""&amp;T34&amp;"""","")&amp;IF(U34&lt;&gt;"",IF(COUNTA($E34:$T34)&gt;0," OR ","")&amp;'Dashboard Config'!$B$7&amp;"="""&amp;U34&amp;"""","")&amp;IF(V34&lt;&gt;"",IF(COUNTA($E34:$U34)&gt;0," OR ","")&amp;'Dashboard Config'!$B$7&amp;"="""&amp;V34&amp;"""","")&amp;IF(W34&lt;&gt;"",IF(COUNTA($E34:$V34)&gt;0," OR ","")&amp;'Dashboard Config'!$B$7&amp;"="""&amp;W34&amp;"""","")&amp;IF(X34&lt;&gt;"",IF(COUNTA($E34:$W34)&gt;0," OR ","")&amp;'Dashboard Config'!$B$7&amp;"="""&amp;X34&amp;"""","")&amp;IF(Y34&lt;&gt;"",IF(COUNTA($E34:$X34)&gt;0," OR ","")&amp;'Dashboard Config'!$B$7&amp;"="""&amp;Y34&amp;"""","")&amp;IF(Z34&lt;&gt;"",IF(COUNTA($E34:$Y34)&gt;0," OR ","")&amp;'Dashboard Config'!$B$7&amp;"="""&amp;Z34&amp;"""","")&amp;IF(AA34&lt;&gt;"",IF(COUNTA($E34:$Z34)&gt;0," OR ","")&amp;'Dashboard Config'!$B$7&amp;"="""&amp;AA34&amp;"""","")&amp;IF(AB34&lt;&gt;"",IF(COUNTA($E34:$AA34)&gt;0," OR ","")&amp;'Dashboard Config'!$B$7&amp;"="""&amp;AB34&amp;"""","")&amp;IF(AC34&lt;&gt;"",IF(COUNTA($E34:$AB34)&gt;0," OR ","")&amp;AC34,"")&amp;")")</x:f>
      </x:c>
      <x:c r="AE34" s="48" t="str">
        <x:f>IF($AD34="","",CHAR(123)&amp;CHAR(34)&amp;"label"&amp;CHAR(34)&amp;":"&amp;CHAR(34)&amp;$C34&amp;CHAR(34)&amp;","&amp;CHAR(34)&amp;"value"&amp;CHAR(34)&amp;":"&amp;CHAR(34)&amp;SUBSTITUTE($AD34,CHAR(34),CHAR(92)&amp;CHAR(34))&amp;CHAR(34)&amp;CHAR(125))</x:f>
      </x:c>
      <x:c r="AF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  <x:c r="AA35" s="42"/>
      <x:c r="AB35" s="42"/>
      <x:c r="AC35" s="42"/>
      <x:c r="AD35" s="48" t="str">
        <x:f>IF(OR($A35&lt;&gt;"Yes",$C35="",COUNTA($E35:$AC35)=0),"","("&amp;IF(E35&lt;&gt;"",'Dashboard Config'!$B$6&amp;"="""&amp;E35&amp;"""","")&amp;IF(F35&lt;&gt;"",IF(COUNTA($E35:$E35)&gt;0," OR ","")&amp;'Dashboard Config'!$B$6&amp;"="""&amp;F35&amp;"""","")&amp;IF(G35&lt;&gt;"",IF(COUNTA($E35:$F35)&gt;0," OR ","")&amp;'Dashboard Config'!$B$6&amp;"="""&amp;G35&amp;"""","")&amp;IF(H35&lt;&gt;"",IF(COUNTA($E35:$G35)&gt;0," OR ","")&amp;'Dashboard Config'!$B$6&amp;"="""&amp;H35&amp;"""","")&amp;IF(I35&lt;&gt;"",IF(COUNTA($E35:$H35)&gt;0," OR ","")&amp;'Dashboard Config'!$B$6&amp;"="""&amp;I35&amp;"""","")&amp;IF(J35&lt;&gt;"",IF(COUNTA($E35:$I35)&gt;0," OR ","")&amp;'Dashboard Config'!$B$6&amp;"="""&amp;J35&amp;"""","")&amp;IF(K35&lt;&gt;"",IF(COUNTA($E35:$J35)&gt;0," OR ","")&amp;'Dashboard Config'!$B$6&amp;"="""&amp;K35&amp;"""","")&amp;IF(L35&lt;&gt;"",IF(COUNTA($E35:$K35)&gt;0," OR ","")&amp;'Dashboard Config'!$B$6&amp;"="""&amp;L35&amp;"""","")&amp;IF(M35&lt;&gt;"",IF(COUNTA($E35:$L35)&gt;0," OR ","")&amp;'Dashboard Config'!$B$7&amp;"="""&amp;M35&amp;"""","")&amp;IF(N35&lt;&gt;"",IF(COUNTA($E35:$M35)&gt;0," OR ","")&amp;'Dashboard Config'!$B$7&amp;"="""&amp;N35&amp;"""","")&amp;IF(O35&lt;&gt;"",IF(COUNTA($E35:$N35)&gt;0," OR ","")&amp;'Dashboard Config'!$B$7&amp;"="""&amp;O35&amp;"""","")&amp;IF(P35&lt;&gt;"",IF(COUNTA($E35:$O35)&gt;0," OR ","")&amp;'Dashboard Config'!$B$7&amp;"="""&amp;P35&amp;"""","")&amp;IF(Q35&lt;&gt;"",IF(COUNTA($E35:$P35)&gt;0," OR ","")&amp;'Dashboard Config'!$B$7&amp;"="""&amp;Q35&amp;"""","")&amp;IF(R35&lt;&gt;"",IF(COUNTA($E35:$Q35)&gt;0," OR ","")&amp;'Dashboard Config'!$B$7&amp;"="""&amp;R35&amp;"""","")&amp;IF(S35&lt;&gt;"",IF(COUNTA($E35:$R35)&gt;0," OR ","")&amp;'Dashboard Config'!$B$7&amp;"="""&amp;S35&amp;"""","")&amp;IF(T35&lt;&gt;"",IF(COUNTA($E35:$S35)&gt;0," OR ","")&amp;'Dashboard Config'!$B$7&amp;"="""&amp;T35&amp;"""","")&amp;IF(U35&lt;&gt;"",IF(COUNTA($E35:$T35)&gt;0," OR ","")&amp;'Dashboard Config'!$B$7&amp;"="""&amp;U35&amp;"""","")&amp;IF(V35&lt;&gt;"",IF(COUNTA($E35:$U35)&gt;0," OR ","")&amp;'Dashboard Config'!$B$7&amp;"="""&amp;V35&amp;"""","")&amp;IF(W35&lt;&gt;"",IF(COUNTA($E35:$V35)&gt;0," OR ","")&amp;'Dashboard Config'!$B$7&amp;"="""&amp;W35&amp;"""","")&amp;IF(X35&lt;&gt;"",IF(COUNTA($E35:$W35)&gt;0," OR ","")&amp;'Dashboard Config'!$B$7&amp;"="""&amp;X35&amp;"""","")&amp;IF(Y35&lt;&gt;"",IF(COUNTA($E35:$X35)&gt;0," OR ","")&amp;'Dashboard Config'!$B$7&amp;"="""&amp;Y35&amp;"""","")&amp;IF(Z35&lt;&gt;"",IF(COUNTA($E35:$Y35)&gt;0," OR ","")&amp;'Dashboard Config'!$B$7&amp;"="""&amp;Z35&amp;"""","")&amp;IF(AA35&lt;&gt;"",IF(COUNTA($E35:$Z35)&gt;0," OR ","")&amp;'Dashboard Config'!$B$7&amp;"="""&amp;AA35&amp;"""","")&amp;IF(AB35&lt;&gt;"",IF(COUNTA($E35:$AA35)&gt;0," OR ","")&amp;'Dashboard Config'!$B$7&amp;"="""&amp;AB35&amp;"""","")&amp;IF(AC35&lt;&gt;"",IF(COUNTA($E35:$AB35)&gt;0," OR ","")&amp;AC35,"")&amp;")")</x:f>
      </x:c>
      <x:c r="AE35" s="48" t="str">
        <x:f>IF($AD35="","",CHAR(123)&amp;CHAR(34)&amp;"label"&amp;CHAR(34)&amp;":"&amp;CHAR(34)&amp;$C35&amp;CHAR(34)&amp;","&amp;CHAR(34)&amp;"value"&amp;CHAR(34)&amp;":"&amp;CHAR(34)&amp;SUBSTITUTE($AD35,CHAR(34),CHAR(92)&amp;CHAR(34))&amp;CHAR(34)&amp;CHAR(125))</x:f>
      </x:c>
      <x:c r="AF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  <x:c r="AA36" s="42"/>
      <x:c r="AB36" s="42"/>
      <x:c r="AC36" s="42"/>
      <x:c r="AD36" s="48" t="str">
        <x:f>IF(OR($A36&lt;&gt;"Yes",$C36="",COUNTA($E36:$AC36)=0),"","("&amp;IF(E36&lt;&gt;"",'Dashboard Config'!$B$6&amp;"="""&amp;E36&amp;"""","")&amp;IF(F36&lt;&gt;"",IF(COUNTA($E36:$E36)&gt;0," OR ","")&amp;'Dashboard Config'!$B$6&amp;"="""&amp;F36&amp;"""","")&amp;IF(G36&lt;&gt;"",IF(COUNTA($E36:$F36)&gt;0," OR ","")&amp;'Dashboard Config'!$B$6&amp;"="""&amp;G36&amp;"""","")&amp;IF(H36&lt;&gt;"",IF(COUNTA($E36:$G36)&gt;0," OR ","")&amp;'Dashboard Config'!$B$6&amp;"="""&amp;H36&amp;"""","")&amp;IF(I36&lt;&gt;"",IF(COUNTA($E36:$H36)&gt;0," OR ","")&amp;'Dashboard Config'!$B$6&amp;"="""&amp;I36&amp;"""","")&amp;IF(J36&lt;&gt;"",IF(COUNTA($E36:$I36)&gt;0," OR ","")&amp;'Dashboard Config'!$B$6&amp;"="""&amp;J36&amp;"""","")&amp;IF(K36&lt;&gt;"",IF(COUNTA($E36:$J36)&gt;0," OR ","")&amp;'Dashboard Config'!$B$6&amp;"="""&amp;K36&amp;"""","")&amp;IF(L36&lt;&gt;"",IF(COUNTA($E36:$K36)&gt;0," OR ","")&amp;'Dashboard Config'!$B$6&amp;"="""&amp;L36&amp;"""","")&amp;IF(M36&lt;&gt;"",IF(COUNTA($E36:$L36)&gt;0," OR ","")&amp;'Dashboard Config'!$B$7&amp;"="""&amp;M36&amp;"""","")&amp;IF(N36&lt;&gt;"",IF(COUNTA($E36:$M36)&gt;0," OR ","")&amp;'Dashboard Config'!$B$7&amp;"="""&amp;N36&amp;"""","")&amp;IF(O36&lt;&gt;"",IF(COUNTA($E36:$N36)&gt;0," OR ","")&amp;'Dashboard Config'!$B$7&amp;"="""&amp;O36&amp;"""","")&amp;IF(P36&lt;&gt;"",IF(COUNTA($E36:$O36)&gt;0," OR ","")&amp;'Dashboard Config'!$B$7&amp;"="""&amp;P36&amp;"""","")&amp;IF(Q36&lt;&gt;"",IF(COUNTA($E36:$P36)&gt;0," OR ","")&amp;'Dashboard Config'!$B$7&amp;"="""&amp;Q36&amp;"""","")&amp;IF(R36&lt;&gt;"",IF(COUNTA($E36:$Q36)&gt;0," OR ","")&amp;'Dashboard Config'!$B$7&amp;"="""&amp;R36&amp;"""","")&amp;IF(S36&lt;&gt;"",IF(COUNTA($E36:$R36)&gt;0," OR ","")&amp;'Dashboard Config'!$B$7&amp;"="""&amp;S36&amp;"""","")&amp;IF(T36&lt;&gt;"",IF(COUNTA($E36:$S36)&gt;0," OR ","")&amp;'Dashboard Config'!$B$7&amp;"="""&amp;T36&amp;"""","")&amp;IF(U36&lt;&gt;"",IF(COUNTA($E36:$T36)&gt;0," OR ","")&amp;'Dashboard Config'!$B$7&amp;"="""&amp;U36&amp;"""","")&amp;IF(V36&lt;&gt;"",IF(COUNTA($E36:$U36)&gt;0," OR ","")&amp;'Dashboard Config'!$B$7&amp;"="""&amp;V36&amp;"""","")&amp;IF(W36&lt;&gt;"",IF(COUNTA($E36:$V36)&gt;0," OR ","")&amp;'Dashboard Config'!$B$7&amp;"="""&amp;W36&amp;"""","")&amp;IF(X36&lt;&gt;"",IF(COUNTA($E36:$W36)&gt;0," OR ","")&amp;'Dashboard Config'!$B$7&amp;"="""&amp;X36&amp;"""","")&amp;IF(Y36&lt;&gt;"",IF(COUNTA($E36:$X36)&gt;0," OR ","")&amp;'Dashboard Config'!$B$7&amp;"="""&amp;Y36&amp;"""","")&amp;IF(Z36&lt;&gt;"",IF(COUNTA($E36:$Y36)&gt;0," OR ","")&amp;'Dashboard Config'!$B$7&amp;"="""&amp;Z36&amp;"""","")&amp;IF(AA36&lt;&gt;"",IF(COUNTA($E36:$Z36)&gt;0," OR ","")&amp;'Dashboard Config'!$B$7&amp;"="""&amp;AA36&amp;"""","")&amp;IF(AB36&lt;&gt;"",IF(COUNTA($E36:$AA36)&gt;0," OR ","")&amp;'Dashboard Config'!$B$7&amp;"="""&amp;AB36&amp;"""","")&amp;IF(AC36&lt;&gt;"",IF(COUNTA($E36:$AB36)&gt;0," OR ","")&amp;AC36,"")&amp;")")</x:f>
      </x:c>
      <x:c r="AE36" s="48" t="str">
        <x:f>IF($AD36="","",CHAR(123)&amp;CHAR(34)&amp;"label"&amp;CHAR(34)&amp;":"&amp;CHAR(34)&amp;$C36&amp;CHAR(34)&amp;","&amp;CHAR(34)&amp;"value"&amp;CHAR(34)&amp;":"&amp;CHAR(34)&amp;SUBSTITUTE($AD36,CHAR(34),CHAR(92)&amp;CHAR(34))&amp;CHAR(34)&amp;CHAR(125))</x:f>
      </x:c>
      <x:c r="AF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  <x:c r="AA37" s="42"/>
      <x:c r="AB37" s="42"/>
      <x:c r="AC37" s="42"/>
      <x:c r="AD37" s="48" t="str">
        <x:f>IF(OR($A37&lt;&gt;"Yes",$C37="",COUNTA($E37:$AC37)=0),"","("&amp;IF(E37&lt;&gt;"",'Dashboard Config'!$B$6&amp;"="""&amp;E37&amp;"""","")&amp;IF(F37&lt;&gt;"",IF(COUNTA($E37:$E37)&gt;0," OR ","")&amp;'Dashboard Config'!$B$6&amp;"="""&amp;F37&amp;"""","")&amp;IF(G37&lt;&gt;"",IF(COUNTA($E37:$F37)&gt;0," OR ","")&amp;'Dashboard Config'!$B$6&amp;"="""&amp;G37&amp;"""","")&amp;IF(H37&lt;&gt;"",IF(COUNTA($E37:$G37)&gt;0," OR ","")&amp;'Dashboard Config'!$B$6&amp;"="""&amp;H37&amp;"""","")&amp;IF(I37&lt;&gt;"",IF(COUNTA($E37:$H37)&gt;0," OR ","")&amp;'Dashboard Config'!$B$6&amp;"="""&amp;I37&amp;"""","")&amp;IF(J37&lt;&gt;"",IF(COUNTA($E37:$I37)&gt;0," OR ","")&amp;'Dashboard Config'!$B$6&amp;"="""&amp;J37&amp;"""","")&amp;IF(K37&lt;&gt;"",IF(COUNTA($E37:$J37)&gt;0," OR ","")&amp;'Dashboard Config'!$B$6&amp;"="""&amp;K37&amp;"""","")&amp;IF(L37&lt;&gt;"",IF(COUNTA($E37:$K37)&gt;0," OR ","")&amp;'Dashboard Config'!$B$6&amp;"="""&amp;L37&amp;"""","")&amp;IF(M37&lt;&gt;"",IF(COUNTA($E37:$L37)&gt;0," OR ","")&amp;'Dashboard Config'!$B$7&amp;"="""&amp;M37&amp;"""","")&amp;IF(N37&lt;&gt;"",IF(COUNTA($E37:$M37)&gt;0," OR ","")&amp;'Dashboard Config'!$B$7&amp;"="""&amp;N37&amp;"""","")&amp;IF(O37&lt;&gt;"",IF(COUNTA($E37:$N37)&gt;0," OR ","")&amp;'Dashboard Config'!$B$7&amp;"="""&amp;O37&amp;"""","")&amp;IF(P37&lt;&gt;"",IF(COUNTA($E37:$O37)&gt;0," OR ","")&amp;'Dashboard Config'!$B$7&amp;"="""&amp;P37&amp;"""","")&amp;IF(Q37&lt;&gt;"",IF(COUNTA($E37:$P37)&gt;0," OR ","")&amp;'Dashboard Config'!$B$7&amp;"="""&amp;Q37&amp;"""","")&amp;IF(R37&lt;&gt;"",IF(COUNTA($E37:$Q37)&gt;0," OR ","")&amp;'Dashboard Config'!$B$7&amp;"="""&amp;R37&amp;"""","")&amp;IF(S37&lt;&gt;"",IF(COUNTA($E37:$R37)&gt;0," OR ","")&amp;'Dashboard Config'!$B$7&amp;"="""&amp;S37&amp;"""","")&amp;IF(T37&lt;&gt;"",IF(COUNTA($E37:$S37)&gt;0," OR ","")&amp;'Dashboard Config'!$B$7&amp;"="""&amp;T37&amp;"""","")&amp;IF(U37&lt;&gt;"",IF(COUNTA($E37:$T37)&gt;0," OR ","")&amp;'Dashboard Config'!$B$7&amp;"="""&amp;U37&amp;"""","")&amp;IF(V37&lt;&gt;"",IF(COUNTA($E37:$U37)&gt;0," OR ","")&amp;'Dashboard Config'!$B$7&amp;"="""&amp;V37&amp;"""","")&amp;IF(W37&lt;&gt;"",IF(COUNTA($E37:$V37)&gt;0," OR ","")&amp;'Dashboard Config'!$B$7&amp;"="""&amp;W37&amp;"""","")&amp;IF(X37&lt;&gt;"",IF(COUNTA($E37:$W37)&gt;0," OR ","")&amp;'Dashboard Config'!$B$7&amp;"="""&amp;X37&amp;"""","")&amp;IF(Y37&lt;&gt;"",IF(COUNTA($E37:$X37)&gt;0," OR ","")&amp;'Dashboard Config'!$B$7&amp;"="""&amp;Y37&amp;"""","")&amp;IF(Z37&lt;&gt;"",IF(COUNTA($E37:$Y37)&gt;0," OR ","")&amp;'Dashboard Config'!$B$7&amp;"="""&amp;Z37&amp;"""","")&amp;IF(AA37&lt;&gt;"",IF(COUNTA($E37:$Z37)&gt;0," OR ","")&amp;'Dashboard Config'!$B$7&amp;"="""&amp;AA37&amp;"""","")&amp;IF(AB37&lt;&gt;"",IF(COUNTA($E37:$AA37)&gt;0," OR ","")&amp;'Dashboard Config'!$B$7&amp;"="""&amp;AB37&amp;"""","")&amp;IF(AC37&lt;&gt;"",IF(COUNTA($E37:$AB37)&gt;0," OR ","")&amp;AC37,"")&amp;")")</x:f>
      </x:c>
      <x:c r="AE37" s="48" t="str">
        <x:f>IF($AD37="","",CHAR(123)&amp;CHAR(34)&amp;"label"&amp;CHAR(34)&amp;":"&amp;CHAR(34)&amp;$C37&amp;CHAR(34)&amp;","&amp;CHAR(34)&amp;"value"&amp;CHAR(34)&amp;":"&amp;CHAR(34)&amp;SUBSTITUTE($AD37,CHAR(34),CHAR(92)&amp;CHAR(34))&amp;CHAR(34)&amp;CHAR(125))</x:f>
      </x:c>
      <x:c r="AF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  <x:c r="AA38" s="42"/>
      <x:c r="AB38" s="42"/>
      <x:c r="AC38" s="42"/>
      <x:c r="AD38" s="48" t="str">
        <x:f>IF(OR($A38&lt;&gt;"Yes",$C38="",COUNTA($E38:$AC38)=0),"","("&amp;IF(E38&lt;&gt;"",'Dashboard Config'!$B$6&amp;"="""&amp;E38&amp;"""","")&amp;IF(F38&lt;&gt;"",IF(COUNTA($E38:$E38)&gt;0," OR ","")&amp;'Dashboard Config'!$B$6&amp;"="""&amp;F38&amp;"""","")&amp;IF(G38&lt;&gt;"",IF(COUNTA($E38:$F38)&gt;0," OR ","")&amp;'Dashboard Config'!$B$6&amp;"="""&amp;G38&amp;"""","")&amp;IF(H38&lt;&gt;"",IF(COUNTA($E38:$G38)&gt;0," OR ","")&amp;'Dashboard Config'!$B$6&amp;"="""&amp;H38&amp;"""","")&amp;IF(I38&lt;&gt;"",IF(COUNTA($E38:$H38)&gt;0," OR ","")&amp;'Dashboard Config'!$B$6&amp;"="""&amp;I38&amp;"""","")&amp;IF(J38&lt;&gt;"",IF(COUNTA($E38:$I38)&gt;0," OR ","")&amp;'Dashboard Config'!$B$6&amp;"="""&amp;J38&amp;"""","")&amp;IF(K38&lt;&gt;"",IF(COUNTA($E38:$J38)&gt;0," OR ","")&amp;'Dashboard Config'!$B$6&amp;"="""&amp;K38&amp;"""","")&amp;IF(L38&lt;&gt;"",IF(COUNTA($E38:$K38)&gt;0," OR ","")&amp;'Dashboard Config'!$B$6&amp;"="""&amp;L38&amp;"""","")&amp;IF(M38&lt;&gt;"",IF(COUNTA($E38:$L38)&gt;0," OR ","")&amp;'Dashboard Config'!$B$7&amp;"="""&amp;M38&amp;"""","")&amp;IF(N38&lt;&gt;"",IF(COUNTA($E38:$M38)&gt;0," OR ","")&amp;'Dashboard Config'!$B$7&amp;"="""&amp;N38&amp;"""","")&amp;IF(O38&lt;&gt;"",IF(COUNTA($E38:$N38)&gt;0," OR ","")&amp;'Dashboard Config'!$B$7&amp;"="""&amp;O38&amp;"""","")&amp;IF(P38&lt;&gt;"",IF(COUNTA($E38:$O38)&gt;0," OR ","")&amp;'Dashboard Config'!$B$7&amp;"="""&amp;P38&amp;"""","")&amp;IF(Q38&lt;&gt;"",IF(COUNTA($E38:$P38)&gt;0," OR ","")&amp;'Dashboard Config'!$B$7&amp;"="""&amp;Q38&amp;"""","")&amp;IF(R38&lt;&gt;"",IF(COUNTA($E38:$Q38)&gt;0," OR ","")&amp;'Dashboard Config'!$B$7&amp;"="""&amp;R38&amp;"""","")&amp;IF(S38&lt;&gt;"",IF(COUNTA($E38:$R38)&gt;0," OR ","")&amp;'Dashboard Config'!$B$7&amp;"="""&amp;S38&amp;"""","")&amp;IF(T38&lt;&gt;"",IF(COUNTA($E38:$S38)&gt;0," OR ","")&amp;'Dashboard Config'!$B$7&amp;"="""&amp;T38&amp;"""","")&amp;IF(U38&lt;&gt;"",IF(COUNTA($E38:$T38)&gt;0," OR ","")&amp;'Dashboard Config'!$B$7&amp;"="""&amp;U38&amp;"""","")&amp;IF(V38&lt;&gt;"",IF(COUNTA($E38:$U38)&gt;0," OR ","")&amp;'Dashboard Config'!$B$7&amp;"="""&amp;V38&amp;"""","")&amp;IF(W38&lt;&gt;"",IF(COUNTA($E38:$V38)&gt;0," OR ","")&amp;'Dashboard Config'!$B$7&amp;"="""&amp;W38&amp;"""","")&amp;IF(X38&lt;&gt;"",IF(COUNTA($E38:$W38)&gt;0," OR ","")&amp;'Dashboard Config'!$B$7&amp;"="""&amp;X38&amp;"""","")&amp;IF(Y38&lt;&gt;"",IF(COUNTA($E38:$X38)&gt;0," OR ","")&amp;'Dashboard Config'!$B$7&amp;"="""&amp;Y38&amp;"""","")&amp;IF(Z38&lt;&gt;"",IF(COUNTA($E38:$Y38)&gt;0," OR ","")&amp;'Dashboard Config'!$B$7&amp;"="""&amp;Z38&amp;"""","")&amp;IF(AA38&lt;&gt;"",IF(COUNTA($E38:$Z38)&gt;0," OR ","")&amp;'Dashboard Config'!$B$7&amp;"="""&amp;AA38&amp;"""","")&amp;IF(AB38&lt;&gt;"",IF(COUNTA($E38:$AA38)&gt;0," OR ","")&amp;'Dashboard Config'!$B$7&amp;"="""&amp;AB38&amp;"""","")&amp;IF(AC38&lt;&gt;"",IF(COUNTA($E38:$AB38)&gt;0," OR ","")&amp;AC38,"")&amp;")")</x:f>
      </x:c>
      <x:c r="AE38" s="48" t="str">
        <x:f>IF($AD38="","",CHAR(123)&amp;CHAR(34)&amp;"label"&amp;CHAR(34)&amp;":"&amp;CHAR(34)&amp;$C38&amp;CHAR(34)&amp;","&amp;CHAR(34)&amp;"value"&amp;CHAR(34)&amp;":"&amp;CHAR(34)&amp;SUBSTITUTE($AD38,CHAR(34),CHAR(92)&amp;CHAR(34))&amp;CHAR(34)&amp;CHAR(125))</x:f>
      </x:c>
      <x:c r="AF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  <x:c r="AA39" s="42"/>
      <x:c r="AB39" s="42"/>
      <x:c r="AC39" s="42"/>
      <x:c r="AD39" s="48" t="str">
        <x:f>IF(OR($A39&lt;&gt;"Yes",$C39="",COUNTA($E39:$AC39)=0),"","("&amp;IF(E39&lt;&gt;"",'Dashboard Config'!$B$6&amp;"="""&amp;E39&amp;"""","")&amp;IF(F39&lt;&gt;"",IF(COUNTA($E39:$E39)&gt;0," OR ","")&amp;'Dashboard Config'!$B$6&amp;"="""&amp;F39&amp;"""","")&amp;IF(G39&lt;&gt;"",IF(COUNTA($E39:$F39)&gt;0," OR ","")&amp;'Dashboard Config'!$B$6&amp;"="""&amp;G39&amp;"""","")&amp;IF(H39&lt;&gt;"",IF(COUNTA($E39:$G39)&gt;0," OR ","")&amp;'Dashboard Config'!$B$6&amp;"="""&amp;H39&amp;"""","")&amp;IF(I39&lt;&gt;"",IF(COUNTA($E39:$H39)&gt;0," OR ","")&amp;'Dashboard Config'!$B$6&amp;"="""&amp;I39&amp;"""","")&amp;IF(J39&lt;&gt;"",IF(COUNTA($E39:$I39)&gt;0," OR ","")&amp;'Dashboard Config'!$B$6&amp;"="""&amp;J39&amp;"""","")&amp;IF(K39&lt;&gt;"",IF(COUNTA($E39:$J39)&gt;0," OR ","")&amp;'Dashboard Config'!$B$6&amp;"="""&amp;K39&amp;"""","")&amp;IF(L39&lt;&gt;"",IF(COUNTA($E39:$K39)&gt;0," OR ","")&amp;'Dashboard Config'!$B$6&amp;"="""&amp;L39&amp;"""","")&amp;IF(M39&lt;&gt;"",IF(COUNTA($E39:$L39)&gt;0," OR ","")&amp;'Dashboard Config'!$B$7&amp;"="""&amp;M39&amp;"""","")&amp;IF(N39&lt;&gt;"",IF(COUNTA($E39:$M39)&gt;0," OR ","")&amp;'Dashboard Config'!$B$7&amp;"="""&amp;N39&amp;"""","")&amp;IF(O39&lt;&gt;"",IF(COUNTA($E39:$N39)&gt;0," OR ","")&amp;'Dashboard Config'!$B$7&amp;"="""&amp;O39&amp;"""","")&amp;IF(P39&lt;&gt;"",IF(COUNTA($E39:$O39)&gt;0," OR ","")&amp;'Dashboard Config'!$B$7&amp;"="""&amp;P39&amp;"""","")&amp;IF(Q39&lt;&gt;"",IF(COUNTA($E39:$P39)&gt;0," OR ","")&amp;'Dashboard Config'!$B$7&amp;"="""&amp;Q39&amp;"""","")&amp;IF(R39&lt;&gt;"",IF(COUNTA($E39:$Q39)&gt;0," OR ","")&amp;'Dashboard Config'!$B$7&amp;"="""&amp;R39&amp;"""","")&amp;IF(S39&lt;&gt;"",IF(COUNTA($E39:$R39)&gt;0," OR ","")&amp;'Dashboard Config'!$B$7&amp;"="""&amp;S39&amp;"""","")&amp;IF(T39&lt;&gt;"",IF(COUNTA($E39:$S39)&gt;0," OR ","")&amp;'Dashboard Config'!$B$7&amp;"="""&amp;T39&amp;"""","")&amp;IF(U39&lt;&gt;"",IF(COUNTA($E39:$T39)&gt;0," OR ","")&amp;'Dashboard Config'!$B$7&amp;"="""&amp;U39&amp;"""","")&amp;IF(V39&lt;&gt;"",IF(COUNTA($E39:$U39)&gt;0," OR ","")&amp;'Dashboard Config'!$B$7&amp;"="""&amp;V39&amp;"""","")&amp;IF(W39&lt;&gt;"",IF(COUNTA($E39:$V39)&gt;0," OR ","")&amp;'Dashboard Config'!$B$7&amp;"="""&amp;W39&amp;"""","")&amp;IF(X39&lt;&gt;"",IF(COUNTA($E39:$W39)&gt;0," OR ","")&amp;'Dashboard Config'!$B$7&amp;"="""&amp;X39&amp;"""","")&amp;IF(Y39&lt;&gt;"",IF(COUNTA($E39:$X39)&gt;0," OR ","")&amp;'Dashboard Config'!$B$7&amp;"="""&amp;Y39&amp;"""","")&amp;IF(Z39&lt;&gt;"",IF(COUNTA($E39:$Y39)&gt;0," OR ","")&amp;'Dashboard Config'!$B$7&amp;"="""&amp;Z39&amp;"""","")&amp;IF(AA39&lt;&gt;"",IF(COUNTA($E39:$Z39)&gt;0," OR ","")&amp;'Dashboard Config'!$B$7&amp;"="""&amp;AA39&amp;"""","")&amp;IF(AB39&lt;&gt;"",IF(COUNTA($E39:$AA39)&gt;0," OR ","")&amp;'Dashboard Config'!$B$7&amp;"="""&amp;AB39&amp;"""","")&amp;IF(AC39&lt;&gt;"",IF(COUNTA($E39:$AB39)&gt;0," OR ","")&amp;AC39,"")&amp;")")</x:f>
      </x:c>
      <x:c r="AE39" s="48" t="str">
        <x:f>IF($AD39="","",CHAR(123)&amp;CHAR(34)&amp;"label"&amp;CHAR(34)&amp;":"&amp;CHAR(34)&amp;$C39&amp;CHAR(34)&amp;","&amp;CHAR(34)&amp;"value"&amp;CHAR(34)&amp;":"&amp;CHAR(34)&amp;SUBSTITUTE($AD39,CHAR(34),CHAR(92)&amp;CHAR(34))&amp;CHAR(34)&amp;CHAR(125))</x:f>
      </x:c>
      <x:c r="AF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8" t="str">
        <x:f>IF(OR($A40&lt;&gt;"Yes",$C40="",COUNTA($E40:$AC40)=0),"","("&amp;IF(E40&lt;&gt;"",'Dashboard Config'!$B$6&amp;"="""&amp;E40&amp;"""","")&amp;IF(F40&lt;&gt;"",IF(COUNTA($E40:$E40)&gt;0," OR ","")&amp;'Dashboard Config'!$B$6&amp;"="""&amp;F40&amp;"""","")&amp;IF(G40&lt;&gt;"",IF(COUNTA($E40:$F40)&gt;0," OR ","")&amp;'Dashboard Config'!$B$6&amp;"="""&amp;G40&amp;"""","")&amp;IF(H40&lt;&gt;"",IF(COUNTA($E40:$G40)&gt;0," OR ","")&amp;'Dashboard Config'!$B$6&amp;"="""&amp;H40&amp;"""","")&amp;IF(I40&lt;&gt;"",IF(COUNTA($E40:$H40)&gt;0," OR ","")&amp;'Dashboard Config'!$B$6&amp;"="""&amp;I40&amp;"""","")&amp;IF(J40&lt;&gt;"",IF(COUNTA($E40:$I40)&gt;0," OR ","")&amp;'Dashboard Config'!$B$6&amp;"="""&amp;J40&amp;"""","")&amp;IF(K40&lt;&gt;"",IF(COUNTA($E40:$J40)&gt;0," OR ","")&amp;'Dashboard Config'!$B$6&amp;"="""&amp;K40&amp;"""","")&amp;IF(L40&lt;&gt;"",IF(COUNTA($E40:$K40)&gt;0," OR ","")&amp;'Dashboard Config'!$B$6&amp;"="""&amp;L40&amp;"""","")&amp;IF(M40&lt;&gt;"",IF(COUNTA($E40:$L40)&gt;0," OR ","")&amp;'Dashboard Config'!$B$7&amp;"="""&amp;M40&amp;"""","")&amp;IF(N40&lt;&gt;"",IF(COUNTA($E40:$M40)&gt;0," OR ","")&amp;'Dashboard Config'!$B$7&amp;"="""&amp;N40&amp;"""","")&amp;IF(O40&lt;&gt;"",IF(COUNTA($E40:$N40)&gt;0," OR ","")&amp;'Dashboard Config'!$B$7&amp;"="""&amp;O40&amp;"""","")&amp;IF(P40&lt;&gt;"",IF(COUNTA($E40:$O40)&gt;0," OR ","")&amp;'Dashboard Config'!$B$7&amp;"="""&amp;P40&amp;"""","")&amp;IF(Q40&lt;&gt;"",IF(COUNTA($E40:$P40)&gt;0," OR ","")&amp;'Dashboard Config'!$B$7&amp;"="""&amp;Q40&amp;"""","")&amp;IF(R40&lt;&gt;"",IF(COUNTA($E40:$Q40)&gt;0," OR ","")&amp;'Dashboard Config'!$B$7&amp;"="""&amp;R40&amp;"""","")&amp;IF(S40&lt;&gt;"",IF(COUNTA($E40:$R40)&gt;0," OR ","")&amp;'Dashboard Config'!$B$7&amp;"="""&amp;S40&amp;"""","")&amp;IF(T40&lt;&gt;"",IF(COUNTA($E40:$S40)&gt;0," OR ","")&amp;'Dashboard Config'!$B$7&amp;"="""&amp;T40&amp;"""","")&amp;IF(U40&lt;&gt;"",IF(COUNTA($E40:$T40)&gt;0," OR ","")&amp;'Dashboard Config'!$B$7&amp;"="""&amp;U40&amp;"""","")&amp;IF(V40&lt;&gt;"",IF(COUNTA($E40:$U40)&gt;0," OR ","")&amp;'Dashboard Config'!$B$7&amp;"="""&amp;V40&amp;"""","")&amp;IF(W40&lt;&gt;"",IF(COUNTA($E40:$V40)&gt;0," OR ","")&amp;'Dashboard Config'!$B$7&amp;"="""&amp;W40&amp;"""","")&amp;IF(X40&lt;&gt;"",IF(COUNTA($E40:$W40)&gt;0," OR ","")&amp;'Dashboard Config'!$B$7&amp;"="""&amp;X40&amp;"""","")&amp;IF(Y40&lt;&gt;"",IF(COUNTA($E40:$X40)&gt;0," OR ","")&amp;'Dashboard Config'!$B$7&amp;"="""&amp;Y40&amp;"""","")&amp;IF(Z40&lt;&gt;"",IF(COUNTA($E40:$Y40)&gt;0," OR ","")&amp;'Dashboard Config'!$B$7&amp;"="""&amp;Z40&amp;"""","")&amp;IF(AA40&lt;&gt;"",IF(COUNTA($E40:$Z40)&gt;0," OR ","")&amp;'Dashboard Config'!$B$7&amp;"="""&amp;AA40&amp;"""","")&amp;IF(AB40&lt;&gt;"",IF(COUNTA($E40:$AA40)&gt;0," OR ","")&amp;'Dashboard Config'!$B$7&amp;"="""&amp;AB40&amp;"""","")&amp;IF(AC40&lt;&gt;"",IF(COUNTA($E40:$AB40)&gt;0," OR ","")&amp;AC40,"")&amp;")")</x:f>
      </x:c>
      <x:c r="AE40" s="48" t="str">
        <x:f>IF($AD40="","",CHAR(123)&amp;CHAR(34)&amp;"label"&amp;CHAR(34)&amp;":"&amp;CHAR(34)&amp;$C40&amp;CHAR(34)&amp;","&amp;CHAR(34)&amp;"value"&amp;CHAR(34)&amp;":"&amp;CHAR(34)&amp;SUBSTITUTE($AD40,CHAR(34),CHAR(92)&amp;CHAR(34))&amp;CHAR(34)&amp;CHAR(125))</x:f>
      </x:c>
      <x:c r="AF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  <x:c r="AA41" s="42"/>
      <x:c r="AB41" s="42"/>
      <x:c r="AC41" s="42"/>
      <x:c r="AD41" s="48" t="str">
        <x:f>IF(OR($A41&lt;&gt;"Yes",$C41="",COUNTA($E41:$AC41)=0),"","("&amp;IF(E41&lt;&gt;"",'Dashboard Config'!$B$6&amp;"="""&amp;E41&amp;"""","")&amp;IF(F41&lt;&gt;"",IF(COUNTA($E41:$E41)&gt;0," OR ","")&amp;'Dashboard Config'!$B$6&amp;"="""&amp;F41&amp;"""","")&amp;IF(G41&lt;&gt;"",IF(COUNTA($E41:$F41)&gt;0," OR ","")&amp;'Dashboard Config'!$B$6&amp;"="""&amp;G41&amp;"""","")&amp;IF(H41&lt;&gt;"",IF(COUNTA($E41:$G41)&gt;0," OR ","")&amp;'Dashboard Config'!$B$6&amp;"="""&amp;H41&amp;"""","")&amp;IF(I41&lt;&gt;"",IF(COUNTA($E41:$H41)&gt;0," OR ","")&amp;'Dashboard Config'!$B$6&amp;"="""&amp;I41&amp;"""","")&amp;IF(J41&lt;&gt;"",IF(COUNTA($E41:$I41)&gt;0," OR ","")&amp;'Dashboard Config'!$B$6&amp;"="""&amp;J41&amp;"""","")&amp;IF(K41&lt;&gt;"",IF(COUNTA($E41:$J41)&gt;0," OR ","")&amp;'Dashboard Config'!$B$6&amp;"="""&amp;K41&amp;"""","")&amp;IF(L41&lt;&gt;"",IF(COUNTA($E41:$K41)&gt;0," OR ","")&amp;'Dashboard Config'!$B$6&amp;"="""&amp;L41&amp;"""","")&amp;IF(M41&lt;&gt;"",IF(COUNTA($E41:$L41)&gt;0," OR ","")&amp;'Dashboard Config'!$B$7&amp;"="""&amp;M41&amp;"""","")&amp;IF(N41&lt;&gt;"",IF(COUNTA($E41:$M41)&gt;0," OR ","")&amp;'Dashboard Config'!$B$7&amp;"="""&amp;N41&amp;"""","")&amp;IF(O41&lt;&gt;"",IF(COUNTA($E41:$N41)&gt;0," OR ","")&amp;'Dashboard Config'!$B$7&amp;"="""&amp;O41&amp;"""","")&amp;IF(P41&lt;&gt;"",IF(COUNTA($E41:$O41)&gt;0," OR ","")&amp;'Dashboard Config'!$B$7&amp;"="""&amp;P41&amp;"""","")&amp;IF(Q41&lt;&gt;"",IF(COUNTA($E41:$P41)&gt;0," OR ","")&amp;'Dashboard Config'!$B$7&amp;"="""&amp;Q41&amp;"""","")&amp;IF(R41&lt;&gt;"",IF(COUNTA($E41:$Q41)&gt;0," OR ","")&amp;'Dashboard Config'!$B$7&amp;"="""&amp;R41&amp;"""","")&amp;IF(S41&lt;&gt;"",IF(COUNTA($E41:$R41)&gt;0," OR ","")&amp;'Dashboard Config'!$B$7&amp;"="""&amp;S41&amp;"""","")&amp;IF(T41&lt;&gt;"",IF(COUNTA($E41:$S41)&gt;0," OR ","")&amp;'Dashboard Config'!$B$7&amp;"="""&amp;T41&amp;"""","")&amp;IF(U41&lt;&gt;"",IF(COUNTA($E41:$T41)&gt;0," OR ","")&amp;'Dashboard Config'!$B$7&amp;"="""&amp;U41&amp;"""","")&amp;IF(V41&lt;&gt;"",IF(COUNTA($E41:$U41)&gt;0," OR ","")&amp;'Dashboard Config'!$B$7&amp;"="""&amp;V41&amp;"""","")&amp;IF(W41&lt;&gt;"",IF(COUNTA($E41:$V41)&gt;0," OR ","")&amp;'Dashboard Config'!$B$7&amp;"="""&amp;W41&amp;"""","")&amp;IF(X41&lt;&gt;"",IF(COUNTA($E41:$W41)&gt;0," OR ","")&amp;'Dashboard Config'!$B$7&amp;"="""&amp;X41&amp;"""","")&amp;IF(Y41&lt;&gt;"",IF(COUNTA($E41:$X41)&gt;0," OR ","")&amp;'Dashboard Config'!$B$7&amp;"="""&amp;Y41&amp;"""","")&amp;IF(Z41&lt;&gt;"",IF(COUNTA($E41:$Y41)&gt;0," OR ","")&amp;'Dashboard Config'!$B$7&amp;"="""&amp;Z41&amp;"""","")&amp;IF(AA41&lt;&gt;"",IF(COUNTA($E41:$Z41)&gt;0," OR ","")&amp;'Dashboard Config'!$B$7&amp;"="""&amp;AA41&amp;"""","")&amp;IF(AB41&lt;&gt;"",IF(COUNTA($E41:$AA41)&gt;0," OR ","")&amp;'Dashboard Config'!$B$7&amp;"="""&amp;AB41&amp;"""","")&amp;IF(AC41&lt;&gt;"",IF(COUNTA($E41:$AB41)&gt;0," OR ","")&amp;AC41,"")&amp;")")</x:f>
      </x:c>
      <x:c r="AE41" s="48" t="str">
        <x:f>IF($AD41="","",CHAR(123)&amp;CHAR(34)&amp;"label"&amp;CHAR(34)&amp;":"&amp;CHAR(34)&amp;$C41&amp;CHAR(34)&amp;","&amp;CHAR(34)&amp;"value"&amp;CHAR(34)&amp;":"&amp;CHAR(34)&amp;SUBSTITUTE($AD41,CHAR(34),CHAR(92)&amp;CHAR(34))&amp;CHAR(34)&amp;CHAR(125))</x:f>
      </x:c>
      <x:c r="AF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  <x:c r="AA42" s="42"/>
      <x:c r="AB42" s="42"/>
      <x:c r="AC42" s="42"/>
      <x:c r="AD42" s="48" t="str">
        <x:f>IF(OR($A42&lt;&gt;"Yes",$C42="",COUNTA($E42:$AC42)=0),"","("&amp;IF(E42&lt;&gt;"",'Dashboard Config'!$B$6&amp;"="""&amp;E42&amp;"""","")&amp;IF(F42&lt;&gt;"",IF(COUNTA($E42:$E42)&gt;0," OR ","")&amp;'Dashboard Config'!$B$6&amp;"="""&amp;F42&amp;"""","")&amp;IF(G42&lt;&gt;"",IF(COUNTA($E42:$F42)&gt;0," OR ","")&amp;'Dashboard Config'!$B$6&amp;"="""&amp;G42&amp;"""","")&amp;IF(H42&lt;&gt;"",IF(COUNTA($E42:$G42)&gt;0," OR ","")&amp;'Dashboard Config'!$B$6&amp;"="""&amp;H42&amp;"""","")&amp;IF(I42&lt;&gt;"",IF(COUNTA($E42:$H42)&gt;0," OR ","")&amp;'Dashboard Config'!$B$6&amp;"="""&amp;I42&amp;"""","")&amp;IF(J42&lt;&gt;"",IF(COUNTA($E42:$I42)&gt;0," OR ","")&amp;'Dashboard Config'!$B$6&amp;"="""&amp;J42&amp;"""","")&amp;IF(K42&lt;&gt;"",IF(COUNTA($E42:$J42)&gt;0," OR ","")&amp;'Dashboard Config'!$B$6&amp;"="""&amp;K42&amp;"""","")&amp;IF(L42&lt;&gt;"",IF(COUNTA($E42:$K42)&gt;0," OR ","")&amp;'Dashboard Config'!$B$6&amp;"="""&amp;L42&amp;"""","")&amp;IF(M42&lt;&gt;"",IF(COUNTA($E42:$L42)&gt;0," OR ","")&amp;'Dashboard Config'!$B$7&amp;"="""&amp;M42&amp;"""","")&amp;IF(N42&lt;&gt;"",IF(COUNTA($E42:$M42)&gt;0," OR ","")&amp;'Dashboard Config'!$B$7&amp;"="""&amp;N42&amp;"""","")&amp;IF(O42&lt;&gt;"",IF(COUNTA($E42:$N42)&gt;0," OR ","")&amp;'Dashboard Config'!$B$7&amp;"="""&amp;O42&amp;"""","")&amp;IF(P42&lt;&gt;"",IF(COUNTA($E42:$O42)&gt;0," OR ","")&amp;'Dashboard Config'!$B$7&amp;"="""&amp;P42&amp;"""","")&amp;IF(Q42&lt;&gt;"",IF(COUNTA($E42:$P42)&gt;0," OR ","")&amp;'Dashboard Config'!$B$7&amp;"="""&amp;Q42&amp;"""","")&amp;IF(R42&lt;&gt;"",IF(COUNTA($E42:$Q42)&gt;0," OR ","")&amp;'Dashboard Config'!$B$7&amp;"="""&amp;R42&amp;"""","")&amp;IF(S42&lt;&gt;"",IF(COUNTA($E42:$R42)&gt;0," OR ","")&amp;'Dashboard Config'!$B$7&amp;"="""&amp;S42&amp;"""","")&amp;IF(T42&lt;&gt;"",IF(COUNTA($E42:$S42)&gt;0," OR ","")&amp;'Dashboard Config'!$B$7&amp;"="""&amp;T42&amp;"""","")&amp;IF(U42&lt;&gt;"",IF(COUNTA($E42:$T42)&gt;0," OR ","")&amp;'Dashboard Config'!$B$7&amp;"="""&amp;U42&amp;"""","")&amp;IF(V42&lt;&gt;"",IF(COUNTA($E42:$U42)&gt;0," OR ","")&amp;'Dashboard Config'!$B$7&amp;"="""&amp;V42&amp;"""","")&amp;IF(W42&lt;&gt;"",IF(COUNTA($E42:$V42)&gt;0," OR ","")&amp;'Dashboard Config'!$B$7&amp;"="""&amp;W42&amp;"""","")&amp;IF(X42&lt;&gt;"",IF(COUNTA($E42:$W42)&gt;0," OR ","")&amp;'Dashboard Config'!$B$7&amp;"="""&amp;X42&amp;"""","")&amp;IF(Y42&lt;&gt;"",IF(COUNTA($E42:$X42)&gt;0," OR ","")&amp;'Dashboard Config'!$B$7&amp;"="""&amp;Y42&amp;"""","")&amp;IF(Z42&lt;&gt;"",IF(COUNTA($E42:$Y42)&gt;0," OR ","")&amp;'Dashboard Config'!$B$7&amp;"="""&amp;Z42&amp;"""","")&amp;IF(AA42&lt;&gt;"",IF(COUNTA($E42:$Z42)&gt;0," OR ","")&amp;'Dashboard Config'!$B$7&amp;"="""&amp;AA42&amp;"""","")&amp;IF(AB42&lt;&gt;"",IF(COUNTA($E42:$AA42)&gt;0," OR ","")&amp;'Dashboard Config'!$B$7&amp;"="""&amp;AB42&amp;"""","")&amp;IF(AC42&lt;&gt;"",IF(COUNTA($E42:$AB42)&gt;0," OR ","")&amp;AC42,"")&amp;")")</x:f>
      </x:c>
      <x:c r="AE42" s="48" t="str">
        <x:f>IF($AD42="","",CHAR(123)&amp;CHAR(34)&amp;"label"&amp;CHAR(34)&amp;":"&amp;CHAR(34)&amp;$C42&amp;CHAR(34)&amp;","&amp;CHAR(34)&amp;"value"&amp;CHAR(34)&amp;":"&amp;CHAR(34)&amp;SUBSTITUTE($AD42,CHAR(34),CHAR(92)&amp;CHAR(34))&amp;CHAR(34)&amp;CHAR(125))</x:f>
      </x:c>
      <x:c r="AF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  <x:c r="AA43" s="42"/>
      <x:c r="AB43" s="42"/>
      <x:c r="AC43" s="42"/>
      <x:c r="AD43" s="48" t="str">
        <x:f>IF(OR($A43&lt;&gt;"Yes",$C43="",COUNTA($E43:$AC43)=0),"","("&amp;IF(E43&lt;&gt;"",'Dashboard Config'!$B$6&amp;"="""&amp;E43&amp;"""","")&amp;IF(F43&lt;&gt;"",IF(COUNTA($E43:$E43)&gt;0," OR ","")&amp;'Dashboard Config'!$B$6&amp;"="""&amp;F43&amp;"""","")&amp;IF(G43&lt;&gt;"",IF(COUNTA($E43:$F43)&gt;0," OR ","")&amp;'Dashboard Config'!$B$6&amp;"="""&amp;G43&amp;"""","")&amp;IF(H43&lt;&gt;"",IF(COUNTA($E43:$G43)&gt;0," OR ","")&amp;'Dashboard Config'!$B$6&amp;"="""&amp;H43&amp;"""","")&amp;IF(I43&lt;&gt;"",IF(COUNTA($E43:$H43)&gt;0," OR ","")&amp;'Dashboard Config'!$B$6&amp;"="""&amp;I43&amp;"""","")&amp;IF(J43&lt;&gt;"",IF(COUNTA($E43:$I43)&gt;0," OR ","")&amp;'Dashboard Config'!$B$6&amp;"="""&amp;J43&amp;"""","")&amp;IF(K43&lt;&gt;"",IF(COUNTA($E43:$J43)&gt;0," OR ","")&amp;'Dashboard Config'!$B$6&amp;"="""&amp;K43&amp;"""","")&amp;IF(L43&lt;&gt;"",IF(COUNTA($E43:$K43)&gt;0," OR ","")&amp;'Dashboard Config'!$B$6&amp;"="""&amp;L43&amp;"""","")&amp;IF(M43&lt;&gt;"",IF(COUNTA($E43:$L43)&gt;0," OR ","")&amp;'Dashboard Config'!$B$7&amp;"="""&amp;M43&amp;"""","")&amp;IF(N43&lt;&gt;"",IF(COUNTA($E43:$M43)&gt;0," OR ","")&amp;'Dashboard Config'!$B$7&amp;"="""&amp;N43&amp;"""","")&amp;IF(O43&lt;&gt;"",IF(COUNTA($E43:$N43)&gt;0," OR ","")&amp;'Dashboard Config'!$B$7&amp;"="""&amp;O43&amp;"""","")&amp;IF(P43&lt;&gt;"",IF(COUNTA($E43:$O43)&gt;0," OR ","")&amp;'Dashboard Config'!$B$7&amp;"="""&amp;P43&amp;"""","")&amp;IF(Q43&lt;&gt;"",IF(COUNTA($E43:$P43)&gt;0," OR ","")&amp;'Dashboard Config'!$B$7&amp;"="""&amp;Q43&amp;"""","")&amp;IF(R43&lt;&gt;"",IF(COUNTA($E43:$Q43)&gt;0," OR ","")&amp;'Dashboard Config'!$B$7&amp;"="""&amp;R43&amp;"""","")&amp;IF(S43&lt;&gt;"",IF(COUNTA($E43:$R43)&gt;0," OR ","")&amp;'Dashboard Config'!$B$7&amp;"="""&amp;S43&amp;"""","")&amp;IF(T43&lt;&gt;"",IF(COUNTA($E43:$S43)&gt;0," OR ","")&amp;'Dashboard Config'!$B$7&amp;"="""&amp;T43&amp;"""","")&amp;IF(U43&lt;&gt;"",IF(COUNTA($E43:$T43)&gt;0," OR ","")&amp;'Dashboard Config'!$B$7&amp;"="""&amp;U43&amp;"""","")&amp;IF(V43&lt;&gt;"",IF(COUNTA($E43:$U43)&gt;0," OR ","")&amp;'Dashboard Config'!$B$7&amp;"="""&amp;V43&amp;"""","")&amp;IF(W43&lt;&gt;"",IF(COUNTA($E43:$V43)&gt;0," OR ","")&amp;'Dashboard Config'!$B$7&amp;"="""&amp;W43&amp;"""","")&amp;IF(X43&lt;&gt;"",IF(COUNTA($E43:$W43)&gt;0," OR ","")&amp;'Dashboard Config'!$B$7&amp;"="""&amp;X43&amp;"""","")&amp;IF(Y43&lt;&gt;"",IF(COUNTA($E43:$X43)&gt;0," OR ","")&amp;'Dashboard Config'!$B$7&amp;"="""&amp;Y43&amp;"""","")&amp;IF(Z43&lt;&gt;"",IF(COUNTA($E43:$Y43)&gt;0," OR ","")&amp;'Dashboard Config'!$B$7&amp;"="""&amp;Z43&amp;"""","")&amp;IF(AA43&lt;&gt;"",IF(COUNTA($E43:$Z43)&gt;0," OR ","")&amp;'Dashboard Config'!$B$7&amp;"="""&amp;AA43&amp;"""","")&amp;IF(AB43&lt;&gt;"",IF(COUNTA($E43:$AA43)&gt;0," OR ","")&amp;'Dashboard Config'!$B$7&amp;"="""&amp;AB43&amp;"""","")&amp;IF(AC43&lt;&gt;"",IF(COUNTA($E43:$AB43)&gt;0," OR ","")&amp;AC43,"")&amp;")")</x:f>
      </x:c>
      <x:c r="AE43" s="48" t="str">
        <x:f>IF($AD43="","",CHAR(123)&amp;CHAR(34)&amp;"label"&amp;CHAR(34)&amp;":"&amp;CHAR(34)&amp;$C43&amp;CHAR(34)&amp;","&amp;CHAR(34)&amp;"value"&amp;CHAR(34)&amp;":"&amp;CHAR(34)&amp;SUBSTITUTE($AD43,CHAR(34),CHAR(92)&amp;CHAR(34))&amp;CHAR(34)&amp;CHAR(125))</x:f>
      </x:c>
      <x:c r="AF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  <x:c r="AA44" s="42"/>
      <x:c r="AB44" s="42"/>
      <x:c r="AC44" s="42"/>
      <x:c r="AD44" s="48" t="str">
        <x:f>IF(OR($A44&lt;&gt;"Yes",$C44="",COUNTA($E44:$AC44)=0),"","("&amp;IF(E44&lt;&gt;"",'Dashboard Config'!$B$6&amp;"="""&amp;E44&amp;"""","")&amp;IF(F44&lt;&gt;"",IF(COUNTA($E44:$E44)&gt;0," OR ","")&amp;'Dashboard Config'!$B$6&amp;"="""&amp;F44&amp;"""","")&amp;IF(G44&lt;&gt;"",IF(COUNTA($E44:$F44)&gt;0," OR ","")&amp;'Dashboard Config'!$B$6&amp;"="""&amp;G44&amp;"""","")&amp;IF(H44&lt;&gt;"",IF(COUNTA($E44:$G44)&gt;0," OR ","")&amp;'Dashboard Config'!$B$6&amp;"="""&amp;H44&amp;"""","")&amp;IF(I44&lt;&gt;"",IF(COUNTA($E44:$H44)&gt;0," OR ","")&amp;'Dashboard Config'!$B$6&amp;"="""&amp;I44&amp;"""","")&amp;IF(J44&lt;&gt;"",IF(COUNTA($E44:$I44)&gt;0," OR ","")&amp;'Dashboard Config'!$B$6&amp;"="""&amp;J44&amp;"""","")&amp;IF(K44&lt;&gt;"",IF(COUNTA($E44:$J44)&gt;0," OR ","")&amp;'Dashboard Config'!$B$6&amp;"="""&amp;K44&amp;"""","")&amp;IF(L44&lt;&gt;"",IF(COUNTA($E44:$K44)&gt;0," OR ","")&amp;'Dashboard Config'!$B$6&amp;"="""&amp;L44&amp;"""","")&amp;IF(M44&lt;&gt;"",IF(COUNTA($E44:$L44)&gt;0," OR ","")&amp;'Dashboard Config'!$B$7&amp;"="""&amp;M44&amp;"""","")&amp;IF(N44&lt;&gt;"",IF(COUNTA($E44:$M44)&gt;0," OR ","")&amp;'Dashboard Config'!$B$7&amp;"="""&amp;N44&amp;"""","")&amp;IF(O44&lt;&gt;"",IF(COUNTA($E44:$N44)&gt;0," OR ","")&amp;'Dashboard Config'!$B$7&amp;"="""&amp;O44&amp;"""","")&amp;IF(P44&lt;&gt;"",IF(COUNTA($E44:$O44)&gt;0," OR ","")&amp;'Dashboard Config'!$B$7&amp;"="""&amp;P44&amp;"""","")&amp;IF(Q44&lt;&gt;"",IF(COUNTA($E44:$P44)&gt;0," OR ","")&amp;'Dashboard Config'!$B$7&amp;"="""&amp;Q44&amp;"""","")&amp;IF(R44&lt;&gt;"",IF(COUNTA($E44:$Q44)&gt;0," OR ","")&amp;'Dashboard Config'!$B$7&amp;"="""&amp;R44&amp;"""","")&amp;IF(S44&lt;&gt;"",IF(COUNTA($E44:$R44)&gt;0," OR ","")&amp;'Dashboard Config'!$B$7&amp;"="""&amp;S44&amp;"""","")&amp;IF(T44&lt;&gt;"",IF(COUNTA($E44:$S44)&gt;0," OR ","")&amp;'Dashboard Config'!$B$7&amp;"="""&amp;T44&amp;"""","")&amp;IF(U44&lt;&gt;"",IF(COUNTA($E44:$T44)&gt;0," OR ","")&amp;'Dashboard Config'!$B$7&amp;"="""&amp;U44&amp;"""","")&amp;IF(V44&lt;&gt;"",IF(COUNTA($E44:$U44)&gt;0," OR ","")&amp;'Dashboard Config'!$B$7&amp;"="""&amp;V44&amp;"""","")&amp;IF(W44&lt;&gt;"",IF(COUNTA($E44:$V44)&gt;0," OR ","")&amp;'Dashboard Config'!$B$7&amp;"="""&amp;W44&amp;"""","")&amp;IF(X44&lt;&gt;"",IF(COUNTA($E44:$W44)&gt;0," OR ","")&amp;'Dashboard Config'!$B$7&amp;"="""&amp;X44&amp;"""","")&amp;IF(Y44&lt;&gt;"",IF(COUNTA($E44:$X44)&gt;0," OR ","")&amp;'Dashboard Config'!$B$7&amp;"="""&amp;Y44&amp;"""","")&amp;IF(Z44&lt;&gt;"",IF(COUNTA($E44:$Y44)&gt;0," OR ","")&amp;'Dashboard Config'!$B$7&amp;"="""&amp;Z44&amp;"""","")&amp;IF(AA44&lt;&gt;"",IF(COUNTA($E44:$Z44)&gt;0," OR ","")&amp;'Dashboard Config'!$B$7&amp;"="""&amp;AA44&amp;"""","")&amp;IF(AB44&lt;&gt;"",IF(COUNTA($E44:$AA44)&gt;0," OR ","")&amp;'Dashboard Config'!$B$7&amp;"="""&amp;AB44&amp;"""","")&amp;IF(AC44&lt;&gt;"",IF(COUNTA($E44:$AB44)&gt;0," OR ","")&amp;AC44,"")&amp;")")</x:f>
      </x:c>
      <x:c r="AE44" s="48" t="str">
        <x:f>IF($AD44="","",CHAR(123)&amp;CHAR(34)&amp;"label"&amp;CHAR(34)&amp;":"&amp;CHAR(34)&amp;$C44&amp;CHAR(34)&amp;","&amp;CHAR(34)&amp;"value"&amp;CHAR(34)&amp;":"&amp;CHAR(34)&amp;SUBSTITUTE($AD44,CHAR(34),CHAR(92)&amp;CHAR(34))&amp;CHAR(34)&amp;CHAR(125))</x:f>
      </x:c>
      <x:c r="AF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8" t="str">
        <x:f>IF(OR($A45&lt;&gt;"Yes",$C45="",COUNTA($E45:$AC45)=0),"","("&amp;IF(E45&lt;&gt;"",'Dashboard Config'!$B$6&amp;"="""&amp;E45&amp;"""","")&amp;IF(F45&lt;&gt;"",IF(COUNTA($E45:$E45)&gt;0," OR ","")&amp;'Dashboard Config'!$B$6&amp;"="""&amp;F45&amp;"""","")&amp;IF(G45&lt;&gt;"",IF(COUNTA($E45:$F45)&gt;0," OR ","")&amp;'Dashboard Config'!$B$6&amp;"="""&amp;G45&amp;"""","")&amp;IF(H45&lt;&gt;"",IF(COUNTA($E45:$G45)&gt;0," OR ","")&amp;'Dashboard Config'!$B$6&amp;"="""&amp;H45&amp;"""","")&amp;IF(I45&lt;&gt;"",IF(COUNTA($E45:$H45)&gt;0," OR ","")&amp;'Dashboard Config'!$B$6&amp;"="""&amp;I45&amp;"""","")&amp;IF(J45&lt;&gt;"",IF(COUNTA($E45:$I45)&gt;0," OR ","")&amp;'Dashboard Config'!$B$6&amp;"="""&amp;J45&amp;"""","")&amp;IF(K45&lt;&gt;"",IF(COUNTA($E45:$J45)&gt;0," OR ","")&amp;'Dashboard Config'!$B$6&amp;"="""&amp;K45&amp;"""","")&amp;IF(L45&lt;&gt;"",IF(COUNTA($E45:$K45)&gt;0," OR ","")&amp;'Dashboard Config'!$B$6&amp;"="""&amp;L45&amp;"""","")&amp;IF(M45&lt;&gt;"",IF(COUNTA($E45:$L45)&gt;0," OR ","")&amp;'Dashboard Config'!$B$7&amp;"="""&amp;M45&amp;"""","")&amp;IF(N45&lt;&gt;"",IF(COUNTA($E45:$M45)&gt;0," OR ","")&amp;'Dashboard Config'!$B$7&amp;"="""&amp;N45&amp;"""","")&amp;IF(O45&lt;&gt;"",IF(COUNTA($E45:$N45)&gt;0," OR ","")&amp;'Dashboard Config'!$B$7&amp;"="""&amp;O45&amp;"""","")&amp;IF(P45&lt;&gt;"",IF(COUNTA($E45:$O45)&gt;0," OR ","")&amp;'Dashboard Config'!$B$7&amp;"="""&amp;P45&amp;"""","")&amp;IF(Q45&lt;&gt;"",IF(COUNTA($E45:$P45)&gt;0," OR ","")&amp;'Dashboard Config'!$B$7&amp;"="""&amp;Q45&amp;"""","")&amp;IF(R45&lt;&gt;"",IF(COUNTA($E45:$Q45)&gt;0," OR ","")&amp;'Dashboard Config'!$B$7&amp;"="""&amp;R45&amp;"""","")&amp;IF(S45&lt;&gt;"",IF(COUNTA($E45:$R45)&gt;0," OR ","")&amp;'Dashboard Config'!$B$7&amp;"="""&amp;S45&amp;"""","")&amp;IF(T45&lt;&gt;"",IF(COUNTA($E45:$S45)&gt;0," OR ","")&amp;'Dashboard Config'!$B$7&amp;"="""&amp;T45&amp;"""","")&amp;IF(U45&lt;&gt;"",IF(COUNTA($E45:$T45)&gt;0," OR ","")&amp;'Dashboard Config'!$B$7&amp;"="""&amp;U45&amp;"""","")&amp;IF(V45&lt;&gt;"",IF(COUNTA($E45:$U45)&gt;0," OR ","")&amp;'Dashboard Config'!$B$7&amp;"="""&amp;V45&amp;"""","")&amp;IF(W45&lt;&gt;"",IF(COUNTA($E45:$V45)&gt;0," OR ","")&amp;'Dashboard Config'!$B$7&amp;"="""&amp;W45&amp;"""","")&amp;IF(X45&lt;&gt;"",IF(COUNTA($E45:$W45)&gt;0," OR ","")&amp;'Dashboard Config'!$B$7&amp;"="""&amp;X45&amp;"""","")&amp;IF(Y45&lt;&gt;"",IF(COUNTA($E45:$X45)&gt;0," OR ","")&amp;'Dashboard Config'!$B$7&amp;"="""&amp;Y45&amp;"""","")&amp;IF(Z45&lt;&gt;"",IF(COUNTA($E45:$Y45)&gt;0," OR ","")&amp;'Dashboard Config'!$B$7&amp;"="""&amp;Z45&amp;"""","")&amp;IF(AA45&lt;&gt;"",IF(COUNTA($E45:$Z45)&gt;0," OR ","")&amp;'Dashboard Config'!$B$7&amp;"="""&amp;AA45&amp;"""","")&amp;IF(AB45&lt;&gt;"",IF(COUNTA($E45:$AA45)&gt;0," OR ","")&amp;'Dashboard Config'!$B$7&amp;"="""&amp;AB45&amp;"""","")&amp;IF(AC45&lt;&gt;"",IF(COUNTA($E45:$AB45)&gt;0," OR ","")&amp;AC45,"")&amp;")")</x:f>
      </x:c>
      <x:c r="AE45" s="48" t="str">
        <x:f>IF($AD45="","",CHAR(123)&amp;CHAR(34)&amp;"label"&amp;CHAR(34)&amp;":"&amp;CHAR(34)&amp;$C45&amp;CHAR(34)&amp;","&amp;CHAR(34)&amp;"value"&amp;CHAR(34)&amp;":"&amp;CHAR(34)&amp;SUBSTITUTE($AD45,CHAR(34),CHAR(92)&amp;CHAR(34))&amp;CHAR(34)&amp;CHAR(125))</x:f>
      </x:c>
      <x:c r="AF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  <x:c r="AA46" s="42"/>
      <x:c r="AB46" s="42"/>
      <x:c r="AC46" s="42"/>
      <x:c r="AD46" s="48" t="str">
        <x:f>IF(OR($A46&lt;&gt;"Yes",$C46="",COUNTA($E46:$AC46)=0),"","("&amp;IF(E46&lt;&gt;"",'Dashboard Config'!$B$6&amp;"="""&amp;E46&amp;"""","")&amp;IF(F46&lt;&gt;"",IF(COUNTA($E46:$E46)&gt;0," OR ","")&amp;'Dashboard Config'!$B$6&amp;"="""&amp;F46&amp;"""","")&amp;IF(G46&lt;&gt;"",IF(COUNTA($E46:$F46)&gt;0," OR ","")&amp;'Dashboard Config'!$B$6&amp;"="""&amp;G46&amp;"""","")&amp;IF(H46&lt;&gt;"",IF(COUNTA($E46:$G46)&gt;0," OR ","")&amp;'Dashboard Config'!$B$6&amp;"="""&amp;H46&amp;"""","")&amp;IF(I46&lt;&gt;"",IF(COUNTA($E46:$H46)&gt;0," OR ","")&amp;'Dashboard Config'!$B$6&amp;"="""&amp;I46&amp;"""","")&amp;IF(J46&lt;&gt;"",IF(COUNTA($E46:$I46)&gt;0," OR ","")&amp;'Dashboard Config'!$B$6&amp;"="""&amp;J46&amp;"""","")&amp;IF(K46&lt;&gt;"",IF(COUNTA($E46:$J46)&gt;0," OR ","")&amp;'Dashboard Config'!$B$6&amp;"="""&amp;K46&amp;"""","")&amp;IF(L46&lt;&gt;"",IF(COUNTA($E46:$K46)&gt;0," OR ","")&amp;'Dashboard Config'!$B$6&amp;"="""&amp;L46&amp;"""","")&amp;IF(M46&lt;&gt;"",IF(COUNTA($E46:$L46)&gt;0," OR ","")&amp;'Dashboard Config'!$B$7&amp;"="""&amp;M46&amp;"""","")&amp;IF(N46&lt;&gt;"",IF(COUNTA($E46:$M46)&gt;0," OR ","")&amp;'Dashboard Config'!$B$7&amp;"="""&amp;N46&amp;"""","")&amp;IF(O46&lt;&gt;"",IF(COUNTA($E46:$N46)&gt;0," OR ","")&amp;'Dashboard Config'!$B$7&amp;"="""&amp;O46&amp;"""","")&amp;IF(P46&lt;&gt;"",IF(COUNTA($E46:$O46)&gt;0," OR ","")&amp;'Dashboard Config'!$B$7&amp;"="""&amp;P46&amp;"""","")&amp;IF(Q46&lt;&gt;"",IF(COUNTA($E46:$P46)&gt;0," OR ","")&amp;'Dashboard Config'!$B$7&amp;"="""&amp;Q46&amp;"""","")&amp;IF(R46&lt;&gt;"",IF(COUNTA($E46:$Q46)&gt;0," OR ","")&amp;'Dashboard Config'!$B$7&amp;"="""&amp;R46&amp;"""","")&amp;IF(S46&lt;&gt;"",IF(COUNTA($E46:$R46)&gt;0," OR ","")&amp;'Dashboard Config'!$B$7&amp;"="""&amp;S46&amp;"""","")&amp;IF(T46&lt;&gt;"",IF(COUNTA($E46:$S46)&gt;0," OR ","")&amp;'Dashboard Config'!$B$7&amp;"="""&amp;T46&amp;"""","")&amp;IF(U46&lt;&gt;"",IF(COUNTA($E46:$T46)&gt;0," OR ","")&amp;'Dashboard Config'!$B$7&amp;"="""&amp;U46&amp;"""","")&amp;IF(V46&lt;&gt;"",IF(COUNTA($E46:$U46)&gt;0," OR ","")&amp;'Dashboard Config'!$B$7&amp;"="""&amp;V46&amp;"""","")&amp;IF(W46&lt;&gt;"",IF(COUNTA($E46:$V46)&gt;0," OR ","")&amp;'Dashboard Config'!$B$7&amp;"="""&amp;W46&amp;"""","")&amp;IF(X46&lt;&gt;"",IF(COUNTA($E46:$W46)&gt;0," OR ","")&amp;'Dashboard Config'!$B$7&amp;"="""&amp;X46&amp;"""","")&amp;IF(Y46&lt;&gt;"",IF(COUNTA($E46:$X46)&gt;0," OR ","")&amp;'Dashboard Config'!$B$7&amp;"="""&amp;Y46&amp;"""","")&amp;IF(Z46&lt;&gt;"",IF(COUNTA($E46:$Y46)&gt;0," OR ","")&amp;'Dashboard Config'!$B$7&amp;"="""&amp;Z46&amp;"""","")&amp;IF(AA46&lt;&gt;"",IF(COUNTA($E46:$Z46)&gt;0," OR ","")&amp;'Dashboard Config'!$B$7&amp;"="""&amp;AA46&amp;"""","")&amp;IF(AB46&lt;&gt;"",IF(COUNTA($E46:$AA46)&gt;0," OR ","")&amp;'Dashboard Config'!$B$7&amp;"="""&amp;AB46&amp;"""","")&amp;IF(AC46&lt;&gt;"",IF(COUNTA($E46:$AB46)&gt;0," OR ","")&amp;AC46,"")&amp;")")</x:f>
      </x:c>
      <x:c r="AE46" s="48" t="str">
        <x:f>IF($AD46="","",CHAR(123)&amp;CHAR(34)&amp;"label"&amp;CHAR(34)&amp;":"&amp;CHAR(34)&amp;$C46&amp;CHAR(34)&amp;","&amp;CHAR(34)&amp;"value"&amp;CHAR(34)&amp;":"&amp;CHAR(34)&amp;SUBSTITUTE($AD46,CHAR(34),CHAR(92)&amp;CHAR(34))&amp;CHAR(34)&amp;CHAR(125))</x:f>
      </x:c>
      <x:c r="AF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  <x:c r="AA47" s="42"/>
      <x:c r="AB47" s="42"/>
      <x:c r="AC47" s="42"/>
      <x:c r="AD47" s="48" t="str">
        <x:f>IF(OR($A47&lt;&gt;"Yes",$C47="",COUNTA($E47:$AC47)=0),"","("&amp;IF(E47&lt;&gt;"",'Dashboard Config'!$B$6&amp;"="""&amp;E47&amp;"""","")&amp;IF(F47&lt;&gt;"",IF(COUNTA($E47:$E47)&gt;0," OR ","")&amp;'Dashboard Config'!$B$6&amp;"="""&amp;F47&amp;"""","")&amp;IF(G47&lt;&gt;"",IF(COUNTA($E47:$F47)&gt;0," OR ","")&amp;'Dashboard Config'!$B$6&amp;"="""&amp;G47&amp;"""","")&amp;IF(H47&lt;&gt;"",IF(COUNTA($E47:$G47)&gt;0," OR ","")&amp;'Dashboard Config'!$B$6&amp;"="""&amp;H47&amp;"""","")&amp;IF(I47&lt;&gt;"",IF(COUNTA($E47:$H47)&gt;0," OR ","")&amp;'Dashboard Config'!$B$6&amp;"="""&amp;I47&amp;"""","")&amp;IF(J47&lt;&gt;"",IF(COUNTA($E47:$I47)&gt;0," OR ","")&amp;'Dashboard Config'!$B$6&amp;"="""&amp;J47&amp;"""","")&amp;IF(K47&lt;&gt;"",IF(COUNTA($E47:$J47)&gt;0," OR ","")&amp;'Dashboard Config'!$B$6&amp;"="""&amp;K47&amp;"""","")&amp;IF(L47&lt;&gt;"",IF(COUNTA($E47:$K47)&gt;0," OR ","")&amp;'Dashboard Config'!$B$6&amp;"="""&amp;L47&amp;"""","")&amp;IF(M47&lt;&gt;"",IF(COUNTA($E47:$L47)&gt;0," OR ","")&amp;'Dashboard Config'!$B$7&amp;"="""&amp;M47&amp;"""","")&amp;IF(N47&lt;&gt;"",IF(COUNTA($E47:$M47)&gt;0," OR ","")&amp;'Dashboard Config'!$B$7&amp;"="""&amp;N47&amp;"""","")&amp;IF(O47&lt;&gt;"",IF(COUNTA($E47:$N47)&gt;0," OR ","")&amp;'Dashboard Config'!$B$7&amp;"="""&amp;O47&amp;"""","")&amp;IF(P47&lt;&gt;"",IF(COUNTA($E47:$O47)&gt;0," OR ","")&amp;'Dashboard Config'!$B$7&amp;"="""&amp;P47&amp;"""","")&amp;IF(Q47&lt;&gt;"",IF(COUNTA($E47:$P47)&gt;0," OR ","")&amp;'Dashboard Config'!$B$7&amp;"="""&amp;Q47&amp;"""","")&amp;IF(R47&lt;&gt;"",IF(COUNTA($E47:$Q47)&gt;0," OR ","")&amp;'Dashboard Config'!$B$7&amp;"="""&amp;R47&amp;"""","")&amp;IF(S47&lt;&gt;"",IF(COUNTA($E47:$R47)&gt;0," OR ","")&amp;'Dashboard Config'!$B$7&amp;"="""&amp;S47&amp;"""","")&amp;IF(T47&lt;&gt;"",IF(COUNTA($E47:$S47)&gt;0," OR ","")&amp;'Dashboard Config'!$B$7&amp;"="""&amp;T47&amp;"""","")&amp;IF(U47&lt;&gt;"",IF(COUNTA($E47:$T47)&gt;0," OR ","")&amp;'Dashboard Config'!$B$7&amp;"="""&amp;U47&amp;"""","")&amp;IF(V47&lt;&gt;"",IF(COUNTA($E47:$U47)&gt;0," OR ","")&amp;'Dashboard Config'!$B$7&amp;"="""&amp;V47&amp;"""","")&amp;IF(W47&lt;&gt;"",IF(COUNTA($E47:$V47)&gt;0," OR ","")&amp;'Dashboard Config'!$B$7&amp;"="""&amp;W47&amp;"""","")&amp;IF(X47&lt;&gt;"",IF(COUNTA($E47:$W47)&gt;0," OR ","")&amp;'Dashboard Config'!$B$7&amp;"="""&amp;X47&amp;"""","")&amp;IF(Y47&lt;&gt;"",IF(COUNTA($E47:$X47)&gt;0," OR ","")&amp;'Dashboard Config'!$B$7&amp;"="""&amp;Y47&amp;"""","")&amp;IF(Z47&lt;&gt;"",IF(COUNTA($E47:$Y47)&gt;0," OR ","")&amp;'Dashboard Config'!$B$7&amp;"="""&amp;Z47&amp;"""","")&amp;IF(AA47&lt;&gt;"",IF(COUNTA($E47:$Z47)&gt;0," OR ","")&amp;'Dashboard Config'!$B$7&amp;"="""&amp;AA47&amp;"""","")&amp;IF(AB47&lt;&gt;"",IF(COUNTA($E47:$AA47)&gt;0," OR ","")&amp;'Dashboard Config'!$B$7&amp;"="""&amp;AB47&amp;"""","")&amp;IF(AC47&lt;&gt;"",IF(COUNTA($E47:$AB47)&gt;0," OR ","")&amp;AC47,"")&amp;")")</x:f>
      </x:c>
      <x:c r="AE47" s="48" t="str">
        <x:f>IF($AD47="","",CHAR(123)&amp;CHAR(34)&amp;"label"&amp;CHAR(34)&amp;":"&amp;CHAR(34)&amp;$C47&amp;CHAR(34)&amp;","&amp;CHAR(34)&amp;"value"&amp;CHAR(34)&amp;":"&amp;CHAR(34)&amp;SUBSTITUTE($AD47,CHAR(34),CHAR(92)&amp;CHAR(34))&amp;CHAR(34)&amp;CHAR(125))</x:f>
      </x:c>
      <x:c r="AF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  <x:c r="AA48" s="42"/>
      <x:c r="AB48" s="42"/>
      <x:c r="AC48" s="42"/>
      <x:c r="AD48" s="48" t="str">
        <x:f>IF(OR($A48&lt;&gt;"Yes",$C48="",COUNTA($E48:$AC48)=0),"","("&amp;IF(E48&lt;&gt;"",'Dashboard Config'!$B$6&amp;"="""&amp;E48&amp;"""","")&amp;IF(F48&lt;&gt;"",IF(COUNTA($E48:$E48)&gt;0," OR ","")&amp;'Dashboard Config'!$B$6&amp;"="""&amp;F48&amp;"""","")&amp;IF(G48&lt;&gt;"",IF(COUNTA($E48:$F48)&gt;0," OR ","")&amp;'Dashboard Config'!$B$6&amp;"="""&amp;G48&amp;"""","")&amp;IF(H48&lt;&gt;"",IF(COUNTA($E48:$G48)&gt;0," OR ","")&amp;'Dashboard Config'!$B$6&amp;"="""&amp;H48&amp;"""","")&amp;IF(I48&lt;&gt;"",IF(COUNTA($E48:$H48)&gt;0," OR ","")&amp;'Dashboard Config'!$B$6&amp;"="""&amp;I48&amp;"""","")&amp;IF(J48&lt;&gt;"",IF(COUNTA($E48:$I48)&gt;0," OR ","")&amp;'Dashboard Config'!$B$6&amp;"="""&amp;J48&amp;"""","")&amp;IF(K48&lt;&gt;"",IF(COUNTA($E48:$J48)&gt;0," OR ","")&amp;'Dashboard Config'!$B$6&amp;"="""&amp;K48&amp;"""","")&amp;IF(L48&lt;&gt;"",IF(COUNTA($E48:$K48)&gt;0," OR ","")&amp;'Dashboard Config'!$B$6&amp;"="""&amp;L48&amp;"""","")&amp;IF(M48&lt;&gt;"",IF(COUNTA($E48:$L48)&gt;0," OR ","")&amp;'Dashboard Config'!$B$7&amp;"="""&amp;M48&amp;"""","")&amp;IF(N48&lt;&gt;"",IF(COUNTA($E48:$M48)&gt;0," OR ","")&amp;'Dashboard Config'!$B$7&amp;"="""&amp;N48&amp;"""","")&amp;IF(O48&lt;&gt;"",IF(COUNTA($E48:$N48)&gt;0," OR ","")&amp;'Dashboard Config'!$B$7&amp;"="""&amp;O48&amp;"""","")&amp;IF(P48&lt;&gt;"",IF(COUNTA($E48:$O48)&gt;0," OR ","")&amp;'Dashboard Config'!$B$7&amp;"="""&amp;P48&amp;"""","")&amp;IF(Q48&lt;&gt;"",IF(COUNTA($E48:$P48)&gt;0," OR ","")&amp;'Dashboard Config'!$B$7&amp;"="""&amp;Q48&amp;"""","")&amp;IF(R48&lt;&gt;"",IF(COUNTA($E48:$Q48)&gt;0," OR ","")&amp;'Dashboard Config'!$B$7&amp;"="""&amp;R48&amp;"""","")&amp;IF(S48&lt;&gt;"",IF(COUNTA($E48:$R48)&gt;0," OR ","")&amp;'Dashboard Config'!$B$7&amp;"="""&amp;S48&amp;"""","")&amp;IF(T48&lt;&gt;"",IF(COUNTA($E48:$S48)&gt;0," OR ","")&amp;'Dashboard Config'!$B$7&amp;"="""&amp;T48&amp;"""","")&amp;IF(U48&lt;&gt;"",IF(COUNTA($E48:$T48)&gt;0," OR ","")&amp;'Dashboard Config'!$B$7&amp;"="""&amp;U48&amp;"""","")&amp;IF(V48&lt;&gt;"",IF(COUNTA($E48:$U48)&gt;0," OR ","")&amp;'Dashboard Config'!$B$7&amp;"="""&amp;V48&amp;"""","")&amp;IF(W48&lt;&gt;"",IF(COUNTA($E48:$V48)&gt;0," OR ","")&amp;'Dashboard Config'!$B$7&amp;"="""&amp;W48&amp;"""","")&amp;IF(X48&lt;&gt;"",IF(COUNTA($E48:$W48)&gt;0," OR ","")&amp;'Dashboard Config'!$B$7&amp;"="""&amp;X48&amp;"""","")&amp;IF(Y48&lt;&gt;"",IF(COUNTA($E48:$X48)&gt;0," OR ","")&amp;'Dashboard Config'!$B$7&amp;"="""&amp;Y48&amp;"""","")&amp;IF(Z48&lt;&gt;"",IF(COUNTA($E48:$Y48)&gt;0," OR ","")&amp;'Dashboard Config'!$B$7&amp;"="""&amp;Z48&amp;"""","")&amp;IF(AA48&lt;&gt;"",IF(COUNTA($E48:$Z48)&gt;0," OR ","")&amp;'Dashboard Config'!$B$7&amp;"="""&amp;AA48&amp;"""","")&amp;IF(AB48&lt;&gt;"",IF(COUNTA($E48:$AA48)&gt;0," OR ","")&amp;'Dashboard Config'!$B$7&amp;"="""&amp;AB48&amp;"""","")&amp;IF(AC48&lt;&gt;"",IF(COUNTA($E48:$AB48)&gt;0," OR ","")&amp;AC48,"")&amp;")")</x:f>
      </x:c>
      <x:c r="AE48" s="48" t="str">
        <x:f>IF($AD48="","",CHAR(123)&amp;CHAR(34)&amp;"label"&amp;CHAR(34)&amp;":"&amp;CHAR(34)&amp;$C48&amp;CHAR(34)&amp;","&amp;CHAR(34)&amp;"value"&amp;CHAR(34)&amp;":"&amp;CHAR(34)&amp;SUBSTITUTE($AD48,CHAR(34),CHAR(92)&amp;CHAR(34))&amp;CHAR(34)&amp;CHAR(125))</x:f>
      </x:c>
      <x:c r="AF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  <x:c r="AA49" s="42"/>
      <x:c r="AB49" s="42"/>
      <x:c r="AC49" s="42"/>
      <x:c r="AD49" s="48" t="str">
        <x:f>IF(OR($A49&lt;&gt;"Yes",$C49="",COUNTA($E49:$AC49)=0),"","("&amp;IF(E49&lt;&gt;"",'Dashboard Config'!$B$6&amp;"="""&amp;E49&amp;"""","")&amp;IF(F49&lt;&gt;"",IF(COUNTA($E49:$E49)&gt;0," OR ","")&amp;'Dashboard Config'!$B$6&amp;"="""&amp;F49&amp;"""","")&amp;IF(G49&lt;&gt;"",IF(COUNTA($E49:$F49)&gt;0," OR ","")&amp;'Dashboard Config'!$B$6&amp;"="""&amp;G49&amp;"""","")&amp;IF(H49&lt;&gt;"",IF(COUNTA($E49:$G49)&gt;0," OR ","")&amp;'Dashboard Config'!$B$6&amp;"="""&amp;H49&amp;"""","")&amp;IF(I49&lt;&gt;"",IF(COUNTA($E49:$H49)&gt;0," OR ","")&amp;'Dashboard Config'!$B$6&amp;"="""&amp;I49&amp;"""","")&amp;IF(J49&lt;&gt;"",IF(COUNTA($E49:$I49)&gt;0," OR ","")&amp;'Dashboard Config'!$B$6&amp;"="""&amp;J49&amp;"""","")&amp;IF(K49&lt;&gt;"",IF(COUNTA($E49:$J49)&gt;0," OR ","")&amp;'Dashboard Config'!$B$6&amp;"="""&amp;K49&amp;"""","")&amp;IF(L49&lt;&gt;"",IF(COUNTA($E49:$K49)&gt;0," OR ","")&amp;'Dashboard Config'!$B$6&amp;"="""&amp;L49&amp;"""","")&amp;IF(M49&lt;&gt;"",IF(COUNTA($E49:$L49)&gt;0," OR ","")&amp;'Dashboard Config'!$B$7&amp;"="""&amp;M49&amp;"""","")&amp;IF(N49&lt;&gt;"",IF(COUNTA($E49:$M49)&gt;0," OR ","")&amp;'Dashboard Config'!$B$7&amp;"="""&amp;N49&amp;"""","")&amp;IF(O49&lt;&gt;"",IF(COUNTA($E49:$N49)&gt;0," OR ","")&amp;'Dashboard Config'!$B$7&amp;"="""&amp;O49&amp;"""","")&amp;IF(P49&lt;&gt;"",IF(COUNTA($E49:$O49)&gt;0," OR ","")&amp;'Dashboard Config'!$B$7&amp;"="""&amp;P49&amp;"""","")&amp;IF(Q49&lt;&gt;"",IF(COUNTA($E49:$P49)&gt;0," OR ","")&amp;'Dashboard Config'!$B$7&amp;"="""&amp;Q49&amp;"""","")&amp;IF(R49&lt;&gt;"",IF(COUNTA($E49:$Q49)&gt;0," OR ","")&amp;'Dashboard Config'!$B$7&amp;"="""&amp;R49&amp;"""","")&amp;IF(S49&lt;&gt;"",IF(COUNTA($E49:$R49)&gt;0," OR ","")&amp;'Dashboard Config'!$B$7&amp;"="""&amp;S49&amp;"""","")&amp;IF(T49&lt;&gt;"",IF(COUNTA($E49:$S49)&gt;0," OR ","")&amp;'Dashboard Config'!$B$7&amp;"="""&amp;T49&amp;"""","")&amp;IF(U49&lt;&gt;"",IF(COUNTA($E49:$T49)&gt;0," OR ","")&amp;'Dashboard Config'!$B$7&amp;"="""&amp;U49&amp;"""","")&amp;IF(V49&lt;&gt;"",IF(COUNTA($E49:$U49)&gt;0," OR ","")&amp;'Dashboard Config'!$B$7&amp;"="""&amp;V49&amp;"""","")&amp;IF(W49&lt;&gt;"",IF(COUNTA($E49:$V49)&gt;0," OR ","")&amp;'Dashboard Config'!$B$7&amp;"="""&amp;W49&amp;"""","")&amp;IF(X49&lt;&gt;"",IF(COUNTA($E49:$W49)&gt;0," OR ","")&amp;'Dashboard Config'!$B$7&amp;"="""&amp;X49&amp;"""","")&amp;IF(Y49&lt;&gt;"",IF(COUNTA($E49:$X49)&gt;0," OR ","")&amp;'Dashboard Config'!$B$7&amp;"="""&amp;Y49&amp;"""","")&amp;IF(Z49&lt;&gt;"",IF(COUNTA($E49:$Y49)&gt;0," OR ","")&amp;'Dashboard Config'!$B$7&amp;"="""&amp;Z49&amp;"""","")&amp;IF(AA49&lt;&gt;"",IF(COUNTA($E49:$Z49)&gt;0," OR ","")&amp;'Dashboard Config'!$B$7&amp;"="""&amp;AA49&amp;"""","")&amp;IF(AB49&lt;&gt;"",IF(COUNTA($E49:$AA49)&gt;0," OR ","")&amp;'Dashboard Config'!$B$7&amp;"="""&amp;AB49&amp;"""","")&amp;IF(AC49&lt;&gt;"",IF(COUNTA($E49:$AB49)&gt;0," OR ","")&amp;AC49,"")&amp;")")</x:f>
      </x:c>
      <x:c r="AE49" s="48" t="str">
        <x:f>IF($AD49="","",CHAR(123)&amp;CHAR(34)&amp;"label"&amp;CHAR(34)&amp;":"&amp;CHAR(34)&amp;$C49&amp;CHAR(34)&amp;","&amp;CHAR(34)&amp;"value"&amp;CHAR(34)&amp;":"&amp;CHAR(34)&amp;SUBSTITUTE($AD49,CHAR(34),CHAR(92)&amp;CHAR(34))&amp;CHAR(34)&amp;CHAR(125))</x:f>
      </x:c>
      <x:c r="AF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  <x:c r="AA50" s="42"/>
      <x:c r="AB50" s="42"/>
      <x:c r="AC50" s="42"/>
      <x:c r="AD50" s="48" t="str">
        <x:f>IF(OR($A50&lt;&gt;"Yes",$C50="",COUNTA($E50:$AC50)=0),"","("&amp;IF(E50&lt;&gt;"",'Dashboard Config'!$B$6&amp;"="""&amp;E50&amp;"""","")&amp;IF(F50&lt;&gt;"",IF(COUNTA($E50:$E50)&gt;0," OR ","")&amp;'Dashboard Config'!$B$6&amp;"="""&amp;F50&amp;"""","")&amp;IF(G50&lt;&gt;"",IF(COUNTA($E50:$F50)&gt;0," OR ","")&amp;'Dashboard Config'!$B$6&amp;"="""&amp;G50&amp;"""","")&amp;IF(H50&lt;&gt;"",IF(COUNTA($E50:$G50)&gt;0," OR ","")&amp;'Dashboard Config'!$B$6&amp;"="""&amp;H50&amp;"""","")&amp;IF(I50&lt;&gt;"",IF(COUNTA($E50:$H50)&gt;0," OR ","")&amp;'Dashboard Config'!$B$6&amp;"="""&amp;I50&amp;"""","")&amp;IF(J50&lt;&gt;"",IF(COUNTA($E50:$I50)&gt;0," OR ","")&amp;'Dashboard Config'!$B$6&amp;"="""&amp;J50&amp;"""","")&amp;IF(K50&lt;&gt;"",IF(COUNTA($E50:$J50)&gt;0," OR ","")&amp;'Dashboard Config'!$B$6&amp;"="""&amp;K50&amp;"""","")&amp;IF(L50&lt;&gt;"",IF(COUNTA($E50:$K50)&gt;0," OR ","")&amp;'Dashboard Config'!$B$6&amp;"="""&amp;L50&amp;"""","")&amp;IF(M50&lt;&gt;"",IF(COUNTA($E50:$L50)&gt;0," OR ","")&amp;'Dashboard Config'!$B$7&amp;"="""&amp;M50&amp;"""","")&amp;IF(N50&lt;&gt;"",IF(COUNTA($E50:$M50)&gt;0," OR ","")&amp;'Dashboard Config'!$B$7&amp;"="""&amp;N50&amp;"""","")&amp;IF(O50&lt;&gt;"",IF(COUNTA($E50:$N50)&gt;0," OR ","")&amp;'Dashboard Config'!$B$7&amp;"="""&amp;O50&amp;"""","")&amp;IF(P50&lt;&gt;"",IF(COUNTA($E50:$O50)&gt;0," OR ","")&amp;'Dashboard Config'!$B$7&amp;"="""&amp;P50&amp;"""","")&amp;IF(Q50&lt;&gt;"",IF(COUNTA($E50:$P50)&gt;0," OR ","")&amp;'Dashboard Config'!$B$7&amp;"="""&amp;Q50&amp;"""","")&amp;IF(R50&lt;&gt;"",IF(COUNTA($E50:$Q50)&gt;0," OR ","")&amp;'Dashboard Config'!$B$7&amp;"="""&amp;R50&amp;"""","")&amp;IF(S50&lt;&gt;"",IF(COUNTA($E50:$R50)&gt;0," OR ","")&amp;'Dashboard Config'!$B$7&amp;"="""&amp;S50&amp;"""","")&amp;IF(T50&lt;&gt;"",IF(COUNTA($E50:$S50)&gt;0," OR ","")&amp;'Dashboard Config'!$B$7&amp;"="""&amp;T50&amp;"""","")&amp;IF(U50&lt;&gt;"",IF(COUNTA($E50:$T50)&gt;0," OR ","")&amp;'Dashboard Config'!$B$7&amp;"="""&amp;U50&amp;"""","")&amp;IF(V50&lt;&gt;"",IF(COUNTA($E50:$U50)&gt;0," OR ","")&amp;'Dashboard Config'!$B$7&amp;"="""&amp;V50&amp;"""","")&amp;IF(W50&lt;&gt;"",IF(COUNTA($E50:$V50)&gt;0," OR ","")&amp;'Dashboard Config'!$B$7&amp;"="""&amp;W50&amp;"""","")&amp;IF(X50&lt;&gt;"",IF(COUNTA($E50:$W50)&gt;0," OR ","")&amp;'Dashboard Config'!$B$7&amp;"="""&amp;X50&amp;"""","")&amp;IF(Y50&lt;&gt;"",IF(COUNTA($E50:$X50)&gt;0," OR ","")&amp;'Dashboard Config'!$B$7&amp;"="""&amp;Y50&amp;"""","")&amp;IF(Z50&lt;&gt;"",IF(COUNTA($E50:$Y50)&gt;0," OR ","")&amp;'Dashboard Config'!$B$7&amp;"="""&amp;Z50&amp;"""","")&amp;IF(AA50&lt;&gt;"",IF(COUNTA($E50:$Z50)&gt;0," OR ","")&amp;'Dashboard Config'!$B$7&amp;"="""&amp;AA50&amp;"""","")&amp;IF(AB50&lt;&gt;"",IF(COUNTA($E50:$AA50)&gt;0," OR ","")&amp;'Dashboard Config'!$B$7&amp;"="""&amp;AB50&amp;"""","")&amp;IF(AC50&lt;&gt;"",IF(COUNTA($E50:$AB50)&gt;0," OR ","")&amp;AC50,"")&amp;")")</x:f>
      </x:c>
      <x:c r="AE50" s="48" t="str">
        <x:f>IF($AD50="","",CHAR(123)&amp;CHAR(34)&amp;"label"&amp;CHAR(34)&amp;":"&amp;CHAR(34)&amp;$C50&amp;CHAR(34)&amp;","&amp;CHAR(34)&amp;"value"&amp;CHAR(34)&amp;":"&amp;CHAR(34)&amp;SUBSTITUTE($AD50,CHAR(34),CHAR(92)&amp;CHAR(34))&amp;CHAR(34)&amp;CHAR(125))</x:f>
      </x:c>
      <x:c r="AF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  <x:c r="AA51" s="42"/>
      <x:c r="AB51" s="42"/>
      <x:c r="AC51" s="42"/>
      <x:c r="AD51" s="48" t="str">
        <x:f>IF(OR($A51&lt;&gt;"Yes",$C51="",COUNTA($E51:$AC51)=0),"","("&amp;IF(E51&lt;&gt;"",'Dashboard Config'!$B$6&amp;"="""&amp;E51&amp;"""","")&amp;IF(F51&lt;&gt;"",IF(COUNTA($E51:$E51)&gt;0," OR ","")&amp;'Dashboard Config'!$B$6&amp;"="""&amp;F51&amp;"""","")&amp;IF(G51&lt;&gt;"",IF(COUNTA($E51:$F51)&gt;0," OR ","")&amp;'Dashboard Config'!$B$6&amp;"="""&amp;G51&amp;"""","")&amp;IF(H51&lt;&gt;"",IF(COUNTA($E51:$G51)&gt;0," OR ","")&amp;'Dashboard Config'!$B$6&amp;"="""&amp;H51&amp;"""","")&amp;IF(I51&lt;&gt;"",IF(COUNTA($E51:$H51)&gt;0," OR ","")&amp;'Dashboard Config'!$B$6&amp;"="""&amp;I51&amp;"""","")&amp;IF(J51&lt;&gt;"",IF(COUNTA($E51:$I51)&gt;0," OR ","")&amp;'Dashboard Config'!$B$6&amp;"="""&amp;J51&amp;"""","")&amp;IF(K51&lt;&gt;"",IF(COUNTA($E51:$J51)&gt;0," OR ","")&amp;'Dashboard Config'!$B$6&amp;"="""&amp;K51&amp;"""","")&amp;IF(L51&lt;&gt;"",IF(COUNTA($E51:$K51)&gt;0," OR ","")&amp;'Dashboard Config'!$B$6&amp;"="""&amp;L51&amp;"""","")&amp;IF(M51&lt;&gt;"",IF(COUNTA($E51:$L51)&gt;0," OR ","")&amp;'Dashboard Config'!$B$7&amp;"="""&amp;M51&amp;"""","")&amp;IF(N51&lt;&gt;"",IF(COUNTA($E51:$M51)&gt;0," OR ","")&amp;'Dashboard Config'!$B$7&amp;"="""&amp;N51&amp;"""","")&amp;IF(O51&lt;&gt;"",IF(COUNTA($E51:$N51)&gt;0," OR ","")&amp;'Dashboard Config'!$B$7&amp;"="""&amp;O51&amp;"""","")&amp;IF(P51&lt;&gt;"",IF(COUNTA($E51:$O51)&gt;0," OR ","")&amp;'Dashboard Config'!$B$7&amp;"="""&amp;P51&amp;"""","")&amp;IF(Q51&lt;&gt;"",IF(COUNTA($E51:$P51)&gt;0," OR ","")&amp;'Dashboard Config'!$B$7&amp;"="""&amp;Q51&amp;"""","")&amp;IF(R51&lt;&gt;"",IF(COUNTA($E51:$Q51)&gt;0," OR ","")&amp;'Dashboard Config'!$B$7&amp;"="""&amp;R51&amp;"""","")&amp;IF(S51&lt;&gt;"",IF(COUNTA($E51:$R51)&gt;0," OR ","")&amp;'Dashboard Config'!$B$7&amp;"="""&amp;S51&amp;"""","")&amp;IF(T51&lt;&gt;"",IF(COUNTA($E51:$S51)&gt;0," OR ","")&amp;'Dashboard Config'!$B$7&amp;"="""&amp;T51&amp;"""","")&amp;IF(U51&lt;&gt;"",IF(COUNTA($E51:$T51)&gt;0," OR ","")&amp;'Dashboard Config'!$B$7&amp;"="""&amp;U51&amp;"""","")&amp;IF(V51&lt;&gt;"",IF(COUNTA($E51:$U51)&gt;0," OR ","")&amp;'Dashboard Config'!$B$7&amp;"="""&amp;V51&amp;"""","")&amp;IF(W51&lt;&gt;"",IF(COUNTA($E51:$V51)&gt;0," OR ","")&amp;'Dashboard Config'!$B$7&amp;"="""&amp;W51&amp;"""","")&amp;IF(X51&lt;&gt;"",IF(COUNTA($E51:$W51)&gt;0," OR ","")&amp;'Dashboard Config'!$B$7&amp;"="""&amp;X51&amp;"""","")&amp;IF(Y51&lt;&gt;"",IF(COUNTA($E51:$X51)&gt;0," OR ","")&amp;'Dashboard Config'!$B$7&amp;"="""&amp;Y51&amp;"""","")&amp;IF(Z51&lt;&gt;"",IF(COUNTA($E51:$Y51)&gt;0," OR ","")&amp;'Dashboard Config'!$B$7&amp;"="""&amp;Z51&amp;"""","")&amp;IF(AA51&lt;&gt;"",IF(COUNTA($E51:$Z51)&gt;0," OR ","")&amp;'Dashboard Config'!$B$7&amp;"="""&amp;AA51&amp;"""","")&amp;IF(AB51&lt;&gt;"",IF(COUNTA($E51:$AA51)&gt;0," OR ","")&amp;'Dashboard Config'!$B$7&amp;"="""&amp;AB51&amp;"""","")&amp;IF(AC51&lt;&gt;"",IF(COUNTA($E51:$AB51)&gt;0," OR ","")&amp;AC51,"")&amp;")")</x:f>
      </x:c>
      <x:c r="AE51" s="48" t="str">
        <x:f>IF($AD51="","",CHAR(123)&amp;CHAR(34)&amp;"label"&amp;CHAR(34)&amp;":"&amp;CHAR(34)&amp;$C51&amp;CHAR(34)&amp;","&amp;CHAR(34)&amp;"value"&amp;CHAR(34)&amp;":"&amp;CHAR(34)&amp;SUBSTITUTE($AD51,CHAR(34),CHAR(92)&amp;CHAR(34))&amp;CHAR(34)&amp;CHAR(125))</x:f>
      </x:c>
      <x:c r="AF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  <x:c r="AA52" s="42"/>
      <x:c r="AB52" s="42"/>
      <x:c r="AC52" s="42"/>
      <x:c r="AD52" s="48" t="str">
        <x:f>IF(OR($A52&lt;&gt;"Yes",$C52="",COUNTA($E52:$AC52)=0),"","("&amp;IF(E52&lt;&gt;"",'Dashboard Config'!$B$6&amp;"="""&amp;E52&amp;"""","")&amp;IF(F52&lt;&gt;"",IF(COUNTA($E52:$E52)&gt;0," OR ","")&amp;'Dashboard Config'!$B$6&amp;"="""&amp;F52&amp;"""","")&amp;IF(G52&lt;&gt;"",IF(COUNTA($E52:$F52)&gt;0," OR ","")&amp;'Dashboard Config'!$B$6&amp;"="""&amp;G52&amp;"""","")&amp;IF(H52&lt;&gt;"",IF(COUNTA($E52:$G52)&gt;0," OR ","")&amp;'Dashboard Config'!$B$6&amp;"="""&amp;H52&amp;"""","")&amp;IF(I52&lt;&gt;"",IF(COUNTA($E52:$H52)&gt;0," OR ","")&amp;'Dashboard Config'!$B$6&amp;"="""&amp;I52&amp;"""","")&amp;IF(J52&lt;&gt;"",IF(COUNTA($E52:$I52)&gt;0," OR ","")&amp;'Dashboard Config'!$B$6&amp;"="""&amp;J52&amp;"""","")&amp;IF(K52&lt;&gt;"",IF(COUNTA($E52:$J52)&gt;0," OR ","")&amp;'Dashboard Config'!$B$6&amp;"="""&amp;K52&amp;"""","")&amp;IF(L52&lt;&gt;"",IF(COUNTA($E52:$K52)&gt;0," OR ","")&amp;'Dashboard Config'!$B$6&amp;"="""&amp;L52&amp;"""","")&amp;IF(M52&lt;&gt;"",IF(COUNTA($E52:$L52)&gt;0," OR ","")&amp;'Dashboard Config'!$B$7&amp;"="""&amp;M52&amp;"""","")&amp;IF(N52&lt;&gt;"",IF(COUNTA($E52:$M52)&gt;0," OR ","")&amp;'Dashboard Config'!$B$7&amp;"="""&amp;N52&amp;"""","")&amp;IF(O52&lt;&gt;"",IF(COUNTA($E52:$N52)&gt;0," OR ","")&amp;'Dashboard Config'!$B$7&amp;"="""&amp;O52&amp;"""","")&amp;IF(P52&lt;&gt;"",IF(COUNTA($E52:$O52)&gt;0," OR ","")&amp;'Dashboard Config'!$B$7&amp;"="""&amp;P52&amp;"""","")&amp;IF(Q52&lt;&gt;"",IF(COUNTA($E52:$P52)&gt;0," OR ","")&amp;'Dashboard Config'!$B$7&amp;"="""&amp;Q52&amp;"""","")&amp;IF(R52&lt;&gt;"",IF(COUNTA($E52:$Q52)&gt;0," OR ","")&amp;'Dashboard Config'!$B$7&amp;"="""&amp;R52&amp;"""","")&amp;IF(S52&lt;&gt;"",IF(COUNTA($E52:$R52)&gt;0," OR ","")&amp;'Dashboard Config'!$B$7&amp;"="""&amp;S52&amp;"""","")&amp;IF(T52&lt;&gt;"",IF(COUNTA($E52:$S52)&gt;0," OR ","")&amp;'Dashboard Config'!$B$7&amp;"="""&amp;T52&amp;"""","")&amp;IF(U52&lt;&gt;"",IF(COUNTA($E52:$T52)&gt;0," OR ","")&amp;'Dashboard Config'!$B$7&amp;"="""&amp;U52&amp;"""","")&amp;IF(V52&lt;&gt;"",IF(COUNTA($E52:$U52)&gt;0," OR ","")&amp;'Dashboard Config'!$B$7&amp;"="""&amp;V52&amp;"""","")&amp;IF(W52&lt;&gt;"",IF(COUNTA($E52:$V52)&gt;0," OR ","")&amp;'Dashboard Config'!$B$7&amp;"="""&amp;W52&amp;"""","")&amp;IF(X52&lt;&gt;"",IF(COUNTA($E52:$W52)&gt;0," OR ","")&amp;'Dashboard Config'!$B$7&amp;"="""&amp;X52&amp;"""","")&amp;IF(Y52&lt;&gt;"",IF(COUNTA($E52:$X52)&gt;0," OR ","")&amp;'Dashboard Config'!$B$7&amp;"="""&amp;Y52&amp;"""","")&amp;IF(Z52&lt;&gt;"",IF(COUNTA($E52:$Y52)&gt;0," OR ","")&amp;'Dashboard Config'!$B$7&amp;"="""&amp;Z52&amp;"""","")&amp;IF(AA52&lt;&gt;"",IF(COUNTA($E52:$Z52)&gt;0," OR ","")&amp;'Dashboard Config'!$B$7&amp;"="""&amp;AA52&amp;"""","")&amp;IF(AB52&lt;&gt;"",IF(COUNTA($E52:$AA52)&gt;0," OR ","")&amp;'Dashboard Config'!$B$7&amp;"="""&amp;AB52&amp;"""","")&amp;IF(AC52&lt;&gt;"",IF(COUNTA($E52:$AB52)&gt;0," OR ","")&amp;AC52,"")&amp;")")</x:f>
      </x:c>
      <x:c r="AE52" s="48" t="str">
        <x:f>IF($AD52="","",CHAR(123)&amp;CHAR(34)&amp;"label"&amp;CHAR(34)&amp;":"&amp;CHAR(34)&amp;$C52&amp;CHAR(34)&amp;","&amp;CHAR(34)&amp;"value"&amp;CHAR(34)&amp;":"&amp;CHAR(34)&amp;SUBSTITUTE($AD52,CHAR(34),CHAR(92)&amp;CHAR(34))&amp;CHAR(34)&amp;CHAR(125))</x:f>
      </x:c>
      <x:c r="AF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  <x:c r="AA53" s="42"/>
      <x:c r="AB53" s="42"/>
      <x:c r="AC53" s="42"/>
      <x:c r="AD53" s="48" t="str">
        <x:f>IF(OR($A53&lt;&gt;"Yes",$C53="",COUNTA($E53:$AC53)=0),"","("&amp;IF(E53&lt;&gt;"",'Dashboard Config'!$B$6&amp;"="""&amp;E53&amp;"""","")&amp;IF(F53&lt;&gt;"",IF(COUNTA($E53:$E53)&gt;0," OR ","")&amp;'Dashboard Config'!$B$6&amp;"="""&amp;F53&amp;"""","")&amp;IF(G53&lt;&gt;"",IF(COUNTA($E53:$F53)&gt;0," OR ","")&amp;'Dashboard Config'!$B$6&amp;"="""&amp;G53&amp;"""","")&amp;IF(H53&lt;&gt;"",IF(COUNTA($E53:$G53)&gt;0," OR ","")&amp;'Dashboard Config'!$B$6&amp;"="""&amp;H53&amp;"""","")&amp;IF(I53&lt;&gt;"",IF(COUNTA($E53:$H53)&gt;0," OR ","")&amp;'Dashboard Config'!$B$6&amp;"="""&amp;I53&amp;"""","")&amp;IF(J53&lt;&gt;"",IF(COUNTA($E53:$I53)&gt;0," OR ","")&amp;'Dashboard Config'!$B$6&amp;"="""&amp;J53&amp;"""","")&amp;IF(K53&lt;&gt;"",IF(COUNTA($E53:$J53)&gt;0," OR ","")&amp;'Dashboard Config'!$B$6&amp;"="""&amp;K53&amp;"""","")&amp;IF(L53&lt;&gt;"",IF(COUNTA($E53:$K53)&gt;0," OR ","")&amp;'Dashboard Config'!$B$6&amp;"="""&amp;L53&amp;"""","")&amp;IF(M53&lt;&gt;"",IF(COUNTA($E53:$L53)&gt;0," OR ","")&amp;'Dashboard Config'!$B$7&amp;"="""&amp;M53&amp;"""","")&amp;IF(N53&lt;&gt;"",IF(COUNTA($E53:$M53)&gt;0," OR ","")&amp;'Dashboard Config'!$B$7&amp;"="""&amp;N53&amp;"""","")&amp;IF(O53&lt;&gt;"",IF(COUNTA($E53:$N53)&gt;0," OR ","")&amp;'Dashboard Config'!$B$7&amp;"="""&amp;O53&amp;"""","")&amp;IF(P53&lt;&gt;"",IF(COUNTA($E53:$O53)&gt;0," OR ","")&amp;'Dashboard Config'!$B$7&amp;"="""&amp;P53&amp;"""","")&amp;IF(Q53&lt;&gt;"",IF(COUNTA($E53:$P53)&gt;0," OR ","")&amp;'Dashboard Config'!$B$7&amp;"="""&amp;Q53&amp;"""","")&amp;IF(R53&lt;&gt;"",IF(COUNTA($E53:$Q53)&gt;0," OR ","")&amp;'Dashboard Config'!$B$7&amp;"="""&amp;R53&amp;"""","")&amp;IF(S53&lt;&gt;"",IF(COUNTA($E53:$R53)&gt;0," OR ","")&amp;'Dashboard Config'!$B$7&amp;"="""&amp;S53&amp;"""","")&amp;IF(T53&lt;&gt;"",IF(COUNTA($E53:$S53)&gt;0," OR ","")&amp;'Dashboard Config'!$B$7&amp;"="""&amp;T53&amp;"""","")&amp;IF(U53&lt;&gt;"",IF(COUNTA($E53:$T53)&gt;0," OR ","")&amp;'Dashboard Config'!$B$7&amp;"="""&amp;U53&amp;"""","")&amp;IF(V53&lt;&gt;"",IF(COUNTA($E53:$U53)&gt;0," OR ","")&amp;'Dashboard Config'!$B$7&amp;"="""&amp;V53&amp;"""","")&amp;IF(W53&lt;&gt;"",IF(COUNTA($E53:$V53)&gt;0," OR ","")&amp;'Dashboard Config'!$B$7&amp;"="""&amp;W53&amp;"""","")&amp;IF(X53&lt;&gt;"",IF(COUNTA($E53:$W53)&gt;0," OR ","")&amp;'Dashboard Config'!$B$7&amp;"="""&amp;X53&amp;"""","")&amp;IF(Y53&lt;&gt;"",IF(COUNTA($E53:$X53)&gt;0," OR ","")&amp;'Dashboard Config'!$B$7&amp;"="""&amp;Y53&amp;"""","")&amp;IF(Z53&lt;&gt;"",IF(COUNTA($E53:$Y53)&gt;0," OR ","")&amp;'Dashboard Config'!$B$7&amp;"="""&amp;Z53&amp;"""","")&amp;IF(AA53&lt;&gt;"",IF(COUNTA($E53:$Z53)&gt;0," OR ","")&amp;'Dashboard Config'!$B$7&amp;"="""&amp;AA53&amp;"""","")&amp;IF(AB53&lt;&gt;"",IF(COUNTA($E53:$AA53)&gt;0," OR ","")&amp;'Dashboard Config'!$B$7&amp;"="""&amp;AB53&amp;"""","")&amp;IF(AC53&lt;&gt;"",IF(COUNTA($E53:$AB53)&gt;0," OR ","")&amp;AC53,"")&amp;")")</x:f>
      </x:c>
      <x:c r="AE53" s="48" t="str">
        <x:f>IF($AD53="","",CHAR(123)&amp;CHAR(34)&amp;"label"&amp;CHAR(34)&amp;":"&amp;CHAR(34)&amp;$C53&amp;CHAR(34)&amp;","&amp;CHAR(34)&amp;"value"&amp;CHAR(34)&amp;":"&amp;CHAR(34)&amp;SUBSTITUTE($AD53,CHAR(34),CHAR(92)&amp;CHAR(34))&amp;CHAR(34)&amp;CHAR(125))</x:f>
      </x:c>
      <x:c r="AF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  <x:c r="AA54" s="42"/>
      <x:c r="AB54" s="42"/>
      <x:c r="AC54" s="42"/>
      <x:c r="AD54" s="48" t="str">
        <x:f>IF(OR($A54&lt;&gt;"Yes",$C54="",COUNTA($E54:$AC54)=0),"","("&amp;IF(E54&lt;&gt;"",'Dashboard Config'!$B$6&amp;"="""&amp;E54&amp;"""","")&amp;IF(F54&lt;&gt;"",IF(COUNTA($E54:$E54)&gt;0," OR ","")&amp;'Dashboard Config'!$B$6&amp;"="""&amp;F54&amp;"""","")&amp;IF(G54&lt;&gt;"",IF(COUNTA($E54:$F54)&gt;0," OR ","")&amp;'Dashboard Config'!$B$6&amp;"="""&amp;G54&amp;"""","")&amp;IF(H54&lt;&gt;"",IF(COUNTA($E54:$G54)&gt;0," OR ","")&amp;'Dashboard Config'!$B$6&amp;"="""&amp;H54&amp;"""","")&amp;IF(I54&lt;&gt;"",IF(COUNTA($E54:$H54)&gt;0," OR ","")&amp;'Dashboard Config'!$B$6&amp;"="""&amp;I54&amp;"""","")&amp;IF(J54&lt;&gt;"",IF(COUNTA($E54:$I54)&gt;0," OR ","")&amp;'Dashboard Config'!$B$6&amp;"="""&amp;J54&amp;"""","")&amp;IF(K54&lt;&gt;"",IF(COUNTA($E54:$J54)&gt;0," OR ","")&amp;'Dashboard Config'!$B$6&amp;"="""&amp;K54&amp;"""","")&amp;IF(L54&lt;&gt;"",IF(COUNTA($E54:$K54)&gt;0," OR ","")&amp;'Dashboard Config'!$B$6&amp;"="""&amp;L54&amp;"""","")&amp;IF(M54&lt;&gt;"",IF(COUNTA($E54:$L54)&gt;0," OR ","")&amp;'Dashboard Config'!$B$7&amp;"="""&amp;M54&amp;"""","")&amp;IF(N54&lt;&gt;"",IF(COUNTA($E54:$M54)&gt;0," OR ","")&amp;'Dashboard Config'!$B$7&amp;"="""&amp;N54&amp;"""","")&amp;IF(O54&lt;&gt;"",IF(COUNTA($E54:$N54)&gt;0," OR ","")&amp;'Dashboard Config'!$B$7&amp;"="""&amp;O54&amp;"""","")&amp;IF(P54&lt;&gt;"",IF(COUNTA($E54:$O54)&gt;0," OR ","")&amp;'Dashboard Config'!$B$7&amp;"="""&amp;P54&amp;"""","")&amp;IF(Q54&lt;&gt;"",IF(COUNTA($E54:$P54)&gt;0," OR ","")&amp;'Dashboard Config'!$B$7&amp;"="""&amp;Q54&amp;"""","")&amp;IF(R54&lt;&gt;"",IF(COUNTA($E54:$Q54)&gt;0," OR ","")&amp;'Dashboard Config'!$B$7&amp;"="""&amp;R54&amp;"""","")&amp;IF(S54&lt;&gt;"",IF(COUNTA($E54:$R54)&gt;0," OR ","")&amp;'Dashboard Config'!$B$7&amp;"="""&amp;S54&amp;"""","")&amp;IF(T54&lt;&gt;"",IF(COUNTA($E54:$S54)&gt;0," OR ","")&amp;'Dashboard Config'!$B$7&amp;"="""&amp;T54&amp;"""","")&amp;IF(U54&lt;&gt;"",IF(COUNTA($E54:$T54)&gt;0," OR ","")&amp;'Dashboard Config'!$B$7&amp;"="""&amp;U54&amp;"""","")&amp;IF(V54&lt;&gt;"",IF(COUNTA($E54:$U54)&gt;0," OR ","")&amp;'Dashboard Config'!$B$7&amp;"="""&amp;V54&amp;"""","")&amp;IF(W54&lt;&gt;"",IF(COUNTA($E54:$V54)&gt;0," OR ","")&amp;'Dashboard Config'!$B$7&amp;"="""&amp;W54&amp;"""","")&amp;IF(X54&lt;&gt;"",IF(COUNTA($E54:$W54)&gt;0," OR ","")&amp;'Dashboard Config'!$B$7&amp;"="""&amp;X54&amp;"""","")&amp;IF(Y54&lt;&gt;"",IF(COUNTA($E54:$X54)&gt;0," OR ","")&amp;'Dashboard Config'!$B$7&amp;"="""&amp;Y54&amp;"""","")&amp;IF(Z54&lt;&gt;"",IF(COUNTA($E54:$Y54)&gt;0," OR ","")&amp;'Dashboard Config'!$B$7&amp;"="""&amp;Z54&amp;"""","")&amp;IF(AA54&lt;&gt;"",IF(COUNTA($E54:$Z54)&gt;0," OR ","")&amp;'Dashboard Config'!$B$7&amp;"="""&amp;AA54&amp;"""","")&amp;IF(AB54&lt;&gt;"",IF(COUNTA($E54:$AA54)&gt;0," OR ","")&amp;'Dashboard Config'!$B$7&amp;"="""&amp;AB54&amp;"""","")&amp;IF(AC54&lt;&gt;"",IF(COUNTA($E54:$AB54)&gt;0," OR ","")&amp;AC54,"")&amp;")")</x:f>
      </x:c>
      <x:c r="AE54" s="48" t="str">
        <x:f>IF($AD54="","",CHAR(123)&amp;CHAR(34)&amp;"label"&amp;CHAR(34)&amp;":"&amp;CHAR(34)&amp;$C54&amp;CHAR(34)&amp;","&amp;CHAR(34)&amp;"value"&amp;CHAR(34)&amp;":"&amp;CHAR(34)&amp;SUBSTITUTE($AD54,CHAR(34),CHAR(92)&amp;CHAR(34))&amp;CHAR(34)&amp;CHAR(125))</x:f>
      </x:c>
      <x:c r="AF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  <x:c r="AA55" s="42"/>
      <x:c r="AB55" s="42"/>
      <x:c r="AC55" s="42"/>
      <x:c r="AD55" s="48" t="str">
        <x:f>IF(OR($A55&lt;&gt;"Yes",$C55="",COUNTA($E55:$AC55)=0),"","("&amp;IF(E55&lt;&gt;"",'Dashboard Config'!$B$6&amp;"="""&amp;E55&amp;"""","")&amp;IF(F55&lt;&gt;"",IF(COUNTA($E55:$E55)&gt;0," OR ","")&amp;'Dashboard Config'!$B$6&amp;"="""&amp;F55&amp;"""","")&amp;IF(G55&lt;&gt;"",IF(COUNTA($E55:$F55)&gt;0," OR ","")&amp;'Dashboard Config'!$B$6&amp;"="""&amp;G55&amp;"""","")&amp;IF(H55&lt;&gt;"",IF(COUNTA($E55:$G55)&gt;0," OR ","")&amp;'Dashboard Config'!$B$6&amp;"="""&amp;H55&amp;"""","")&amp;IF(I55&lt;&gt;"",IF(COUNTA($E55:$H55)&gt;0," OR ","")&amp;'Dashboard Config'!$B$6&amp;"="""&amp;I55&amp;"""","")&amp;IF(J55&lt;&gt;"",IF(COUNTA($E55:$I55)&gt;0," OR ","")&amp;'Dashboard Config'!$B$6&amp;"="""&amp;J55&amp;"""","")&amp;IF(K55&lt;&gt;"",IF(COUNTA($E55:$J55)&gt;0," OR ","")&amp;'Dashboard Config'!$B$6&amp;"="""&amp;K55&amp;"""","")&amp;IF(L55&lt;&gt;"",IF(COUNTA($E55:$K55)&gt;0," OR ","")&amp;'Dashboard Config'!$B$6&amp;"="""&amp;L55&amp;"""","")&amp;IF(M55&lt;&gt;"",IF(COUNTA($E55:$L55)&gt;0," OR ","")&amp;'Dashboard Config'!$B$7&amp;"="""&amp;M55&amp;"""","")&amp;IF(N55&lt;&gt;"",IF(COUNTA($E55:$M55)&gt;0," OR ","")&amp;'Dashboard Config'!$B$7&amp;"="""&amp;N55&amp;"""","")&amp;IF(O55&lt;&gt;"",IF(COUNTA($E55:$N55)&gt;0," OR ","")&amp;'Dashboard Config'!$B$7&amp;"="""&amp;O55&amp;"""","")&amp;IF(P55&lt;&gt;"",IF(COUNTA($E55:$O55)&gt;0," OR ","")&amp;'Dashboard Config'!$B$7&amp;"="""&amp;P55&amp;"""","")&amp;IF(Q55&lt;&gt;"",IF(COUNTA($E55:$P55)&gt;0," OR ","")&amp;'Dashboard Config'!$B$7&amp;"="""&amp;Q55&amp;"""","")&amp;IF(R55&lt;&gt;"",IF(COUNTA($E55:$Q55)&gt;0," OR ","")&amp;'Dashboard Config'!$B$7&amp;"="""&amp;R55&amp;"""","")&amp;IF(S55&lt;&gt;"",IF(COUNTA($E55:$R55)&gt;0," OR ","")&amp;'Dashboard Config'!$B$7&amp;"="""&amp;S55&amp;"""","")&amp;IF(T55&lt;&gt;"",IF(COUNTA($E55:$S55)&gt;0," OR ","")&amp;'Dashboard Config'!$B$7&amp;"="""&amp;T55&amp;"""","")&amp;IF(U55&lt;&gt;"",IF(COUNTA($E55:$T55)&gt;0," OR ","")&amp;'Dashboard Config'!$B$7&amp;"="""&amp;U55&amp;"""","")&amp;IF(V55&lt;&gt;"",IF(COUNTA($E55:$U55)&gt;0," OR ","")&amp;'Dashboard Config'!$B$7&amp;"="""&amp;V55&amp;"""","")&amp;IF(W55&lt;&gt;"",IF(COUNTA($E55:$V55)&gt;0," OR ","")&amp;'Dashboard Config'!$B$7&amp;"="""&amp;W55&amp;"""","")&amp;IF(X55&lt;&gt;"",IF(COUNTA($E55:$W55)&gt;0," OR ","")&amp;'Dashboard Config'!$B$7&amp;"="""&amp;X55&amp;"""","")&amp;IF(Y55&lt;&gt;"",IF(COUNTA($E55:$X55)&gt;0," OR ","")&amp;'Dashboard Config'!$B$7&amp;"="""&amp;Y55&amp;"""","")&amp;IF(Z55&lt;&gt;"",IF(COUNTA($E55:$Y55)&gt;0," OR ","")&amp;'Dashboard Config'!$B$7&amp;"="""&amp;Z55&amp;"""","")&amp;IF(AA55&lt;&gt;"",IF(COUNTA($E55:$Z55)&gt;0," OR ","")&amp;'Dashboard Config'!$B$7&amp;"="""&amp;AA55&amp;"""","")&amp;IF(AB55&lt;&gt;"",IF(COUNTA($E55:$AA55)&gt;0," OR ","")&amp;'Dashboard Config'!$B$7&amp;"="""&amp;AB55&amp;"""","")&amp;IF(AC55&lt;&gt;"",IF(COUNTA($E55:$AB55)&gt;0," OR ","")&amp;AC55,"")&amp;")")</x:f>
      </x:c>
      <x:c r="AE55" s="48" t="str">
        <x:f>IF($AD55="","",CHAR(123)&amp;CHAR(34)&amp;"label"&amp;CHAR(34)&amp;":"&amp;CHAR(34)&amp;$C55&amp;CHAR(34)&amp;","&amp;CHAR(34)&amp;"value"&amp;CHAR(34)&amp;":"&amp;CHAR(34)&amp;SUBSTITUTE($AD55,CHAR(34),CHAR(92)&amp;CHAR(34))&amp;CHAR(34)&amp;CHAR(125))</x:f>
      </x:c>
      <x:c r="AF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  <x:c r="AA56" s="42"/>
      <x:c r="AB56" s="42"/>
      <x:c r="AC56" s="42"/>
      <x:c r="AD56" s="48" t="str">
        <x:f>IF(OR($A56&lt;&gt;"Yes",$C56="",COUNTA($E56:$AC56)=0),"","("&amp;IF(E56&lt;&gt;"",'Dashboard Config'!$B$6&amp;"="""&amp;E56&amp;"""","")&amp;IF(F56&lt;&gt;"",IF(COUNTA($E56:$E56)&gt;0," OR ","")&amp;'Dashboard Config'!$B$6&amp;"="""&amp;F56&amp;"""","")&amp;IF(G56&lt;&gt;"",IF(COUNTA($E56:$F56)&gt;0," OR ","")&amp;'Dashboard Config'!$B$6&amp;"="""&amp;G56&amp;"""","")&amp;IF(H56&lt;&gt;"",IF(COUNTA($E56:$G56)&gt;0," OR ","")&amp;'Dashboard Config'!$B$6&amp;"="""&amp;H56&amp;"""","")&amp;IF(I56&lt;&gt;"",IF(COUNTA($E56:$H56)&gt;0," OR ","")&amp;'Dashboard Config'!$B$6&amp;"="""&amp;I56&amp;"""","")&amp;IF(J56&lt;&gt;"",IF(COUNTA($E56:$I56)&gt;0," OR ","")&amp;'Dashboard Config'!$B$6&amp;"="""&amp;J56&amp;"""","")&amp;IF(K56&lt;&gt;"",IF(COUNTA($E56:$J56)&gt;0," OR ","")&amp;'Dashboard Config'!$B$6&amp;"="""&amp;K56&amp;"""","")&amp;IF(L56&lt;&gt;"",IF(COUNTA($E56:$K56)&gt;0," OR ","")&amp;'Dashboard Config'!$B$6&amp;"="""&amp;L56&amp;"""","")&amp;IF(M56&lt;&gt;"",IF(COUNTA($E56:$L56)&gt;0," OR ","")&amp;'Dashboard Config'!$B$7&amp;"="""&amp;M56&amp;"""","")&amp;IF(N56&lt;&gt;"",IF(COUNTA($E56:$M56)&gt;0," OR ","")&amp;'Dashboard Config'!$B$7&amp;"="""&amp;N56&amp;"""","")&amp;IF(O56&lt;&gt;"",IF(COUNTA($E56:$N56)&gt;0," OR ","")&amp;'Dashboard Config'!$B$7&amp;"="""&amp;O56&amp;"""","")&amp;IF(P56&lt;&gt;"",IF(COUNTA($E56:$O56)&gt;0," OR ","")&amp;'Dashboard Config'!$B$7&amp;"="""&amp;P56&amp;"""","")&amp;IF(Q56&lt;&gt;"",IF(COUNTA($E56:$P56)&gt;0," OR ","")&amp;'Dashboard Config'!$B$7&amp;"="""&amp;Q56&amp;"""","")&amp;IF(R56&lt;&gt;"",IF(COUNTA($E56:$Q56)&gt;0," OR ","")&amp;'Dashboard Config'!$B$7&amp;"="""&amp;R56&amp;"""","")&amp;IF(S56&lt;&gt;"",IF(COUNTA($E56:$R56)&gt;0," OR ","")&amp;'Dashboard Config'!$B$7&amp;"="""&amp;S56&amp;"""","")&amp;IF(T56&lt;&gt;"",IF(COUNTA($E56:$S56)&gt;0," OR ","")&amp;'Dashboard Config'!$B$7&amp;"="""&amp;T56&amp;"""","")&amp;IF(U56&lt;&gt;"",IF(COUNTA($E56:$T56)&gt;0," OR ","")&amp;'Dashboard Config'!$B$7&amp;"="""&amp;U56&amp;"""","")&amp;IF(V56&lt;&gt;"",IF(COUNTA($E56:$U56)&gt;0," OR ","")&amp;'Dashboard Config'!$B$7&amp;"="""&amp;V56&amp;"""","")&amp;IF(W56&lt;&gt;"",IF(COUNTA($E56:$V56)&gt;0," OR ","")&amp;'Dashboard Config'!$B$7&amp;"="""&amp;W56&amp;"""","")&amp;IF(X56&lt;&gt;"",IF(COUNTA($E56:$W56)&gt;0," OR ","")&amp;'Dashboard Config'!$B$7&amp;"="""&amp;X56&amp;"""","")&amp;IF(Y56&lt;&gt;"",IF(COUNTA($E56:$X56)&gt;0," OR ","")&amp;'Dashboard Config'!$B$7&amp;"="""&amp;Y56&amp;"""","")&amp;IF(Z56&lt;&gt;"",IF(COUNTA($E56:$Y56)&gt;0," OR ","")&amp;'Dashboard Config'!$B$7&amp;"="""&amp;Z56&amp;"""","")&amp;IF(AA56&lt;&gt;"",IF(COUNTA($E56:$Z56)&gt;0," OR ","")&amp;'Dashboard Config'!$B$7&amp;"="""&amp;AA56&amp;"""","")&amp;IF(AB56&lt;&gt;"",IF(COUNTA($E56:$AA56)&gt;0," OR ","")&amp;'Dashboard Config'!$B$7&amp;"="""&amp;AB56&amp;"""","")&amp;IF(AC56&lt;&gt;"",IF(COUNTA($E56:$AB56)&gt;0," OR ","")&amp;AC56,"")&amp;")")</x:f>
      </x:c>
      <x:c r="AE56" s="48" t="str">
        <x:f>IF($AD56="","",CHAR(123)&amp;CHAR(34)&amp;"label"&amp;CHAR(34)&amp;":"&amp;CHAR(34)&amp;$C56&amp;CHAR(34)&amp;","&amp;CHAR(34)&amp;"value"&amp;CHAR(34)&amp;":"&amp;CHAR(34)&amp;SUBSTITUTE($AD56,CHAR(34),CHAR(92)&amp;CHAR(34))&amp;CHAR(34)&amp;CHAR(125))</x:f>
      </x:c>
      <x:c r="AF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  <x:c r="AA57" s="42"/>
      <x:c r="AB57" s="42"/>
      <x:c r="AC57" s="42"/>
      <x:c r="AD57" s="48" t="str">
        <x:f>IF(OR($A57&lt;&gt;"Yes",$C57="",COUNTA($E57:$AC57)=0),"","("&amp;IF(E57&lt;&gt;"",'Dashboard Config'!$B$6&amp;"="""&amp;E57&amp;"""","")&amp;IF(F57&lt;&gt;"",IF(COUNTA($E57:$E57)&gt;0," OR ","")&amp;'Dashboard Config'!$B$6&amp;"="""&amp;F57&amp;"""","")&amp;IF(G57&lt;&gt;"",IF(COUNTA($E57:$F57)&gt;0," OR ","")&amp;'Dashboard Config'!$B$6&amp;"="""&amp;G57&amp;"""","")&amp;IF(H57&lt;&gt;"",IF(COUNTA($E57:$G57)&gt;0," OR ","")&amp;'Dashboard Config'!$B$6&amp;"="""&amp;H57&amp;"""","")&amp;IF(I57&lt;&gt;"",IF(COUNTA($E57:$H57)&gt;0," OR ","")&amp;'Dashboard Config'!$B$6&amp;"="""&amp;I57&amp;"""","")&amp;IF(J57&lt;&gt;"",IF(COUNTA($E57:$I57)&gt;0," OR ","")&amp;'Dashboard Config'!$B$6&amp;"="""&amp;J57&amp;"""","")&amp;IF(K57&lt;&gt;"",IF(COUNTA($E57:$J57)&gt;0," OR ","")&amp;'Dashboard Config'!$B$6&amp;"="""&amp;K57&amp;"""","")&amp;IF(L57&lt;&gt;"",IF(COUNTA($E57:$K57)&gt;0," OR ","")&amp;'Dashboard Config'!$B$6&amp;"="""&amp;L57&amp;"""","")&amp;IF(M57&lt;&gt;"",IF(COUNTA($E57:$L57)&gt;0," OR ","")&amp;'Dashboard Config'!$B$7&amp;"="""&amp;M57&amp;"""","")&amp;IF(N57&lt;&gt;"",IF(COUNTA($E57:$M57)&gt;0," OR ","")&amp;'Dashboard Config'!$B$7&amp;"="""&amp;N57&amp;"""","")&amp;IF(O57&lt;&gt;"",IF(COUNTA($E57:$N57)&gt;0," OR ","")&amp;'Dashboard Config'!$B$7&amp;"="""&amp;O57&amp;"""","")&amp;IF(P57&lt;&gt;"",IF(COUNTA($E57:$O57)&gt;0," OR ","")&amp;'Dashboard Config'!$B$7&amp;"="""&amp;P57&amp;"""","")&amp;IF(Q57&lt;&gt;"",IF(COUNTA($E57:$P57)&gt;0," OR ","")&amp;'Dashboard Config'!$B$7&amp;"="""&amp;Q57&amp;"""","")&amp;IF(R57&lt;&gt;"",IF(COUNTA($E57:$Q57)&gt;0," OR ","")&amp;'Dashboard Config'!$B$7&amp;"="""&amp;R57&amp;"""","")&amp;IF(S57&lt;&gt;"",IF(COUNTA($E57:$R57)&gt;0," OR ","")&amp;'Dashboard Config'!$B$7&amp;"="""&amp;S57&amp;"""","")&amp;IF(T57&lt;&gt;"",IF(COUNTA($E57:$S57)&gt;0," OR ","")&amp;'Dashboard Config'!$B$7&amp;"="""&amp;T57&amp;"""","")&amp;IF(U57&lt;&gt;"",IF(COUNTA($E57:$T57)&gt;0," OR ","")&amp;'Dashboard Config'!$B$7&amp;"="""&amp;U57&amp;"""","")&amp;IF(V57&lt;&gt;"",IF(COUNTA($E57:$U57)&gt;0," OR ","")&amp;'Dashboard Config'!$B$7&amp;"="""&amp;V57&amp;"""","")&amp;IF(W57&lt;&gt;"",IF(COUNTA($E57:$V57)&gt;0," OR ","")&amp;'Dashboard Config'!$B$7&amp;"="""&amp;W57&amp;"""","")&amp;IF(X57&lt;&gt;"",IF(COUNTA($E57:$W57)&gt;0," OR ","")&amp;'Dashboard Config'!$B$7&amp;"="""&amp;X57&amp;"""","")&amp;IF(Y57&lt;&gt;"",IF(COUNTA($E57:$X57)&gt;0," OR ","")&amp;'Dashboard Config'!$B$7&amp;"="""&amp;Y57&amp;"""","")&amp;IF(Z57&lt;&gt;"",IF(COUNTA($E57:$Y57)&gt;0," OR ","")&amp;'Dashboard Config'!$B$7&amp;"="""&amp;Z57&amp;"""","")&amp;IF(AA57&lt;&gt;"",IF(COUNTA($E57:$Z57)&gt;0," OR ","")&amp;'Dashboard Config'!$B$7&amp;"="""&amp;AA57&amp;"""","")&amp;IF(AB57&lt;&gt;"",IF(COUNTA($E57:$AA57)&gt;0," OR ","")&amp;'Dashboard Config'!$B$7&amp;"="""&amp;AB57&amp;"""","")&amp;IF(AC57&lt;&gt;"",IF(COUNTA($E57:$AB57)&gt;0," OR ","")&amp;AC57,"")&amp;")")</x:f>
      </x:c>
      <x:c r="AE57" s="48" t="str">
        <x:f>IF($AD57="","",CHAR(123)&amp;CHAR(34)&amp;"label"&amp;CHAR(34)&amp;":"&amp;CHAR(34)&amp;$C57&amp;CHAR(34)&amp;","&amp;CHAR(34)&amp;"value"&amp;CHAR(34)&amp;":"&amp;CHAR(34)&amp;SUBSTITUTE($AD57,CHAR(34),CHAR(92)&amp;CHAR(34))&amp;CHAR(34)&amp;CHAR(125))</x:f>
      </x:c>
      <x:c r="AF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  <x:c r="AA58" s="42"/>
      <x:c r="AB58" s="42"/>
      <x:c r="AC58" s="42"/>
      <x:c r="AD58" s="48" t="str">
        <x:f>IF(OR($A58&lt;&gt;"Yes",$C58="",COUNTA($E58:$AC58)=0),"","("&amp;IF(E58&lt;&gt;"",'Dashboard Config'!$B$6&amp;"="""&amp;E58&amp;"""","")&amp;IF(F58&lt;&gt;"",IF(COUNTA($E58:$E58)&gt;0," OR ","")&amp;'Dashboard Config'!$B$6&amp;"="""&amp;F58&amp;"""","")&amp;IF(G58&lt;&gt;"",IF(COUNTA($E58:$F58)&gt;0," OR ","")&amp;'Dashboard Config'!$B$6&amp;"="""&amp;G58&amp;"""","")&amp;IF(H58&lt;&gt;"",IF(COUNTA($E58:$G58)&gt;0," OR ","")&amp;'Dashboard Config'!$B$6&amp;"="""&amp;H58&amp;"""","")&amp;IF(I58&lt;&gt;"",IF(COUNTA($E58:$H58)&gt;0," OR ","")&amp;'Dashboard Config'!$B$6&amp;"="""&amp;I58&amp;"""","")&amp;IF(J58&lt;&gt;"",IF(COUNTA($E58:$I58)&gt;0," OR ","")&amp;'Dashboard Config'!$B$6&amp;"="""&amp;J58&amp;"""","")&amp;IF(K58&lt;&gt;"",IF(COUNTA($E58:$J58)&gt;0," OR ","")&amp;'Dashboard Config'!$B$6&amp;"="""&amp;K58&amp;"""","")&amp;IF(L58&lt;&gt;"",IF(COUNTA($E58:$K58)&gt;0," OR ","")&amp;'Dashboard Config'!$B$6&amp;"="""&amp;L58&amp;"""","")&amp;IF(M58&lt;&gt;"",IF(COUNTA($E58:$L58)&gt;0," OR ","")&amp;'Dashboard Config'!$B$7&amp;"="""&amp;M58&amp;"""","")&amp;IF(N58&lt;&gt;"",IF(COUNTA($E58:$M58)&gt;0," OR ","")&amp;'Dashboard Config'!$B$7&amp;"="""&amp;N58&amp;"""","")&amp;IF(O58&lt;&gt;"",IF(COUNTA($E58:$N58)&gt;0," OR ","")&amp;'Dashboard Config'!$B$7&amp;"="""&amp;O58&amp;"""","")&amp;IF(P58&lt;&gt;"",IF(COUNTA($E58:$O58)&gt;0," OR ","")&amp;'Dashboard Config'!$B$7&amp;"="""&amp;P58&amp;"""","")&amp;IF(Q58&lt;&gt;"",IF(COUNTA($E58:$P58)&gt;0," OR ","")&amp;'Dashboard Config'!$B$7&amp;"="""&amp;Q58&amp;"""","")&amp;IF(R58&lt;&gt;"",IF(COUNTA($E58:$Q58)&gt;0," OR ","")&amp;'Dashboard Config'!$B$7&amp;"="""&amp;R58&amp;"""","")&amp;IF(S58&lt;&gt;"",IF(COUNTA($E58:$R58)&gt;0," OR ","")&amp;'Dashboard Config'!$B$7&amp;"="""&amp;S58&amp;"""","")&amp;IF(T58&lt;&gt;"",IF(COUNTA($E58:$S58)&gt;0," OR ","")&amp;'Dashboard Config'!$B$7&amp;"="""&amp;T58&amp;"""","")&amp;IF(U58&lt;&gt;"",IF(COUNTA($E58:$T58)&gt;0," OR ","")&amp;'Dashboard Config'!$B$7&amp;"="""&amp;U58&amp;"""","")&amp;IF(V58&lt;&gt;"",IF(COUNTA($E58:$U58)&gt;0," OR ","")&amp;'Dashboard Config'!$B$7&amp;"="""&amp;V58&amp;"""","")&amp;IF(W58&lt;&gt;"",IF(COUNTA($E58:$V58)&gt;0," OR ","")&amp;'Dashboard Config'!$B$7&amp;"="""&amp;W58&amp;"""","")&amp;IF(X58&lt;&gt;"",IF(COUNTA($E58:$W58)&gt;0," OR ","")&amp;'Dashboard Config'!$B$7&amp;"="""&amp;X58&amp;"""","")&amp;IF(Y58&lt;&gt;"",IF(COUNTA($E58:$X58)&gt;0," OR ","")&amp;'Dashboard Config'!$B$7&amp;"="""&amp;Y58&amp;"""","")&amp;IF(Z58&lt;&gt;"",IF(COUNTA($E58:$Y58)&gt;0," OR ","")&amp;'Dashboard Config'!$B$7&amp;"="""&amp;Z58&amp;"""","")&amp;IF(AA58&lt;&gt;"",IF(COUNTA($E58:$Z58)&gt;0," OR ","")&amp;'Dashboard Config'!$B$7&amp;"="""&amp;AA58&amp;"""","")&amp;IF(AB58&lt;&gt;"",IF(COUNTA($E58:$AA58)&gt;0," OR ","")&amp;'Dashboard Config'!$B$7&amp;"="""&amp;AB58&amp;"""","")&amp;IF(AC58&lt;&gt;"",IF(COUNTA($E58:$AB58)&gt;0," OR ","")&amp;AC58,"")&amp;")")</x:f>
      </x:c>
      <x:c r="AE58" s="48" t="str">
        <x:f>IF($AD58="","",CHAR(123)&amp;CHAR(34)&amp;"label"&amp;CHAR(34)&amp;":"&amp;CHAR(34)&amp;$C58&amp;CHAR(34)&amp;","&amp;CHAR(34)&amp;"value"&amp;CHAR(34)&amp;":"&amp;CHAR(34)&amp;SUBSTITUTE($AD58,CHAR(34),CHAR(92)&amp;CHAR(34))&amp;CHAR(34)&amp;CHAR(125))</x:f>
      </x:c>
      <x:c r="AF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  <x:c r="AA59" s="42"/>
      <x:c r="AB59" s="42"/>
      <x:c r="AC59" s="42"/>
      <x:c r="AD59" s="48" t="str">
        <x:f>IF(OR($A59&lt;&gt;"Yes",$C59="",COUNTA($E59:$AC59)=0),"","("&amp;IF(E59&lt;&gt;"",'Dashboard Config'!$B$6&amp;"="""&amp;E59&amp;"""","")&amp;IF(F59&lt;&gt;"",IF(COUNTA($E59:$E59)&gt;0," OR ","")&amp;'Dashboard Config'!$B$6&amp;"="""&amp;F59&amp;"""","")&amp;IF(G59&lt;&gt;"",IF(COUNTA($E59:$F59)&gt;0," OR ","")&amp;'Dashboard Config'!$B$6&amp;"="""&amp;G59&amp;"""","")&amp;IF(H59&lt;&gt;"",IF(COUNTA($E59:$G59)&gt;0," OR ","")&amp;'Dashboard Config'!$B$6&amp;"="""&amp;H59&amp;"""","")&amp;IF(I59&lt;&gt;"",IF(COUNTA($E59:$H59)&gt;0," OR ","")&amp;'Dashboard Config'!$B$6&amp;"="""&amp;I59&amp;"""","")&amp;IF(J59&lt;&gt;"",IF(COUNTA($E59:$I59)&gt;0," OR ","")&amp;'Dashboard Config'!$B$6&amp;"="""&amp;J59&amp;"""","")&amp;IF(K59&lt;&gt;"",IF(COUNTA($E59:$J59)&gt;0," OR ","")&amp;'Dashboard Config'!$B$6&amp;"="""&amp;K59&amp;"""","")&amp;IF(L59&lt;&gt;"",IF(COUNTA($E59:$K59)&gt;0," OR ","")&amp;'Dashboard Config'!$B$6&amp;"="""&amp;L59&amp;"""","")&amp;IF(M59&lt;&gt;"",IF(COUNTA($E59:$L59)&gt;0," OR ","")&amp;'Dashboard Config'!$B$7&amp;"="""&amp;M59&amp;"""","")&amp;IF(N59&lt;&gt;"",IF(COUNTA($E59:$M59)&gt;0," OR ","")&amp;'Dashboard Config'!$B$7&amp;"="""&amp;N59&amp;"""","")&amp;IF(O59&lt;&gt;"",IF(COUNTA($E59:$N59)&gt;0," OR ","")&amp;'Dashboard Config'!$B$7&amp;"="""&amp;O59&amp;"""","")&amp;IF(P59&lt;&gt;"",IF(COUNTA($E59:$O59)&gt;0," OR ","")&amp;'Dashboard Config'!$B$7&amp;"="""&amp;P59&amp;"""","")&amp;IF(Q59&lt;&gt;"",IF(COUNTA($E59:$P59)&gt;0," OR ","")&amp;'Dashboard Config'!$B$7&amp;"="""&amp;Q59&amp;"""","")&amp;IF(R59&lt;&gt;"",IF(COUNTA($E59:$Q59)&gt;0," OR ","")&amp;'Dashboard Config'!$B$7&amp;"="""&amp;R59&amp;"""","")&amp;IF(S59&lt;&gt;"",IF(COUNTA($E59:$R59)&gt;0," OR ","")&amp;'Dashboard Config'!$B$7&amp;"="""&amp;S59&amp;"""","")&amp;IF(T59&lt;&gt;"",IF(COUNTA($E59:$S59)&gt;0," OR ","")&amp;'Dashboard Config'!$B$7&amp;"="""&amp;T59&amp;"""","")&amp;IF(U59&lt;&gt;"",IF(COUNTA($E59:$T59)&gt;0," OR ","")&amp;'Dashboard Config'!$B$7&amp;"="""&amp;U59&amp;"""","")&amp;IF(V59&lt;&gt;"",IF(COUNTA($E59:$U59)&gt;0," OR ","")&amp;'Dashboard Config'!$B$7&amp;"="""&amp;V59&amp;"""","")&amp;IF(W59&lt;&gt;"",IF(COUNTA($E59:$V59)&gt;0," OR ","")&amp;'Dashboard Config'!$B$7&amp;"="""&amp;W59&amp;"""","")&amp;IF(X59&lt;&gt;"",IF(COUNTA($E59:$W59)&gt;0," OR ","")&amp;'Dashboard Config'!$B$7&amp;"="""&amp;X59&amp;"""","")&amp;IF(Y59&lt;&gt;"",IF(COUNTA($E59:$X59)&gt;0," OR ","")&amp;'Dashboard Config'!$B$7&amp;"="""&amp;Y59&amp;"""","")&amp;IF(Z59&lt;&gt;"",IF(COUNTA($E59:$Y59)&gt;0," OR ","")&amp;'Dashboard Config'!$B$7&amp;"="""&amp;Z59&amp;"""","")&amp;IF(AA59&lt;&gt;"",IF(COUNTA($E59:$Z59)&gt;0," OR ","")&amp;'Dashboard Config'!$B$7&amp;"="""&amp;AA59&amp;"""","")&amp;IF(AB59&lt;&gt;"",IF(COUNTA($E59:$AA59)&gt;0," OR ","")&amp;'Dashboard Config'!$B$7&amp;"="""&amp;AB59&amp;"""","")&amp;IF(AC59&lt;&gt;"",IF(COUNTA($E59:$AB59)&gt;0," OR ","")&amp;AC59,"")&amp;")")</x:f>
      </x:c>
      <x:c r="AE59" s="48" t="str">
        <x:f>IF($AD59="","",CHAR(123)&amp;CHAR(34)&amp;"label"&amp;CHAR(34)&amp;":"&amp;CHAR(34)&amp;$C59&amp;CHAR(34)&amp;","&amp;CHAR(34)&amp;"value"&amp;CHAR(34)&amp;":"&amp;CHAR(34)&amp;SUBSTITUTE($AD59,CHAR(34),CHAR(92)&amp;CHAR(34))&amp;CHAR(34)&amp;CHAR(125))</x:f>
      </x:c>
      <x:c r="AF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  <x:c r="AA60" s="42"/>
      <x:c r="AB60" s="42"/>
      <x:c r="AC60" s="42"/>
      <x:c r="AD60" s="48" t="str">
        <x:f>IF(OR($A60&lt;&gt;"Yes",$C60="",COUNTA($E60:$AC60)=0),"","("&amp;IF(E60&lt;&gt;"",'Dashboard Config'!$B$6&amp;"="""&amp;E60&amp;"""","")&amp;IF(F60&lt;&gt;"",IF(COUNTA($E60:$E60)&gt;0," OR ","")&amp;'Dashboard Config'!$B$6&amp;"="""&amp;F60&amp;"""","")&amp;IF(G60&lt;&gt;"",IF(COUNTA($E60:$F60)&gt;0," OR ","")&amp;'Dashboard Config'!$B$6&amp;"="""&amp;G60&amp;"""","")&amp;IF(H60&lt;&gt;"",IF(COUNTA($E60:$G60)&gt;0," OR ","")&amp;'Dashboard Config'!$B$6&amp;"="""&amp;H60&amp;"""","")&amp;IF(I60&lt;&gt;"",IF(COUNTA($E60:$H60)&gt;0," OR ","")&amp;'Dashboard Config'!$B$6&amp;"="""&amp;I60&amp;"""","")&amp;IF(J60&lt;&gt;"",IF(COUNTA($E60:$I60)&gt;0," OR ","")&amp;'Dashboard Config'!$B$6&amp;"="""&amp;J60&amp;"""","")&amp;IF(K60&lt;&gt;"",IF(COUNTA($E60:$J60)&gt;0," OR ","")&amp;'Dashboard Config'!$B$6&amp;"="""&amp;K60&amp;"""","")&amp;IF(L60&lt;&gt;"",IF(COUNTA($E60:$K60)&gt;0," OR ","")&amp;'Dashboard Config'!$B$6&amp;"="""&amp;L60&amp;"""","")&amp;IF(M60&lt;&gt;"",IF(COUNTA($E60:$L60)&gt;0," OR ","")&amp;'Dashboard Config'!$B$7&amp;"="""&amp;M60&amp;"""","")&amp;IF(N60&lt;&gt;"",IF(COUNTA($E60:$M60)&gt;0," OR ","")&amp;'Dashboard Config'!$B$7&amp;"="""&amp;N60&amp;"""","")&amp;IF(O60&lt;&gt;"",IF(COUNTA($E60:$N60)&gt;0," OR ","")&amp;'Dashboard Config'!$B$7&amp;"="""&amp;O60&amp;"""","")&amp;IF(P60&lt;&gt;"",IF(COUNTA($E60:$O60)&gt;0," OR ","")&amp;'Dashboard Config'!$B$7&amp;"="""&amp;P60&amp;"""","")&amp;IF(Q60&lt;&gt;"",IF(COUNTA($E60:$P60)&gt;0," OR ","")&amp;'Dashboard Config'!$B$7&amp;"="""&amp;Q60&amp;"""","")&amp;IF(R60&lt;&gt;"",IF(COUNTA($E60:$Q60)&gt;0," OR ","")&amp;'Dashboard Config'!$B$7&amp;"="""&amp;R60&amp;"""","")&amp;IF(S60&lt;&gt;"",IF(COUNTA($E60:$R60)&gt;0," OR ","")&amp;'Dashboard Config'!$B$7&amp;"="""&amp;S60&amp;"""","")&amp;IF(T60&lt;&gt;"",IF(COUNTA($E60:$S60)&gt;0," OR ","")&amp;'Dashboard Config'!$B$7&amp;"="""&amp;T60&amp;"""","")&amp;IF(U60&lt;&gt;"",IF(COUNTA($E60:$T60)&gt;0," OR ","")&amp;'Dashboard Config'!$B$7&amp;"="""&amp;U60&amp;"""","")&amp;IF(V60&lt;&gt;"",IF(COUNTA($E60:$U60)&gt;0," OR ","")&amp;'Dashboard Config'!$B$7&amp;"="""&amp;V60&amp;"""","")&amp;IF(W60&lt;&gt;"",IF(COUNTA($E60:$V60)&gt;0," OR ","")&amp;'Dashboard Config'!$B$7&amp;"="""&amp;W60&amp;"""","")&amp;IF(X60&lt;&gt;"",IF(COUNTA($E60:$W60)&gt;0," OR ","")&amp;'Dashboard Config'!$B$7&amp;"="""&amp;X60&amp;"""","")&amp;IF(Y60&lt;&gt;"",IF(COUNTA($E60:$X60)&gt;0," OR ","")&amp;'Dashboard Config'!$B$7&amp;"="""&amp;Y60&amp;"""","")&amp;IF(Z60&lt;&gt;"",IF(COUNTA($E60:$Y60)&gt;0," OR ","")&amp;'Dashboard Config'!$B$7&amp;"="""&amp;Z60&amp;"""","")&amp;IF(AA60&lt;&gt;"",IF(COUNTA($E60:$Z60)&gt;0," OR ","")&amp;'Dashboard Config'!$B$7&amp;"="""&amp;AA60&amp;"""","")&amp;IF(AB60&lt;&gt;"",IF(COUNTA($E60:$AA60)&gt;0," OR ","")&amp;'Dashboard Config'!$B$7&amp;"="""&amp;AB60&amp;"""","")&amp;IF(AC60&lt;&gt;"",IF(COUNTA($E60:$AB60)&gt;0," OR ","")&amp;AC60,"")&amp;")")</x:f>
      </x:c>
      <x:c r="AE60" s="48" t="str">
        <x:f>IF($AD60="","",CHAR(123)&amp;CHAR(34)&amp;"label"&amp;CHAR(34)&amp;":"&amp;CHAR(34)&amp;$C60&amp;CHAR(34)&amp;","&amp;CHAR(34)&amp;"value"&amp;CHAR(34)&amp;":"&amp;CHAR(34)&amp;SUBSTITUTE($AD60,CHAR(34),CHAR(92)&amp;CHAR(34))&amp;CHAR(34)&amp;CHAR(125))</x:f>
      </x:c>
      <x:c r="AF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  <x:c r="AA61" s="42"/>
      <x:c r="AB61" s="42"/>
      <x:c r="AC61" s="42"/>
      <x:c r="AD61" s="48" t="str">
        <x:f>IF(OR($A61&lt;&gt;"Yes",$C61="",COUNTA($E61:$AC61)=0),"","("&amp;IF(E61&lt;&gt;"",'Dashboard Config'!$B$6&amp;"="""&amp;E61&amp;"""","")&amp;IF(F61&lt;&gt;"",IF(COUNTA($E61:$E61)&gt;0," OR ","")&amp;'Dashboard Config'!$B$6&amp;"="""&amp;F61&amp;"""","")&amp;IF(G61&lt;&gt;"",IF(COUNTA($E61:$F61)&gt;0," OR ","")&amp;'Dashboard Config'!$B$6&amp;"="""&amp;G61&amp;"""","")&amp;IF(H61&lt;&gt;"",IF(COUNTA($E61:$G61)&gt;0," OR ","")&amp;'Dashboard Config'!$B$6&amp;"="""&amp;H61&amp;"""","")&amp;IF(I61&lt;&gt;"",IF(COUNTA($E61:$H61)&gt;0," OR ","")&amp;'Dashboard Config'!$B$6&amp;"="""&amp;I61&amp;"""","")&amp;IF(J61&lt;&gt;"",IF(COUNTA($E61:$I61)&gt;0," OR ","")&amp;'Dashboard Config'!$B$6&amp;"="""&amp;J61&amp;"""","")&amp;IF(K61&lt;&gt;"",IF(COUNTA($E61:$J61)&gt;0," OR ","")&amp;'Dashboard Config'!$B$6&amp;"="""&amp;K61&amp;"""","")&amp;IF(L61&lt;&gt;"",IF(COUNTA($E61:$K61)&gt;0," OR ","")&amp;'Dashboard Config'!$B$6&amp;"="""&amp;L61&amp;"""","")&amp;IF(M61&lt;&gt;"",IF(COUNTA($E61:$L61)&gt;0," OR ","")&amp;'Dashboard Config'!$B$7&amp;"="""&amp;M61&amp;"""","")&amp;IF(N61&lt;&gt;"",IF(COUNTA($E61:$M61)&gt;0," OR ","")&amp;'Dashboard Config'!$B$7&amp;"="""&amp;N61&amp;"""","")&amp;IF(O61&lt;&gt;"",IF(COUNTA($E61:$N61)&gt;0," OR ","")&amp;'Dashboard Config'!$B$7&amp;"="""&amp;O61&amp;"""","")&amp;IF(P61&lt;&gt;"",IF(COUNTA($E61:$O61)&gt;0," OR ","")&amp;'Dashboard Config'!$B$7&amp;"="""&amp;P61&amp;"""","")&amp;IF(Q61&lt;&gt;"",IF(COUNTA($E61:$P61)&gt;0," OR ","")&amp;'Dashboard Config'!$B$7&amp;"="""&amp;Q61&amp;"""","")&amp;IF(R61&lt;&gt;"",IF(COUNTA($E61:$Q61)&gt;0," OR ","")&amp;'Dashboard Config'!$B$7&amp;"="""&amp;R61&amp;"""","")&amp;IF(S61&lt;&gt;"",IF(COUNTA($E61:$R61)&gt;0," OR ","")&amp;'Dashboard Config'!$B$7&amp;"="""&amp;S61&amp;"""","")&amp;IF(T61&lt;&gt;"",IF(COUNTA($E61:$S61)&gt;0," OR ","")&amp;'Dashboard Config'!$B$7&amp;"="""&amp;T61&amp;"""","")&amp;IF(U61&lt;&gt;"",IF(COUNTA($E61:$T61)&gt;0," OR ","")&amp;'Dashboard Config'!$B$7&amp;"="""&amp;U61&amp;"""","")&amp;IF(V61&lt;&gt;"",IF(COUNTA($E61:$U61)&gt;0," OR ","")&amp;'Dashboard Config'!$B$7&amp;"="""&amp;V61&amp;"""","")&amp;IF(W61&lt;&gt;"",IF(COUNTA($E61:$V61)&gt;0," OR ","")&amp;'Dashboard Config'!$B$7&amp;"="""&amp;W61&amp;"""","")&amp;IF(X61&lt;&gt;"",IF(COUNTA($E61:$W61)&gt;0," OR ","")&amp;'Dashboard Config'!$B$7&amp;"="""&amp;X61&amp;"""","")&amp;IF(Y61&lt;&gt;"",IF(COUNTA($E61:$X61)&gt;0," OR ","")&amp;'Dashboard Config'!$B$7&amp;"="""&amp;Y61&amp;"""","")&amp;IF(Z61&lt;&gt;"",IF(COUNTA($E61:$Y61)&gt;0," OR ","")&amp;'Dashboard Config'!$B$7&amp;"="""&amp;Z61&amp;"""","")&amp;IF(AA61&lt;&gt;"",IF(COUNTA($E61:$Z61)&gt;0," OR ","")&amp;'Dashboard Config'!$B$7&amp;"="""&amp;AA61&amp;"""","")&amp;IF(AB61&lt;&gt;"",IF(COUNTA($E61:$AA61)&gt;0," OR ","")&amp;'Dashboard Config'!$B$7&amp;"="""&amp;AB61&amp;"""","")&amp;IF(AC61&lt;&gt;"",IF(COUNTA($E61:$AB61)&gt;0," OR ","")&amp;AC61,"")&amp;")")</x:f>
      </x:c>
      <x:c r="AE61" s="48" t="str">
        <x:f>IF($AD61="","",CHAR(123)&amp;CHAR(34)&amp;"label"&amp;CHAR(34)&amp;":"&amp;CHAR(34)&amp;$C61&amp;CHAR(34)&amp;","&amp;CHAR(34)&amp;"value"&amp;CHAR(34)&amp;":"&amp;CHAR(34)&amp;SUBSTITUTE($AD61,CHAR(34),CHAR(92)&amp;CHAR(34))&amp;CHAR(34)&amp;CHAR(125))</x:f>
      </x:c>
      <x:c r="AF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  <x:c r="AA62" s="42"/>
      <x:c r="AB62" s="42"/>
      <x:c r="AC62" s="42"/>
      <x:c r="AD62" s="48" t="str">
        <x:f>IF(OR($A62&lt;&gt;"Yes",$C62="",COUNTA($E62:$AC62)=0),"","("&amp;IF(E62&lt;&gt;"",'Dashboard Config'!$B$6&amp;"="""&amp;E62&amp;"""","")&amp;IF(F62&lt;&gt;"",IF(COUNTA($E62:$E62)&gt;0," OR ","")&amp;'Dashboard Config'!$B$6&amp;"="""&amp;F62&amp;"""","")&amp;IF(G62&lt;&gt;"",IF(COUNTA($E62:$F62)&gt;0," OR ","")&amp;'Dashboard Config'!$B$6&amp;"="""&amp;G62&amp;"""","")&amp;IF(H62&lt;&gt;"",IF(COUNTA($E62:$G62)&gt;0," OR ","")&amp;'Dashboard Config'!$B$6&amp;"="""&amp;H62&amp;"""","")&amp;IF(I62&lt;&gt;"",IF(COUNTA($E62:$H62)&gt;0," OR ","")&amp;'Dashboard Config'!$B$6&amp;"="""&amp;I62&amp;"""","")&amp;IF(J62&lt;&gt;"",IF(COUNTA($E62:$I62)&gt;0," OR ","")&amp;'Dashboard Config'!$B$6&amp;"="""&amp;J62&amp;"""","")&amp;IF(K62&lt;&gt;"",IF(COUNTA($E62:$J62)&gt;0," OR ","")&amp;'Dashboard Config'!$B$6&amp;"="""&amp;K62&amp;"""","")&amp;IF(L62&lt;&gt;"",IF(COUNTA($E62:$K62)&gt;0," OR ","")&amp;'Dashboard Config'!$B$6&amp;"="""&amp;L62&amp;"""","")&amp;IF(M62&lt;&gt;"",IF(COUNTA($E62:$L62)&gt;0," OR ","")&amp;'Dashboard Config'!$B$7&amp;"="""&amp;M62&amp;"""","")&amp;IF(N62&lt;&gt;"",IF(COUNTA($E62:$M62)&gt;0," OR ","")&amp;'Dashboard Config'!$B$7&amp;"="""&amp;N62&amp;"""","")&amp;IF(O62&lt;&gt;"",IF(COUNTA($E62:$N62)&gt;0," OR ","")&amp;'Dashboard Config'!$B$7&amp;"="""&amp;O62&amp;"""","")&amp;IF(P62&lt;&gt;"",IF(COUNTA($E62:$O62)&gt;0," OR ","")&amp;'Dashboard Config'!$B$7&amp;"="""&amp;P62&amp;"""","")&amp;IF(Q62&lt;&gt;"",IF(COUNTA($E62:$P62)&gt;0," OR ","")&amp;'Dashboard Config'!$B$7&amp;"="""&amp;Q62&amp;"""","")&amp;IF(R62&lt;&gt;"",IF(COUNTA($E62:$Q62)&gt;0," OR ","")&amp;'Dashboard Config'!$B$7&amp;"="""&amp;R62&amp;"""","")&amp;IF(S62&lt;&gt;"",IF(COUNTA($E62:$R62)&gt;0," OR ","")&amp;'Dashboard Config'!$B$7&amp;"="""&amp;S62&amp;"""","")&amp;IF(T62&lt;&gt;"",IF(COUNTA($E62:$S62)&gt;0," OR ","")&amp;'Dashboard Config'!$B$7&amp;"="""&amp;T62&amp;"""","")&amp;IF(U62&lt;&gt;"",IF(COUNTA($E62:$T62)&gt;0," OR ","")&amp;'Dashboard Config'!$B$7&amp;"="""&amp;U62&amp;"""","")&amp;IF(V62&lt;&gt;"",IF(COUNTA($E62:$U62)&gt;0," OR ","")&amp;'Dashboard Config'!$B$7&amp;"="""&amp;V62&amp;"""","")&amp;IF(W62&lt;&gt;"",IF(COUNTA($E62:$V62)&gt;0," OR ","")&amp;'Dashboard Config'!$B$7&amp;"="""&amp;W62&amp;"""","")&amp;IF(X62&lt;&gt;"",IF(COUNTA($E62:$W62)&gt;0," OR ","")&amp;'Dashboard Config'!$B$7&amp;"="""&amp;X62&amp;"""","")&amp;IF(Y62&lt;&gt;"",IF(COUNTA($E62:$X62)&gt;0," OR ","")&amp;'Dashboard Config'!$B$7&amp;"="""&amp;Y62&amp;"""","")&amp;IF(Z62&lt;&gt;"",IF(COUNTA($E62:$Y62)&gt;0," OR ","")&amp;'Dashboard Config'!$B$7&amp;"="""&amp;Z62&amp;"""","")&amp;IF(AA62&lt;&gt;"",IF(COUNTA($E62:$Z62)&gt;0," OR ","")&amp;'Dashboard Config'!$B$7&amp;"="""&amp;AA62&amp;"""","")&amp;IF(AB62&lt;&gt;"",IF(COUNTA($E62:$AA62)&gt;0," OR ","")&amp;'Dashboard Config'!$B$7&amp;"="""&amp;AB62&amp;"""","")&amp;IF(AC62&lt;&gt;"",IF(COUNTA($E62:$AB62)&gt;0," OR ","")&amp;AC62,"")&amp;")")</x:f>
      </x:c>
      <x:c r="AE62" s="48" t="str">
        <x:f>IF($AD62="","",CHAR(123)&amp;CHAR(34)&amp;"label"&amp;CHAR(34)&amp;":"&amp;CHAR(34)&amp;$C62&amp;CHAR(34)&amp;","&amp;CHAR(34)&amp;"value"&amp;CHAR(34)&amp;":"&amp;CHAR(34)&amp;SUBSTITUTE($AD62,CHAR(34),CHAR(92)&amp;CHAR(34))&amp;CHAR(34)&amp;CHAR(125))</x:f>
      </x:c>
      <x:c r="AF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  <x:c r="AA63" s="42"/>
      <x:c r="AB63" s="42"/>
      <x:c r="AC63" s="42"/>
      <x:c r="AD63" s="48" t="str">
        <x:f>IF(OR($A63&lt;&gt;"Yes",$C63="",COUNTA($E63:$AC63)=0),"","("&amp;IF(E63&lt;&gt;"",'Dashboard Config'!$B$6&amp;"="""&amp;E63&amp;"""","")&amp;IF(F63&lt;&gt;"",IF(COUNTA($E63:$E63)&gt;0," OR ","")&amp;'Dashboard Config'!$B$6&amp;"="""&amp;F63&amp;"""","")&amp;IF(G63&lt;&gt;"",IF(COUNTA($E63:$F63)&gt;0," OR ","")&amp;'Dashboard Config'!$B$6&amp;"="""&amp;G63&amp;"""","")&amp;IF(H63&lt;&gt;"",IF(COUNTA($E63:$G63)&gt;0," OR ","")&amp;'Dashboard Config'!$B$6&amp;"="""&amp;H63&amp;"""","")&amp;IF(I63&lt;&gt;"",IF(COUNTA($E63:$H63)&gt;0," OR ","")&amp;'Dashboard Config'!$B$6&amp;"="""&amp;I63&amp;"""","")&amp;IF(J63&lt;&gt;"",IF(COUNTA($E63:$I63)&gt;0," OR ","")&amp;'Dashboard Config'!$B$6&amp;"="""&amp;J63&amp;"""","")&amp;IF(K63&lt;&gt;"",IF(COUNTA($E63:$J63)&gt;0," OR ","")&amp;'Dashboard Config'!$B$6&amp;"="""&amp;K63&amp;"""","")&amp;IF(L63&lt;&gt;"",IF(COUNTA($E63:$K63)&gt;0," OR ","")&amp;'Dashboard Config'!$B$6&amp;"="""&amp;L63&amp;"""","")&amp;IF(M63&lt;&gt;"",IF(COUNTA($E63:$L63)&gt;0," OR ","")&amp;'Dashboard Config'!$B$7&amp;"="""&amp;M63&amp;"""","")&amp;IF(N63&lt;&gt;"",IF(COUNTA($E63:$M63)&gt;0," OR ","")&amp;'Dashboard Config'!$B$7&amp;"="""&amp;N63&amp;"""","")&amp;IF(O63&lt;&gt;"",IF(COUNTA($E63:$N63)&gt;0," OR ","")&amp;'Dashboard Config'!$B$7&amp;"="""&amp;O63&amp;"""","")&amp;IF(P63&lt;&gt;"",IF(COUNTA($E63:$O63)&gt;0," OR ","")&amp;'Dashboard Config'!$B$7&amp;"="""&amp;P63&amp;"""","")&amp;IF(Q63&lt;&gt;"",IF(COUNTA($E63:$P63)&gt;0," OR ","")&amp;'Dashboard Config'!$B$7&amp;"="""&amp;Q63&amp;"""","")&amp;IF(R63&lt;&gt;"",IF(COUNTA($E63:$Q63)&gt;0," OR ","")&amp;'Dashboard Config'!$B$7&amp;"="""&amp;R63&amp;"""","")&amp;IF(S63&lt;&gt;"",IF(COUNTA($E63:$R63)&gt;0," OR ","")&amp;'Dashboard Config'!$B$7&amp;"="""&amp;S63&amp;"""","")&amp;IF(T63&lt;&gt;"",IF(COUNTA($E63:$S63)&gt;0," OR ","")&amp;'Dashboard Config'!$B$7&amp;"="""&amp;T63&amp;"""","")&amp;IF(U63&lt;&gt;"",IF(COUNTA($E63:$T63)&gt;0," OR ","")&amp;'Dashboard Config'!$B$7&amp;"="""&amp;U63&amp;"""","")&amp;IF(V63&lt;&gt;"",IF(COUNTA($E63:$U63)&gt;0," OR ","")&amp;'Dashboard Config'!$B$7&amp;"="""&amp;V63&amp;"""","")&amp;IF(W63&lt;&gt;"",IF(COUNTA($E63:$V63)&gt;0," OR ","")&amp;'Dashboard Config'!$B$7&amp;"="""&amp;W63&amp;"""","")&amp;IF(X63&lt;&gt;"",IF(COUNTA($E63:$W63)&gt;0," OR ","")&amp;'Dashboard Config'!$B$7&amp;"="""&amp;X63&amp;"""","")&amp;IF(Y63&lt;&gt;"",IF(COUNTA($E63:$X63)&gt;0," OR ","")&amp;'Dashboard Config'!$B$7&amp;"="""&amp;Y63&amp;"""","")&amp;IF(Z63&lt;&gt;"",IF(COUNTA($E63:$Y63)&gt;0," OR ","")&amp;'Dashboard Config'!$B$7&amp;"="""&amp;Z63&amp;"""","")&amp;IF(AA63&lt;&gt;"",IF(COUNTA($E63:$Z63)&gt;0," OR ","")&amp;'Dashboard Config'!$B$7&amp;"="""&amp;AA63&amp;"""","")&amp;IF(AB63&lt;&gt;"",IF(COUNTA($E63:$AA63)&gt;0," OR ","")&amp;'Dashboard Config'!$B$7&amp;"="""&amp;AB63&amp;"""","")&amp;IF(AC63&lt;&gt;"",IF(COUNTA($E63:$AB63)&gt;0," OR ","")&amp;AC63,"")&amp;")")</x:f>
      </x:c>
      <x:c r="AE63" s="48" t="str">
        <x:f>IF($AD63="","",CHAR(123)&amp;CHAR(34)&amp;"label"&amp;CHAR(34)&amp;":"&amp;CHAR(34)&amp;$C63&amp;CHAR(34)&amp;","&amp;CHAR(34)&amp;"value"&amp;CHAR(34)&amp;":"&amp;CHAR(34)&amp;SUBSTITUTE($AD63,CHAR(34),CHAR(92)&amp;CHAR(34))&amp;CHAR(34)&amp;CHAR(125))</x:f>
      </x:c>
      <x:c r="AF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  <x:c r="AA64" s="42"/>
      <x:c r="AB64" s="42"/>
      <x:c r="AC64" s="42"/>
      <x:c r="AD64" s="48" t="str">
        <x:f>IF(OR($A64&lt;&gt;"Yes",$C64="",COUNTA($E64:$AC64)=0),"","("&amp;IF(E64&lt;&gt;"",'Dashboard Config'!$B$6&amp;"="""&amp;E64&amp;"""","")&amp;IF(F64&lt;&gt;"",IF(COUNTA($E64:$E64)&gt;0," OR ","")&amp;'Dashboard Config'!$B$6&amp;"="""&amp;F64&amp;"""","")&amp;IF(G64&lt;&gt;"",IF(COUNTA($E64:$F64)&gt;0," OR ","")&amp;'Dashboard Config'!$B$6&amp;"="""&amp;G64&amp;"""","")&amp;IF(H64&lt;&gt;"",IF(COUNTA($E64:$G64)&gt;0," OR ","")&amp;'Dashboard Config'!$B$6&amp;"="""&amp;H64&amp;"""","")&amp;IF(I64&lt;&gt;"",IF(COUNTA($E64:$H64)&gt;0," OR ","")&amp;'Dashboard Config'!$B$6&amp;"="""&amp;I64&amp;"""","")&amp;IF(J64&lt;&gt;"",IF(COUNTA($E64:$I64)&gt;0," OR ","")&amp;'Dashboard Config'!$B$6&amp;"="""&amp;J64&amp;"""","")&amp;IF(K64&lt;&gt;"",IF(COUNTA($E64:$J64)&gt;0," OR ","")&amp;'Dashboard Config'!$B$6&amp;"="""&amp;K64&amp;"""","")&amp;IF(L64&lt;&gt;"",IF(COUNTA($E64:$K64)&gt;0," OR ","")&amp;'Dashboard Config'!$B$6&amp;"="""&amp;L64&amp;"""","")&amp;IF(M64&lt;&gt;"",IF(COUNTA($E64:$L64)&gt;0," OR ","")&amp;'Dashboard Config'!$B$7&amp;"="""&amp;M64&amp;"""","")&amp;IF(N64&lt;&gt;"",IF(COUNTA($E64:$M64)&gt;0," OR ","")&amp;'Dashboard Config'!$B$7&amp;"="""&amp;N64&amp;"""","")&amp;IF(O64&lt;&gt;"",IF(COUNTA($E64:$N64)&gt;0," OR ","")&amp;'Dashboard Config'!$B$7&amp;"="""&amp;O64&amp;"""","")&amp;IF(P64&lt;&gt;"",IF(COUNTA($E64:$O64)&gt;0," OR ","")&amp;'Dashboard Config'!$B$7&amp;"="""&amp;P64&amp;"""","")&amp;IF(Q64&lt;&gt;"",IF(COUNTA($E64:$P64)&gt;0," OR ","")&amp;'Dashboard Config'!$B$7&amp;"="""&amp;Q64&amp;"""","")&amp;IF(R64&lt;&gt;"",IF(COUNTA($E64:$Q64)&gt;0," OR ","")&amp;'Dashboard Config'!$B$7&amp;"="""&amp;R64&amp;"""","")&amp;IF(S64&lt;&gt;"",IF(COUNTA($E64:$R64)&gt;0," OR ","")&amp;'Dashboard Config'!$B$7&amp;"="""&amp;S64&amp;"""","")&amp;IF(T64&lt;&gt;"",IF(COUNTA($E64:$S64)&gt;0," OR ","")&amp;'Dashboard Config'!$B$7&amp;"="""&amp;T64&amp;"""","")&amp;IF(U64&lt;&gt;"",IF(COUNTA($E64:$T64)&gt;0," OR ","")&amp;'Dashboard Config'!$B$7&amp;"="""&amp;U64&amp;"""","")&amp;IF(V64&lt;&gt;"",IF(COUNTA($E64:$U64)&gt;0," OR ","")&amp;'Dashboard Config'!$B$7&amp;"="""&amp;V64&amp;"""","")&amp;IF(W64&lt;&gt;"",IF(COUNTA($E64:$V64)&gt;0," OR ","")&amp;'Dashboard Config'!$B$7&amp;"="""&amp;W64&amp;"""","")&amp;IF(X64&lt;&gt;"",IF(COUNTA($E64:$W64)&gt;0," OR ","")&amp;'Dashboard Config'!$B$7&amp;"="""&amp;X64&amp;"""","")&amp;IF(Y64&lt;&gt;"",IF(COUNTA($E64:$X64)&gt;0," OR ","")&amp;'Dashboard Config'!$B$7&amp;"="""&amp;Y64&amp;"""","")&amp;IF(Z64&lt;&gt;"",IF(COUNTA($E64:$Y64)&gt;0," OR ","")&amp;'Dashboard Config'!$B$7&amp;"="""&amp;Z64&amp;"""","")&amp;IF(AA64&lt;&gt;"",IF(COUNTA($E64:$Z64)&gt;0," OR ","")&amp;'Dashboard Config'!$B$7&amp;"="""&amp;AA64&amp;"""","")&amp;IF(AB64&lt;&gt;"",IF(COUNTA($E64:$AA64)&gt;0," OR ","")&amp;'Dashboard Config'!$B$7&amp;"="""&amp;AB64&amp;"""","")&amp;IF(AC64&lt;&gt;"",IF(COUNTA($E64:$AB64)&gt;0," OR ","")&amp;AC64,"")&amp;")")</x:f>
      </x:c>
      <x:c r="AE64" s="48" t="str">
        <x:f>IF($AD64="","",CHAR(123)&amp;CHAR(34)&amp;"label"&amp;CHAR(34)&amp;":"&amp;CHAR(34)&amp;$C64&amp;CHAR(34)&amp;","&amp;CHAR(34)&amp;"value"&amp;CHAR(34)&amp;":"&amp;CHAR(34)&amp;SUBSTITUTE($AD64,CHAR(34),CHAR(92)&amp;CHAR(34))&amp;CHAR(34)&amp;CHAR(125))</x:f>
      </x:c>
      <x:c r="AF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  <x:c r="AA65" s="42"/>
      <x:c r="AB65" s="42"/>
      <x:c r="AC65" s="42"/>
      <x:c r="AD65" s="48" t="str">
        <x:f>IF(OR($A65&lt;&gt;"Yes",$C65="",COUNTA($E65:$AC65)=0),"","("&amp;IF(E65&lt;&gt;"",'Dashboard Config'!$B$6&amp;"="""&amp;E65&amp;"""","")&amp;IF(F65&lt;&gt;"",IF(COUNTA($E65:$E65)&gt;0," OR ","")&amp;'Dashboard Config'!$B$6&amp;"="""&amp;F65&amp;"""","")&amp;IF(G65&lt;&gt;"",IF(COUNTA($E65:$F65)&gt;0," OR ","")&amp;'Dashboard Config'!$B$6&amp;"="""&amp;G65&amp;"""","")&amp;IF(H65&lt;&gt;"",IF(COUNTA($E65:$G65)&gt;0," OR ","")&amp;'Dashboard Config'!$B$6&amp;"="""&amp;H65&amp;"""","")&amp;IF(I65&lt;&gt;"",IF(COUNTA($E65:$H65)&gt;0," OR ","")&amp;'Dashboard Config'!$B$6&amp;"="""&amp;I65&amp;"""","")&amp;IF(J65&lt;&gt;"",IF(COUNTA($E65:$I65)&gt;0," OR ","")&amp;'Dashboard Config'!$B$6&amp;"="""&amp;J65&amp;"""","")&amp;IF(K65&lt;&gt;"",IF(COUNTA($E65:$J65)&gt;0," OR ","")&amp;'Dashboard Config'!$B$6&amp;"="""&amp;K65&amp;"""","")&amp;IF(L65&lt;&gt;"",IF(COUNTA($E65:$K65)&gt;0," OR ","")&amp;'Dashboard Config'!$B$6&amp;"="""&amp;L65&amp;"""","")&amp;IF(M65&lt;&gt;"",IF(COUNTA($E65:$L65)&gt;0," OR ","")&amp;'Dashboard Config'!$B$7&amp;"="""&amp;M65&amp;"""","")&amp;IF(N65&lt;&gt;"",IF(COUNTA($E65:$M65)&gt;0," OR ","")&amp;'Dashboard Config'!$B$7&amp;"="""&amp;N65&amp;"""","")&amp;IF(O65&lt;&gt;"",IF(COUNTA($E65:$N65)&gt;0," OR ","")&amp;'Dashboard Config'!$B$7&amp;"="""&amp;O65&amp;"""","")&amp;IF(P65&lt;&gt;"",IF(COUNTA($E65:$O65)&gt;0," OR ","")&amp;'Dashboard Config'!$B$7&amp;"="""&amp;P65&amp;"""","")&amp;IF(Q65&lt;&gt;"",IF(COUNTA($E65:$P65)&gt;0," OR ","")&amp;'Dashboard Config'!$B$7&amp;"="""&amp;Q65&amp;"""","")&amp;IF(R65&lt;&gt;"",IF(COUNTA($E65:$Q65)&gt;0," OR ","")&amp;'Dashboard Config'!$B$7&amp;"="""&amp;R65&amp;"""","")&amp;IF(S65&lt;&gt;"",IF(COUNTA($E65:$R65)&gt;0," OR ","")&amp;'Dashboard Config'!$B$7&amp;"="""&amp;S65&amp;"""","")&amp;IF(T65&lt;&gt;"",IF(COUNTA($E65:$S65)&gt;0," OR ","")&amp;'Dashboard Config'!$B$7&amp;"="""&amp;T65&amp;"""","")&amp;IF(U65&lt;&gt;"",IF(COUNTA($E65:$T65)&gt;0," OR ","")&amp;'Dashboard Config'!$B$7&amp;"="""&amp;U65&amp;"""","")&amp;IF(V65&lt;&gt;"",IF(COUNTA($E65:$U65)&gt;0," OR ","")&amp;'Dashboard Config'!$B$7&amp;"="""&amp;V65&amp;"""","")&amp;IF(W65&lt;&gt;"",IF(COUNTA($E65:$V65)&gt;0," OR ","")&amp;'Dashboard Config'!$B$7&amp;"="""&amp;W65&amp;"""","")&amp;IF(X65&lt;&gt;"",IF(COUNTA($E65:$W65)&gt;0," OR ","")&amp;'Dashboard Config'!$B$7&amp;"="""&amp;X65&amp;"""","")&amp;IF(Y65&lt;&gt;"",IF(COUNTA($E65:$X65)&gt;0," OR ","")&amp;'Dashboard Config'!$B$7&amp;"="""&amp;Y65&amp;"""","")&amp;IF(Z65&lt;&gt;"",IF(COUNTA($E65:$Y65)&gt;0," OR ","")&amp;'Dashboard Config'!$B$7&amp;"="""&amp;Z65&amp;"""","")&amp;IF(AA65&lt;&gt;"",IF(COUNTA($E65:$Z65)&gt;0," OR ","")&amp;'Dashboard Config'!$B$7&amp;"="""&amp;AA65&amp;"""","")&amp;IF(AB65&lt;&gt;"",IF(COUNTA($E65:$AA65)&gt;0," OR ","")&amp;'Dashboard Config'!$B$7&amp;"="""&amp;AB65&amp;"""","")&amp;IF(AC65&lt;&gt;"",IF(COUNTA($E65:$AB65)&gt;0," OR ","")&amp;AC65,"")&amp;")")</x:f>
      </x:c>
      <x:c r="AE65" s="48" t="str">
        <x:f>IF($AD65="","",CHAR(123)&amp;CHAR(34)&amp;"label"&amp;CHAR(34)&amp;":"&amp;CHAR(34)&amp;$C65&amp;CHAR(34)&amp;","&amp;CHAR(34)&amp;"value"&amp;CHAR(34)&amp;":"&amp;CHAR(34)&amp;SUBSTITUTE($AD65,CHAR(34),CHAR(92)&amp;CHAR(34))&amp;CHAR(34)&amp;CHAR(125))</x:f>
      </x:c>
      <x:c r="AF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  <x:c r="AA66" s="42"/>
      <x:c r="AB66" s="42"/>
      <x:c r="AC66" s="42"/>
      <x:c r="AD66" s="48" t="str">
        <x:f>IF(OR($A66&lt;&gt;"Yes",$C66="",COUNTA($E66:$AC66)=0),"","("&amp;IF(E66&lt;&gt;"",'Dashboard Config'!$B$6&amp;"="""&amp;E66&amp;"""","")&amp;IF(F66&lt;&gt;"",IF(COUNTA($E66:$E66)&gt;0," OR ","")&amp;'Dashboard Config'!$B$6&amp;"="""&amp;F66&amp;"""","")&amp;IF(G66&lt;&gt;"",IF(COUNTA($E66:$F66)&gt;0," OR ","")&amp;'Dashboard Config'!$B$6&amp;"="""&amp;G66&amp;"""","")&amp;IF(H66&lt;&gt;"",IF(COUNTA($E66:$G66)&gt;0," OR ","")&amp;'Dashboard Config'!$B$6&amp;"="""&amp;H66&amp;"""","")&amp;IF(I66&lt;&gt;"",IF(COUNTA($E66:$H66)&gt;0," OR ","")&amp;'Dashboard Config'!$B$6&amp;"="""&amp;I66&amp;"""","")&amp;IF(J66&lt;&gt;"",IF(COUNTA($E66:$I66)&gt;0," OR ","")&amp;'Dashboard Config'!$B$6&amp;"="""&amp;J66&amp;"""","")&amp;IF(K66&lt;&gt;"",IF(COUNTA($E66:$J66)&gt;0," OR ","")&amp;'Dashboard Config'!$B$6&amp;"="""&amp;K66&amp;"""","")&amp;IF(L66&lt;&gt;"",IF(COUNTA($E66:$K66)&gt;0," OR ","")&amp;'Dashboard Config'!$B$6&amp;"="""&amp;L66&amp;"""","")&amp;IF(M66&lt;&gt;"",IF(COUNTA($E66:$L66)&gt;0," OR ","")&amp;'Dashboard Config'!$B$7&amp;"="""&amp;M66&amp;"""","")&amp;IF(N66&lt;&gt;"",IF(COUNTA($E66:$M66)&gt;0," OR ","")&amp;'Dashboard Config'!$B$7&amp;"="""&amp;N66&amp;"""","")&amp;IF(O66&lt;&gt;"",IF(COUNTA($E66:$N66)&gt;0," OR ","")&amp;'Dashboard Config'!$B$7&amp;"="""&amp;O66&amp;"""","")&amp;IF(P66&lt;&gt;"",IF(COUNTA($E66:$O66)&gt;0," OR ","")&amp;'Dashboard Config'!$B$7&amp;"="""&amp;P66&amp;"""","")&amp;IF(Q66&lt;&gt;"",IF(COUNTA($E66:$P66)&gt;0," OR ","")&amp;'Dashboard Config'!$B$7&amp;"="""&amp;Q66&amp;"""","")&amp;IF(R66&lt;&gt;"",IF(COUNTA($E66:$Q66)&gt;0," OR ","")&amp;'Dashboard Config'!$B$7&amp;"="""&amp;R66&amp;"""","")&amp;IF(S66&lt;&gt;"",IF(COUNTA($E66:$R66)&gt;0," OR ","")&amp;'Dashboard Config'!$B$7&amp;"="""&amp;S66&amp;"""","")&amp;IF(T66&lt;&gt;"",IF(COUNTA($E66:$S66)&gt;0," OR ","")&amp;'Dashboard Config'!$B$7&amp;"="""&amp;T66&amp;"""","")&amp;IF(U66&lt;&gt;"",IF(COUNTA($E66:$T66)&gt;0," OR ","")&amp;'Dashboard Config'!$B$7&amp;"="""&amp;U66&amp;"""","")&amp;IF(V66&lt;&gt;"",IF(COUNTA($E66:$U66)&gt;0," OR ","")&amp;'Dashboard Config'!$B$7&amp;"="""&amp;V66&amp;"""","")&amp;IF(W66&lt;&gt;"",IF(COUNTA($E66:$V66)&gt;0," OR ","")&amp;'Dashboard Config'!$B$7&amp;"="""&amp;W66&amp;"""","")&amp;IF(X66&lt;&gt;"",IF(COUNTA($E66:$W66)&gt;0," OR ","")&amp;'Dashboard Config'!$B$7&amp;"="""&amp;X66&amp;"""","")&amp;IF(Y66&lt;&gt;"",IF(COUNTA($E66:$X66)&gt;0," OR ","")&amp;'Dashboard Config'!$B$7&amp;"="""&amp;Y66&amp;"""","")&amp;IF(Z66&lt;&gt;"",IF(COUNTA($E66:$Y66)&gt;0," OR ","")&amp;'Dashboard Config'!$B$7&amp;"="""&amp;Z66&amp;"""","")&amp;IF(AA66&lt;&gt;"",IF(COUNTA($E66:$Z66)&gt;0," OR ","")&amp;'Dashboard Config'!$B$7&amp;"="""&amp;AA66&amp;"""","")&amp;IF(AB66&lt;&gt;"",IF(COUNTA($E66:$AA66)&gt;0," OR ","")&amp;'Dashboard Config'!$B$7&amp;"="""&amp;AB66&amp;"""","")&amp;IF(AC66&lt;&gt;"",IF(COUNTA($E66:$AB66)&gt;0," OR ","")&amp;AC66,"")&amp;")")</x:f>
      </x:c>
      <x:c r="AE66" s="48" t="str">
        <x:f>IF($AD66="","",CHAR(123)&amp;CHAR(34)&amp;"label"&amp;CHAR(34)&amp;":"&amp;CHAR(34)&amp;$C66&amp;CHAR(34)&amp;","&amp;CHAR(34)&amp;"value"&amp;CHAR(34)&amp;":"&amp;CHAR(34)&amp;SUBSTITUTE($AD66,CHAR(34),CHAR(92)&amp;CHAR(34))&amp;CHAR(34)&amp;CHAR(125))</x:f>
      </x:c>
      <x:c r="AF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  <x:c r="AA67" s="42"/>
      <x:c r="AB67" s="42"/>
      <x:c r="AC67" s="42"/>
      <x:c r="AD67" s="48" t="str">
        <x:f>IF(OR($A67&lt;&gt;"Yes",$C67="",COUNTA($E67:$AC67)=0),"","("&amp;IF(E67&lt;&gt;"",'Dashboard Config'!$B$6&amp;"="""&amp;E67&amp;"""","")&amp;IF(F67&lt;&gt;"",IF(COUNTA($E67:$E67)&gt;0," OR ","")&amp;'Dashboard Config'!$B$6&amp;"="""&amp;F67&amp;"""","")&amp;IF(G67&lt;&gt;"",IF(COUNTA($E67:$F67)&gt;0," OR ","")&amp;'Dashboard Config'!$B$6&amp;"="""&amp;G67&amp;"""","")&amp;IF(H67&lt;&gt;"",IF(COUNTA($E67:$G67)&gt;0," OR ","")&amp;'Dashboard Config'!$B$6&amp;"="""&amp;H67&amp;"""","")&amp;IF(I67&lt;&gt;"",IF(COUNTA($E67:$H67)&gt;0," OR ","")&amp;'Dashboard Config'!$B$6&amp;"="""&amp;I67&amp;"""","")&amp;IF(J67&lt;&gt;"",IF(COUNTA($E67:$I67)&gt;0," OR ","")&amp;'Dashboard Config'!$B$6&amp;"="""&amp;J67&amp;"""","")&amp;IF(K67&lt;&gt;"",IF(COUNTA($E67:$J67)&gt;0," OR ","")&amp;'Dashboard Config'!$B$6&amp;"="""&amp;K67&amp;"""","")&amp;IF(L67&lt;&gt;"",IF(COUNTA($E67:$K67)&gt;0," OR ","")&amp;'Dashboard Config'!$B$6&amp;"="""&amp;L67&amp;"""","")&amp;IF(M67&lt;&gt;"",IF(COUNTA($E67:$L67)&gt;0," OR ","")&amp;'Dashboard Config'!$B$7&amp;"="""&amp;M67&amp;"""","")&amp;IF(N67&lt;&gt;"",IF(COUNTA($E67:$M67)&gt;0," OR ","")&amp;'Dashboard Config'!$B$7&amp;"="""&amp;N67&amp;"""","")&amp;IF(O67&lt;&gt;"",IF(COUNTA($E67:$N67)&gt;0," OR ","")&amp;'Dashboard Config'!$B$7&amp;"="""&amp;O67&amp;"""","")&amp;IF(P67&lt;&gt;"",IF(COUNTA($E67:$O67)&gt;0," OR ","")&amp;'Dashboard Config'!$B$7&amp;"="""&amp;P67&amp;"""","")&amp;IF(Q67&lt;&gt;"",IF(COUNTA($E67:$P67)&gt;0," OR ","")&amp;'Dashboard Config'!$B$7&amp;"="""&amp;Q67&amp;"""","")&amp;IF(R67&lt;&gt;"",IF(COUNTA($E67:$Q67)&gt;0," OR ","")&amp;'Dashboard Config'!$B$7&amp;"="""&amp;R67&amp;"""","")&amp;IF(S67&lt;&gt;"",IF(COUNTA($E67:$R67)&gt;0," OR ","")&amp;'Dashboard Config'!$B$7&amp;"="""&amp;S67&amp;"""","")&amp;IF(T67&lt;&gt;"",IF(COUNTA($E67:$S67)&gt;0," OR ","")&amp;'Dashboard Config'!$B$7&amp;"="""&amp;T67&amp;"""","")&amp;IF(U67&lt;&gt;"",IF(COUNTA($E67:$T67)&gt;0," OR ","")&amp;'Dashboard Config'!$B$7&amp;"="""&amp;U67&amp;"""","")&amp;IF(V67&lt;&gt;"",IF(COUNTA($E67:$U67)&gt;0," OR ","")&amp;'Dashboard Config'!$B$7&amp;"="""&amp;V67&amp;"""","")&amp;IF(W67&lt;&gt;"",IF(COUNTA($E67:$V67)&gt;0," OR ","")&amp;'Dashboard Config'!$B$7&amp;"="""&amp;W67&amp;"""","")&amp;IF(X67&lt;&gt;"",IF(COUNTA($E67:$W67)&gt;0," OR ","")&amp;'Dashboard Config'!$B$7&amp;"="""&amp;X67&amp;"""","")&amp;IF(Y67&lt;&gt;"",IF(COUNTA($E67:$X67)&gt;0," OR ","")&amp;'Dashboard Config'!$B$7&amp;"="""&amp;Y67&amp;"""","")&amp;IF(Z67&lt;&gt;"",IF(COUNTA($E67:$Y67)&gt;0," OR ","")&amp;'Dashboard Config'!$B$7&amp;"="""&amp;Z67&amp;"""","")&amp;IF(AA67&lt;&gt;"",IF(COUNTA($E67:$Z67)&gt;0," OR ","")&amp;'Dashboard Config'!$B$7&amp;"="""&amp;AA67&amp;"""","")&amp;IF(AB67&lt;&gt;"",IF(COUNTA($E67:$AA67)&gt;0," OR ","")&amp;'Dashboard Config'!$B$7&amp;"="""&amp;AB67&amp;"""","")&amp;IF(AC67&lt;&gt;"",IF(COUNTA($E67:$AB67)&gt;0," OR ","")&amp;AC67,"")&amp;")")</x:f>
      </x:c>
      <x:c r="AE67" s="48" t="str">
        <x:f>IF($AD67="","",CHAR(123)&amp;CHAR(34)&amp;"label"&amp;CHAR(34)&amp;":"&amp;CHAR(34)&amp;$C67&amp;CHAR(34)&amp;","&amp;CHAR(34)&amp;"value"&amp;CHAR(34)&amp;":"&amp;CHAR(34)&amp;SUBSTITUTE($AD67,CHAR(34),CHAR(92)&amp;CHAR(34))&amp;CHAR(34)&amp;CHAR(125))</x:f>
      </x:c>
      <x:c r="AF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  <x:c r="AA68" s="42"/>
      <x:c r="AB68" s="42"/>
      <x:c r="AC68" s="42"/>
      <x:c r="AD68" s="48" t="str">
        <x:f>IF(OR($A68&lt;&gt;"Yes",$C68="",COUNTA($E68:$AC68)=0),"","("&amp;IF(E68&lt;&gt;"",'Dashboard Config'!$B$6&amp;"="""&amp;E68&amp;"""","")&amp;IF(F68&lt;&gt;"",IF(COUNTA($E68:$E68)&gt;0," OR ","")&amp;'Dashboard Config'!$B$6&amp;"="""&amp;F68&amp;"""","")&amp;IF(G68&lt;&gt;"",IF(COUNTA($E68:$F68)&gt;0," OR ","")&amp;'Dashboard Config'!$B$6&amp;"="""&amp;G68&amp;"""","")&amp;IF(H68&lt;&gt;"",IF(COUNTA($E68:$G68)&gt;0," OR ","")&amp;'Dashboard Config'!$B$6&amp;"="""&amp;H68&amp;"""","")&amp;IF(I68&lt;&gt;"",IF(COUNTA($E68:$H68)&gt;0," OR ","")&amp;'Dashboard Config'!$B$6&amp;"="""&amp;I68&amp;"""","")&amp;IF(J68&lt;&gt;"",IF(COUNTA($E68:$I68)&gt;0," OR ","")&amp;'Dashboard Config'!$B$6&amp;"="""&amp;J68&amp;"""","")&amp;IF(K68&lt;&gt;"",IF(COUNTA($E68:$J68)&gt;0," OR ","")&amp;'Dashboard Config'!$B$6&amp;"="""&amp;K68&amp;"""","")&amp;IF(L68&lt;&gt;"",IF(COUNTA($E68:$K68)&gt;0," OR ","")&amp;'Dashboard Config'!$B$6&amp;"="""&amp;L68&amp;"""","")&amp;IF(M68&lt;&gt;"",IF(COUNTA($E68:$L68)&gt;0," OR ","")&amp;'Dashboard Config'!$B$7&amp;"="""&amp;M68&amp;"""","")&amp;IF(N68&lt;&gt;"",IF(COUNTA($E68:$M68)&gt;0," OR ","")&amp;'Dashboard Config'!$B$7&amp;"="""&amp;N68&amp;"""","")&amp;IF(O68&lt;&gt;"",IF(COUNTA($E68:$N68)&gt;0," OR ","")&amp;'Dashboard Config'!$B$7&amp;"="""&amp;O68&amp;"""","")&amp;IF(P68&lt;&gt;"",IF(COUNTA($E68:$O68)&gt;0," OR ","")&amp;'Dashboard Config'!$B$7&amp;"="""&amp;P68&amp;"""","")&amp;IF(Q68&lt;&gt;"",IF(COUNTA($E68:$P68)&gt;0," OR ","")&amp;'Dashboard Config'!$B$7&amp;"="""&amp;Q68&amp;"""","")&amp;IF(R68&lt;&gt;"",IF(COUNTA($E68:$Q68)&gt;0," OR ","")&amp;'Dashboard Config'!$B$7&amp;"="""&amp;R68&amp;"""","")&amp;IF(S68&lt;&gt;"",IF(COUNTA($E68:$R68)&gt;0," OR ","")&amp;'Dashboard Config'!$B$7&amp;"="""&amp;S68&amp;"""","")&amp;IF(T68&lt;&gt;"",IF(COUNTA($E68:$S68)&gt;0," OR ","")&amp;'Dashboard Config'!$B$7&amp;"="""&amp;T68&amp;"""","")&amp;IF(U68&lt;&gt;"",IF(COUNTA($E68:$T68)&gt;0," OR ","")&amp;'Dashboard Config'!$B$7&amp;"="""&amp;U68&amp;"""","")&amp;IF(V68&lt;&gt;"",IF(COUNTA($E68:$U68)&gt;0," OR ","")&amp;'Dashboard Config'!$B$7&amp;"="""&amp;V68&amp;"""","")&amp;IF(W68&lt;&gt;"",IF(COUNTA($E68:$V68)&gt;0," OR ","")&amp;'Dashboard Config'!$B$7&amp;"="""&amp;W68&amp;"""","")&amp;IF(X68&lt;&gt;"",IF(COUNTA($E68:$W68)&gt;0," OR ","")&amp;'Dashboard Config'!$B$7&amp;"="""&amp;X68&amp;"""","")&amp;IF(Y68&lt;&gt;"",IF(COUNTA($E68:$X68)&gt;0," OR ","")&amp;'Dashboard Config'!$B$7&amp;"="""&amp;Y68&amp;"""","")&amp;IF(Z68&lt;&gt;"",IF(COUNTA($E68:$Y68)&gt;0," OR ","")&amp;'Dashboard Config'!$B$7&amp;"="""&amp;Z68&amp;"""","")&amp;IF(AA68&lt;&gt;"",IF(COUNTA($E68:$Z68)&gt;0," OR ","")&amp;'Dashboard Config'!$B$7&amp;"="""&amp;AA68&amp;"""","")&amp;IF(AB68&lt;&gt;"",IF(COUNTA($E68:$AA68)&gt;0," OR ","")&amp;'Dashboard Config'!$B$7&amp;"="""&amp;AB68&amp;"""","")&amp;IF(AC68&lt;&gt;"",IF(COUNTA($E68:$AB68)&gt;0," OR ","")&amp;AC68,"")&amp;")")</x:f>
      </x:c>
      <x:c r="AE68" s="48" t="str">
        <x:f>IF($AD68="","",CHAR(123)&amp;CHAR(34)&amp;"label"&amp;CHAR(34)&amp;":"&amp;CHAR(34)&amp;$C68&amp;CHAR(34)&amp;","&amp;CHAR(34)&amp;"value"&amp;CHAR(34)&amp;":"&amp;CHAR(34)&amp;SUBSTITUTE($AD68,CHAR(34),CHAR(92)&amp;CHAR(34))&amp;CHAR(34)&amp;CHAR(125))</x:f>
      </x:c>
      <x:c r="AF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  <x:c r="AA69" s="42"/>
      <x:c r="AB69" s="42"/>
      <x:c r="AC69" s="42"/>
      <x:c r="AD69" s="48" t="str">
        <x:f>IF(OR($A69&lt;&gt;"Yes",$C69="",COUNTA($E69:$AC69)=0),"","("&amp;IF(E69&lt;&gt;"",'Dashboard Config'!$B$6&amp;"="""&amp;E69&amp;"""","")&amp;IF(F69&lt;&gt;"",IF(COUNTA($E69:$E69)&gt;0," OR ","")&amp;'Dashboard Config'!$B$6&amp;"="""&amp;F69&amp;"""","")&amp;IF(G69&lt;&gt;"",IF(COUNTA($E69:$F69)&gt;0," OR ","")&amp;'Dashboard Config'!$B$6&amp;"="""&amp;G69&amp;"""","")&amp;IF(H69&lt;&gt;"",IF(COUNTA($E69:$G69)&gt;0," OR ","")&amp;'Dashboard Config'!$B$6&amp;"="""&amp;H69&amp;"""","")&amp;IF(I69&lt;&gt;"",IF(COUNTA($E69:$H69)&gt;0," OR ","")&amp;'Dashboard Config'!$B$6&amp;"="""&amp;I69&amp;"""","")&amp;IF(J69&lt;&gt;"",IF(COUNTA($E69:$I69)&gt;0," OR ","")&amp;'Dashboard Config'!$B$6&amp;"="""&amp;J69&amp;"""","")&amp;IF(K69&lt;&gt;"",IF(COUNTA($E69:$J69)&gt;0," OR ","")&amp;'Dashboard Config'!$B$6&amp;"="""&amp;K69&amp;"""","")&amp;IF(L69&lt;&gt;"",IF(COUNTA($E69:$K69)&gt;0," OR ","")&amp;'Dashboard Config'!$B$6&amp;"="""&amp;L69&amp;"""","")&amp;IF(M69&lt;&gt;"",IF(COUNTA($E69:$L69)&gt;0," OR ","")&amp;'Dashboard Config'!$B$7&amp;"="""&amp;M69&amp;"""","")&amp;IF(N69&lt;&gt;"",IF(COUNTA($E69:$M69)&gt;0," OR ","")&amp;'Dashboard Config'!$B$7&amp;"="""&amp;N69&amp;"""","")&amp;IF(O69&lt;&gt;"",IF(COUNTA($E69:$N69)&gt;0," OR ","")&amp;'Dashboard Config'!$B$7&amp;"="""&amp;O69&amp;"""","")&amp;IF(P69&lt;&gt;"",IF(COUNTA($E69:$O69)&gt;0," OR ","")&amp;'Dashboard Config'!$B$7&amp;"="""&amp;P69&amp;"""","")&amp;IF(Q69&lt;&gt;"",IF(COUNTA($E69:$P69)&gt;0," OR ","")&amp;'Dashboard Config'!$B$7&amp;"="""&amp;Q69&amp;"""","")&amp;IF(R69&lt;&gt;"",IF(COUNTA($E69:$Q69)&gt;0," OR ","")&amp;'Dashboard Config'!$B$7&amp;"="""&amp;R69&amp;"""","")&amp;IF(S69&lt;&gt;"",IF(COUNTA($E69:$R69)&gt;0," OR ","")&amp;'Dashboard Config'!$B$7&amp;"="""&amp;S69&amp;"""","")&amp;IF(T69&lt;&gt;"",IF(COUNTA($E69:$S69)&gt;0," OR ","")&amp;'Dashboard Config'!$B$7&amp;"="""&amp;T69&amp;"""","")&amp;IF(U69&lt;&gt;"",IF(COUNTA($E69:$T69)&gt;0," OR ","")&amp;'Dashboard Config'!$B$7&amp;"="""&amp;U69&amp;"""","")&amp;IF(V69&lt;&gt;"",IF(COUNTA($E69:$U69)&gt;0," OR ","")&amp;'Dashboard Config'!$B$7&amp;"="""&amp;V69&amp;"""","")&amp;IF(W69&lt;&gt;"",IF(COUNTA($E69:$V69)&gt;0," OR ","")&amp;'Dashboard Config'!$B$7&amp;"="""&amp;W69&amp;"""","")&amp;IF(X69&lt;&gt;"",IF(COUNTA($E69:$W69)&gt;0," OR ","")&amp;'Dashboard Config'!$B$7&amp;"="""&amp;X69&amp;"""","")&amp;IF(Y69&lt;&gt;"",IF(COUNTA($E69:$X69)&gt;0," OR ","")&amp;'Dashboard Config'!$B$7&amp;"="""&amp;Y69&amp;"""","")&amp;IF(Z69&lt;&gt;"",IF(COUNTA($E69:$Y69)&gt;0," OR ","")&amp;'Dashboard Config'!$B$7&amp;"="""&amp;Z69&amp;"""","")&amp;IF(AA69&lt;&gt;"",IF(COUNTA($E69:$Z69)&gt;0," OR ","")&amp;'Dashboard Config'!$B$7&amp;"="""&amp;AA69&amp;"""","")&amp;IF(AB69&lt;&gt;"",IF(COUNTA($E69:$AA69)&gt;0," OR ","")&amp;'Dashboard Config'!$B$7&amp;"="""&amp;AB69&amp;"""","")&amp;IF(AC69&lt;&gt;"",IF(COUNTA($E69:$AB69)&gt;0," OR ","")&amp;AC69,"")&amp;")")</x:f>
      </x:c>
      <x:c r="AE69" s="48" t="str">
        <x:f>IF($AD69="","",CHAR(123)&amp;CHAR(34)&amp;"label"&amp;CHAR(34)&amp;":"&amp;CHAR(34)&amp;$C69&amp;CHAR(34)&amp;","&amp;CHAR(34)&amp;"value"&amp;CHAR(34)&amp;":"&amp;CHAR(34)&amp;SUBSTITUTE($AD69,CHAR(34),CHAR(92)&amp;CHAR(34))&amp;CHAR(34)&amp;CHAR(125))</x:f>
      </x:c>
      <x:c r="AF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  <x:c r="AA70" s="42"/>
      <x:c r="AB70" s="42"/>
      <x:c r="AC70" s="42"/>
      <x:c r="AD70" s="48" t="str">
        <x:f>IF(OR($A70&lt;&gt;"Yes",$C70="",COUNTA($E70:$AC70)=0),"","("&amp;IF(E70&lt;&gt;"",'Dashboard Config'!$B$6&amp;"="""&amp;E70&amp;"""","")&amp;IF(F70&lt;&gt;"",IF(COUNTA($E70:$E70)&gt;0," OR ","")&amp;'Dashboard Config'!$B$6&amp;"="""&amp;F70&amp;"""","")&amp;IF(G70&lt;&gt;"",IF(COUNTA($E70:$F70)&gt;0," OR ","")&amp;'Dashboard Config'!$B$6&amp;"="""&amp;G70&amp;"""","")&amp;IF(H70&lt;&gt;"",IF(COUNTA($E70:$G70)&gt;0," OR ","")&amp;'Dashboard Config'!$B$6&amp;"="""&amp;H70&amp;"""","")&amp;IF(I70&lt;&gt;"",IF(COUNTA($E70:$H70)&gt;0," OR ","")&amp;'Dashboard Config'!$B$6&amp;"="""&amp;I70&amp;"""","")&amp;IF(J70&lt;&gt;"",IF(COUNTA($E70:$I70)&gt;0," OR ","")&amp;'Dashboard Config'!$B$6&amp;"="""&amp;J70&amp;"""","")&amp;IF(K70&lt;&gt;"",IF(COUNTA($E70:$J70)&gt;0," OR ","")&amp;'Dashboard Config'!$B$6&amp;"="""&amp;K70&amp;"""","")&amp;IF(L70&lt;&gt;"",IF(COUNTA($E70:$K70)&gt;0," OR ","")&amp;'Dashboard Config'!$B$6&amp;"="""&amp;L70&amp;"""","")&amp;IF(M70&lt;&gt;"",IF(COUNTA($E70:$L70)&gt;0," OR ","")&amp;'Dashboard Config'!$B$7&amp;"="""&amp;M70&amp;"""","")&amp;IF(N70&lt;&gt;"",IF(COUNTA($E70:$M70)&gt;0," OR ","")&amp;'Dashboard Config'!$B$7&amp;"="""&amp;N70&amp;"""","")&amp;IF(O70&lt;&gt;"",IF(COUNTA($E70:$N70)&gt;0," OR ","")&amp;'Dashboard Config'!$B$7&amp;"="""&amp;O70&amp;"""","")&amp;IF(P70&lt;&gt;"",IF(COUNTA($E70:$O70)&gt;0," OR ","")&amp;'Dashboard Config'!$B$7&amp;"="""&amp;P70&amp;"""","")&amp;IF(Q70&lt;&gt;"",IF(COUNTA($E70:$P70)&gt;0," OR ","")&amp;'Dashboard Config'!$B$7&amp;"="""&amp;Q70&amp;"""","")&amp;IF(R70&lt;&gt;"",IF(COUNTA($E70:$Q70)&gt;0," OR ","")&amp;'Dashboard Config'!$B$7&amp;"="""&amp;R70&amp;"""","")&amp;IF(S70&lt;&gt;"",IF(COUNTA($E70:$R70)&gt;0," OR ","")&amp;'Dashboard Config'!$B$7&amp;"="""&amp;S70&amp;"""","")&amp;IF(T70&lt;&gt;"",IF(COUNTA($E70:$S70)&gt;0," OR ","")&amp;'Dashboard Config'!$B$7&amp;"="""&amp;T70&amp;"""","")&amp;IF(U70&lt;&gt;"",IF(COUNTA($E70:$T70)&gt;0," OR ","")&amp;'Dashboard Config'!$B$7&amp;"="""&amp;U70&amp;"""","")&amp;IF(V70&lt;&gt;"",IF(COUNTA($E70:$U70)&gt;0," OR ","")&amp;'Dashboard Config'!$B$7&amp;"="""&amp;V70&amp;"""","")&amp;IF(W70&lt;&gt;"",IF(COUNTA($E70:$V70)&gt;0," OR ","")&amp;'Dashboard Config'!$B$7&amp;"="""&amp;W70&amp;"""","")&amp;IF(X70&lt;&gt;"",IF(COUNTA($E70:$W70)&gt;0," OR ","")&amp;'Dashboard Config'!$B$7&amp;"="""&amp;X70&amp;"""","")&amp;IF(Y70&lt;&gt;"",IF(COUNTA($E70:$X70)&gt;0," OR ","")&amp;'Dashboard Config'!$B$7&amp;"="""&amp;Y70&amp;"""","")&amp;IF(Z70&lt;&gt;"",IF(COUNTA($E70:$Y70)&gt;0," OR ","")&amp;'Dashboard Config'!$B$7&amp;"="""&amp;Z70&amp;"""","")&amp;IF(AA70&lt;&gt;"",IF(COUNTA($E70:$Z70)&gt;0," OR ","")&amp;'Dashboard Config'!$B$7&amp;"="""&amp;AA70&amp;"""","")&amp;IF(AB70&lt;&gt;"",IF(COUNTA($E70:$AA70)&gt;0," OR ","")&amp;'Dashboard Config'!$B$7&amp;"="""&amp;AB70&amp;"""","")&amp;IF(AC70&lt;&gt;"",IF(COUNTA($E70:$AB70)&gt;0," OR ","")&amp;AC70,"")&amp;")")</x:f>
      </x:c>
      <x:c r="AE70" s="48" t="str">
        <x:f>IF($AD70="","",CHAR(123)&amp;CHAR(34)&amp;"label"&amp;CHAR(34)&amp;":"&amp;CHAR(34)&amp;$C70&amp;CHAR(34)&amp;","&amp;CHAR(34)&amp;"value"&amp;CHAR(34)&amp;":"&amp;CHAR(34)&amp;SUBSTITUTE($AD70,CHAR(34),CHAR(92)&amp;CHAR(34))&amp;CHAR(34)&amp;CHAR(125))</x:f>
      </x:c>
      <x:c r="AF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  <x:c r="AA71" s="42"/>
      <x:c r="AB71" s="42"/>
      <x:c r="AC71" s="42"/>
      <x:c r="AD71" s="48" t="str">
        <x:f>IF(OR($A71&lt;&gt;"Yes",$C71="",COUNTA($E71:$AC71)=0),"","("&amp;IF(E71&lt;&gt;"",'Dashboard Config'!$B$6&amp;"="""&amp;E71&amp;"""","")&amp;IF(F71&lt;&gt;"",IF(COUNTA($E71:$E71)&gt;0," OR ","")&amp;'Dashboard Config'!$B$6&amp;"="""&amp;F71&amp;"""","")&amp;IF(G71&lt;&gt;"",IF(COUNTA($E71:$F71)&gt;0," OR ","")&amp;'Dashboard Config'!$B$6&amp;"="""&amp;G71&amp;"""","")&amp;IF(H71&lt;&gt;"",IF(COUNTA($E71:$G71)&gt;0," OR ","")&amp;'Dashboard Config'!$B$6&amp;"="""&amp;H71&amp;"""","")&amp;IF(I71&lt;&gt;"",IF(COUNTA($E71:$H71)&gt;0," OR ","")&amp;'Dashboard Config'!$B$6&amp;"="""&amp;I71&amp;"""","")&amp;IF(J71&lt;&gt;"",IF(COUNTA($E71:$I71)&gt;0," OR ","")&amp;'Dashboard Config'!$B$6&amp;"="""&amp;J71&amp;"""","")&amp;IF(K71&lt;&gt;"",IF(COUNTA($E71:$J71)&gt;0," OR ","")&amp;'Dashboard Config'!$B$6&amp;"="""&amp;K71&amp;"""","")&amp;IF(L71&lt;&gt;"",IF(COUNTA($E71:$K71)&gt;0," OR ","")&amp;'Dashboard Config'!$B$6&amp;"="""&amp;L71&amp;"""","")&amp;IF(M71&lt;&gt;"",IF(COUNTA($E71:$L71)&gt;0," OR ","")&amp;'Dashboard Config'!$B$7&amp;"="""&amp;M71&amp;"""","")&amp;IF(N71&lt;&gt;"",IF(COUNTA($E71:$M71)&gt;0," OR ","")&amp;'Dashboard Config'!$B$7&amp;"="""&amp;N71&amp;"""","")&amp;IF(O71&lt;&gt;"",IF(COUNTA($E71:$N71)&gt;0," OR ","")&amp;'Dashboard Config'!$B$7&amp;"="""&amp;O71&amp;"""","")&amp;IF(P71&lt;&gt;"",IF(COUNTA($E71:$O71)&gt;0," OR ","")&amp;'Dashboard Config'!$B$7&amp;"="""&amp;P71&amp;"""","")&amp;IF(Q71&lt;&gt;"",IF(COUNTA($E71:$P71)&gt;0," OR ","")&amp;'Dashboard Config'!$B$7&amp;"="""&amp;Q71&amp;"""","")&amp;IF(R71&lt;&gt;"",IF(COUNTA($E71:$Q71)&gt;0," OR ","")&amp;'Dashboard Config'!$B$7&amp;"="""&amp;R71&amp;"""","")&amp;IF(S71&lt;&gt;"",IF(COUNTA($E71:$R71)&gt;0," OR ","")&amp;'Dashboard Config'!$B$7&amp;"="""&amp;S71&amp;"""","")&amp;IF(T71&lt;&gt;"",IF(COUNTA($E71:$S71)&gt;0," OR ","")&amp;'Dashboard Config'!$B$7&amp;"="""&amp;T71&amp;"""","")&amp;IF(U71&lt;&gt;"",IF(COUNTA($E71:$T71)&gt;0," OR ","")&amp;'Dashboard Config'!$B$7&amp;"="""&amp;U71&amp;"""","")&amp;IF(V71&lt;&gt;"",IF(COUNTA($E71:$U71)&gt;0," OR ","")&amp;'Dashboard Config'!$B$7&amp;"="""&amp;V71&amp;"""","")&amp;IF(W71&lt;&gt;"",IF(COUNTA($E71:$V71)&gt;0," OR ","")&amp;'Dashboard Config'!$B$7&amp;"="""&amp;W71&amp;"""","")&amp;IF(X71&lt;&gt;"",IF(COUNTA($E71:$W71)&gt;0," OR ","")&amp;'Dashboard Config'!$B$7&amp;"="""&amp;X71&amp;"""","")&amp;IF(Y71&lt;&gt;"",IF(COUNTA($E71:$X71)&gt;0," OR ","")&amp;'Dashboard Config'!$B$7&amp;"="""&amp;Y71&amp;"""","")&amp;IF(Z71&lt;&gt;"",IF(COUNTA($E71:$Y71)&gt;0," OR ","")&amp;'Dashboard Config'!$B$7&amp;"="""&amp;Z71&amp;"""","")&amp;IF(AA71&lt;&gt;"",IF(COUNTA($E71:$Z71)&gt;0," OR ","")&amp;'Dashboard Config'!$B$7&amp;"="""&amp;AA71&amp;"""","")&amp;IF(AB71&lt;&gt;"",IF(COUNTA($E71:$AA71)&gt;0," OR ","")&amp;'Dashboard Config'!$B$7&amp;"="""&amp;AB71&amp;"""","")&amp;IF(AC71&lt;&gt;"",IF(COUNTA($E71:$AB71)&gt;0," OR ","")&amp;AC71,"")&amp;")")</x:f>
      </x:c>
      <x:c r="AE71" s="48" t="str">
        <x:f>IF($AD71="","",CHAR(123)&amp;CHAR(34)&amp;"label"&amp;CHAR(34)&amp;":"&amp;CHAR(34)&amp;$C71&amp;CHAR(34)&amp;","&amp;CHAR(34)&amp;"value"&amp;CHAR(34)&amp;":"&amp;CHAR(34)&amp;SUBSTITUTE($AD71,CHAR(34),CHAR(92)&amp;CHAR(34))&amp;CHAR(34)&amp;CHAR(125))</x:f>
      </x:c>
      <x:c r="AF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  <x:c r="AA72" s="42"/>
      <x:c r="AB72" s="42"/>
      <x:c r="AC72" s="42"/>
      <x:c r="AD72" s="48" t="str">
        <x:f>IF(OR($A72&lt;&gt;"Yes",$C72="",COUNTA($E72:$AC72)=0),"","("&amp;IF(E72&lt;&gt;"",'Dashboard Config'!$B$6&amp;"="""&amp;E72&amp;"""","")&amp;IF(F72&lt;&gt;"",IF(COUNTA($E72:$E72)&gt;0," OR ","")&amp;'Dashboard Config'!$B$6&amp;"="""&amp;F72&amp;"""","")&amp;IF(G72&lt;&gt;"",IF(COUNTA($E72:$F72)&gt;0," OR ","")&amp;'Dashboard Config'!$B$6&amp;"="""&amp;G72&amp;"""","")&amp;IF(H72&lt;&gt;"",IF(COUNTA($E72:$G72)&gt;0," OR ","")&amp;'Dashboard Config'!$B$6&amp;"="""&amp;H72&amp;"""","")&amp;IF(I72&lt;&gt;"",IF(COUNTA($E72:$H72)&gt;0," OR ","")&amp;'Dashboard Config'!$B$6&amp;"="""&amp;I72&amp;"""","")&amp;IF(J72&lt;&gt;"",IF(COUNTA($E72:$I72)&gt;0," OR ","")&amp;'Dashboard Config'!$B$6&amp;"="""&amp;J72&amp;"""","")&amp;IF(K72&lt;&gt;"",IF(COUNTA($E72:$J72)&gt;0," OR ","")&amp;'Dashboard Config'!$B$6&amp;"="""&amp;K72&amp;"""","")&amp;IF(L72&lt;&gt;"",IF(COUNTA($E72:$K72)&gt;0," OR ","")&amp;'Dashboard Config'!$B$6&amp;"="""&amp;L72&amp;"""","")&amp;IF(M72&lt;&gt;"",IF(COUNTA($E72:$L72)&gt;0," OR ","")&amp;'Dashboard Config'!$B$7&amp;"="""&amp;M72&amp;"""","")&amp;IF(N72&lt;&gt;"",IF(COUNTA($E72:$M72)&gt;0," OR ","")&amp;'Dashboard Config'!$B$7&amp;"="""&amp;N72&amp;"""","")&amp;IF(O72&lt;&gt;"",IF(COUNTA($E72:$N72)&gt;0," OR ","")&amp;'Dashboard Config'!$B$7&amp;"="""&amp;O72&amp;"""","")&amp;IF(P72&lt;&gt;"",IF(COUNTA($E72:$O72)&gt;0," OR ","")&amp;'Dashboard Config'!$B$7&amp;"="""&amp;P72&amp;"""","")&amp;IF(Q72&lt;&gt;"",IF(COUNTA($E72:$P72)&gt;0," OR ","")&amp;'Dashboard Config'!$B$7&amp;"="""&amp;Q72&amp;"""","")&amp;IF(R72&lt;&gt;"",IF(COUNTA($E72:$Q72)&gt;0," OR ","")&amp;'Dashboard Config'!$B$7&amp;"="""&amp;R72&amp;"""","")&amp;IF(S72&lt;&gt;"",IF(COUNTA($E72:$R72)&gt;0," OR ","")&amp;'Dashboard Config'!$B$7&amp;"="""&amp;S72&amp;"""","")&amp;IF(T72&lt;&gt;"",IF(COUNTA($E72:$S72)&gt;0," OR ","")&amp;'Dashboard Config'!$B$7&amp;"="""&amp;T72&amp;"""","")&amp;IF(U72&lt;&gt;"",IF(COUNTA($E72:$T72)&gt;0," OR ","")&amp;'Dashboard Config'!$B$7&amp;"="""&amp;U72&amp;"""","")&amp;IF(V72&lt;&gt;"",IF(COUNTA($E72:$U72)&gt;0," OR ","")&amp;'Dashboard Config'!$B$7&amp;"="""&amp;V72&amp;"""","")&amp;IF(W72&lt;&gt;"",IF(COUNTA($E72:$V72)&gt;0," OR ","")&amp;'Dashboard Config'!$B$7&amp;"="""&amp;W72&amp;"""","")&amp;IF(X72&lt;&gt;"",IF(COUNTA($E72:$W72)&gt;0," OR ","")&amp;'Dashboard Config'!$B$7&amp;"="""&amp;X72&amp;"""","")&amp;IF(Y72&lt;&gt;"",IF(COUNTA($E72:$X72)&gt;0," OR ","")&amp;'Dashboard Config'!$B$7&amp;"="""&amp;Y72&amp;"""","")&amp;IF(Z72&lt;&gt;"",IF(COUNTA($E72:$Y72)&gt;0," OR ","")&amp;'Dashboard Config'!$B$7&amp;"="""&amp;Z72&amp;"""","")&amp;IF(AA72&lt;&gt;"",IF(COUNTA($E72:$Z72)&gt;0," OR ","")&amp;'Dashboard Config'!$B$7&amp;"="""&amp;AA72&amp;"""","")&amp;IF(AB72&lt;&gt;"",IF(COUNTA($E72:$AA72)&gt;0," OR ","")&amp;'Dashboard Config'!$B$7&amp;"="""&amp;AB72&amp;"""","")&amp;IF(AC72&lt;&gt;"",IF(COUNTA($E72:$AB72)&gt;0," OR ","")&amp;AC72,"")&amp;")")</x:f>
      </x:c>
      <x:c r="AE72" s="48" t="str">
        <x:f>IF($AD72="","",CHAR(123)&amp;CHAR(34)&amp;"label"&amp;CHAR(34)&amp;":"&amp;CHAR(34)&amp;$C72&amp;CHAR(34)&amp;","&amp;CHAR(34)&amp;"value"&amp;CHAR(34)&amp;":"&amp;CHAR(34)&amp;SUBSTITUTE($AD72,CHAR(34),CHAR(92)&amp;CHAR(34))&amp;CHAR(34)&amp;CHAR(125))</x:f>
      </x:c>
      <x:c r="AF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  <x:c r="AA73" s="42"/>
      <x:c r="AB73" s="42"/>
      <x:c r="AC73" s="42"/>
      <x:c r="AD73" s="48" t="str">
        <x:f>IF(OR($A73&lt;&gt;"Yes",$C73="",COUNTA($E73:$AC73)=0),"","("&amp;IF(E73&lt;&gt;"",'Dashboard Config'!$B$6&amp;"="""&amp;E73&amp;"""","")&amp;IF(F73&lt;&gt;"",IF(COUNTA($E73:$E73)&gt;0," OR ","")&amp;'Dashboard Config'!$B$6&amp;"="""&amp;F73&amp;"""","")&amp;IF(G73&lt;&gt;"",IF(COUNTA($E73:$F73)&gt;0," OR ","")&amp;'Dashboard Config'!$B$6&amp;"="""&amp;G73&amp;"""","")&amp;IF(H73&lt;&gt;"",IF(COUNTA($E73:$G73)&gt;0," OR ","")&amp;'Dashboard Config'!$B$6&amp;"="""&amp;H73&amp;"""","")&amp;IF(I73&lt;&gt;"",IF(COUNTA($E73:$H73)&gt;0," OR ","")&amp;'Dashboard Config'!$B$6&amp;"="""&amp;I73&amp;"""","")&amp;IF(J73&lt;&gt;"",IF(COUNTA($E73:$I73)&gt;0," OR ","")&amp;'Dashboard Config'!$B$6&amp;"="""&amp;J73&amp;"""","")&amp;IF(K73&lt;&gt;"",IF(COUNTA($E73:$J73)&gt;0," OR ","")&amp;'Dashboard Config'!$B$6&amp;"="""&amp;K73&amp;"""","")&amp;IF(L73&lt;&gt;"",IF(COUNTA($E73:$K73)&gt;0," OR ","")&amp;'Dashboard Config'!$B$6&amp;"="""&amp;L73&amp;"""","")&amp;IF(M73&lt;&gt;"",IF(COUNTA($E73:$L73)&gt;0," OR ","")&amp;'Dashboard Config'!$B$7&amp;"="""&amp;M73&amp;"""","")&amp;IF(N73&lt;&gt;"",IF(COUNTA($E73:$M73)&gt;0," OR ","")&amp;'Dashboard Config'!$B$7&amp;"="""&amp;N73&amp;"""","")&amp;IF(O73&lt;&gt;"",IF(COUNTA($E73:$N73)&gt;0," OR ","")&amp;'Dashboard Config'!$B$7&amp;"="""&amp;O73&amp;"""","")&amp;IF(P73&lt;&gt;"",IF(COUNTA($E73:$O73)&gt;0," OR ","")&amp;'Dashboard Config'!$B$7&amp;"="""&amp;P73&amp;"""","")&amp;IF(Q73&lt;&gt;"",IF(COUNTA($E73:$P73)&gt;0," OR ","")&amp;'Dashboard Config'!$B$7&amp;"="""&amp;Q73&amp;"""","")&amp;IF(R73&lt;&gt;"",IF(COUNTA($E73:$Q73)&gt;0," OR ","")&amp;'Dashboard Config'!$B$7&amp;"="""&amp;R73&amp;"""","")&amp;IF(S73&lt;&gt;"",IF(COUNTA($E73:$R73)&gt;0," OR ","")&amp;'Dashboard Config'!$B$7&amp;"="""&amp;S73&amp;"""","")&amp;IF(T73&lt;&gt;"",IF(COUNTA($E73:$S73)&gt;0," OR ","")&amp;'Dashboard Config'!$B$7&amp;"="""&amp;T73&amp;"""","")&amp;IF(U73&lt;&gt;"",IF(COUNTA($E73:$T73)&gt;0," OR ","")&amp;'Dashboard Config'!$B$7&amp;"="""&amp;U73&amp;"""","")&amp;IF(V73&lt;&gt;"",IF(COUNTA($E73:$U73)&gt;0," OR ","")&amp;'Dashboard Config'!$B$7&amp;"="""&amp;V73&amp;"""","")&amp;IF(W73&lt;&gt;"",IF(COUNTA($E73:$V73)&gt;0," OR ","")&amp;'Dashboard Config'!$B$7&amp;"="""&amp;W73&amp;"""","")&amp;IF(X73&lt;&gt;"",IF(COUNTA($E73:$W73)&gt;0," OR ","")&amp;'Dashboard Config'!$B$7&amp;"="""&amp;X73&amp;"""","")&amp;IF(Y73&lt;&gt;"",IF(COUNTA($E73:$X73)&gt;0," OR ","")&amp;'Dashboard Config'!$B$7&amp;"="""&amp;Y73&amp;"""","")&amp;IF(Z73&lt;&gt;"",IF(COUNTA($E73:$Y73)&gt;0," OR ","")&amp;'Dashboard Config'!$B$7&amp;"="""&amp;Z73&amp;"""","")&amp;IF(AA73&lt;&gt;"",IF(COUNTA($E73:$Z73)&gt;0," OR ","")&amp;'Dashboard Config'!$B$7&amp;"="""&amp;AA73&amp;"""","")&amp;IF(AB73&lt;&gt;"",IF(COUNTA($E73:$AA73)&gt;0," OR ","")&amp;'Dashboard Config'!$B$7&amp;"="""&amp;AB73&amp;"""","")&amp;IF(AC73&lt;&gt;"",IF(COUNTA($E73:$AB73)&gt;0," OR ","")&amp;AC73,"")&amp;")")</x:f>
      </x:c>
      <x:c r="AE73" s="48" t="str">
        <x:f>IF($AD73="","",CHAR(123)&amp;CHAR(34)&amp;"label"&amp;CHAR(34)&amp;":"&amp;CHAR(34)&amp;$C73&amp;CHAR(34)&amp;","&amp;CHAR(34)&amp;"value"&amp;CHAR(34)&amp;":"&amp;CHAR(34)&amp;SUBSTITUTE($AD73,CHAR(34),CHAR(92)&amp;CHAR(34))&amp;CHAR(34)&amp;CHAR(125))</x:f>
      </x:c>
      <x:c r="AF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  <x:c r="AA74" s="42"/>
      <x:c r="AB74" s="42"/>
      <x:c r="AC74" s="42"/>
      <x:c r="AD74" s="48" t="str">
        <x:f>IF(OR($A74&lt;&gt;"Yes",$C74="",COUNTA($E74:$AC74)=0),"","("&amp;IF(E74&lt;&gt;"",'Dashboard Config'!$B$6&amp;"="""&amp;E74&amp;"""","")&amp;IF(F74&lt;&gt;"",IF(COUNTA($E74:$E74)&gt;0," OR ","")&amp;'Dashboard Config'!$B$6&amp;"="""&amp;F74&amp;"""","")&amp;IF(G74&lt;&gt;"",IF(COUNTA($E74:$F74)&gt;0," OR ","")&amp;'Dashboard Config'!$B$6&amp;"="""&amp;G74&amp;"""","")&amp;IF(H74&lt;&gt;"",IF(COUNTA($E74:$G74)&gt;0," OR ","")&amp;'Dashboard Config'!$B$6&amp;"="""&amp;H74&amp;"""","")&amp;IF(I74&lt;&gt;"",IF(COUNTA($E74:$H74)&gt;0," OR ","")&amp;'Dashboard Config'!$B$6&amp;"="""&amp;I74&amp;"""","")&amp;IF(J74&lt;&gt;"",IF(COUNTA($E74:$I74)&gt;0," OR ","")&amp;'Dashboard Config'!$B$6&amp;"="""&amp;J74&amp;"""","")&amp;IF(K74&lt;&gt;"",IF(COUNTA($E74:$J74)&gt;0," OR ","")&amp;'Dashboard Config'!$B$6&amp;"="""&amp;K74&amp;"""","")&amp;IF(L74&lt;&gt;"",IF(COUNTA($E74:$K74)&gt;0," OR ","")&amp;'Dashboard Config'!$B$6&amp;"="""&amp;L74&amp;"""","")&amp;IF(M74&lt;&gt;"",IF(COUNTA($E74:$L74)&gt;0," OR ","")&amp;'Dashboard Config'!$B$7&amp;"="""&amp;M74&amp;"""","")&amp;IF(N74&lt;&gt;"",IF(COUNTA($E74:$M74)&gt;0," OR ","")&amp;'Dashboard Config'!$B$7&amp;"="""&amp;N74&amp;"""","")&amp;IF(O74&lt;&gt;"",IF(COUNTA($E74:$N74)&gt;0," OR ","")&amp;'Dashboard Config'!$B$7&amp;"="""&amp;O74&amp;"""","")&amp;IF(P74&lt;&gt;"",IF(COUNTA($E74:$O74)&gt;0," OR ","")&amp;'Dashboard Config'!$B$7&amp;"="""&amp;P74&amp;"""","")&amp;IF(Q74&lt;&gt;"",IF(COUNTA($E74:$P74)&gt;0," OR ","")&amp;'Dashboard Config'!$B$7&amp;"="""&amp;Q74&amp;"""","")&amp;IF(R74&lt;&gt;"",IF(COUNTA($E74:$Q74)&gt;0," OR ","")&amp;'Dashboard Config'!$B$7&amp;"="""&amp;R74&amp;"""","")&amp;IF(S74&lt;&gt;"",IF(COUNTA($E74:$R74)&gt;0," OR ","")&amp;'Dashboard Config'!$B$7&amp;"="""&amp;S74&amp;"""","")&amp;IF(T74&lt;&gt;"",IF(COUNTA($E74:$S74)&gt;0," OR ","")&amp;'Dashboard Config'!$B$7&amp;"="""&amp;T74&amp;"""","")&amp;IF(U74&lt;&gt;"",IF(COUNTA($E74:$T74)&gt;0," OR ","")&amp;'Dashboard Config'!$B$7&amp;"="""&amp;U74&amp;"""","")&amp;IF(V74&lt;&gt;"",IF(COUNTA($E74:$U74)&gt;0," OR ","")&amp;'Dashboard Config'!$B$7&amp;"="""&amp;V74&amp;"""","")&amp;IF(W74&lt;&gt;"",IF(COUNTA($E74:$V74)&gt;0," OR ","")&amp;'Dashboard Config'!$B$7&amp;"="""&amp;W74&amp;"""","")&amp;IF(X74&lt;&gt;"",IF(COUNTA($E74:$W74)&gt;0," OR ","")&amp;'Dashboard Config'!$B$7&amp;"="""&amp;X74&amp;"""","")&amp;IF(Y74&lt;&gt;"",IF(COUNTA($E74:$X74)&gt;0," OR ","")&amp;'Dashboard Config'!$B$7&amp;"="""&amp;Y74&amp;"""","")&amp;IF(Z74&lt;&gt;"",IF(COUNTA($E74:$Y74)&gt;0," OR ","")&amp;'Dashboard Config'!$B$7&amp;"="""&amp;Z74&amp;"""","")&amp;IF(AA74&lt;&gt;"",IF(COUNTA($E74:$Z74)&gt;0," OR ","")&amp;'Dashboard Config'!$B$7&amp;"="""&amp;AA74&amp;"""","")&amp;IF(AB74&lt;&gt;"",IF(COUNTA($E74:$AA74)&gt;0," OR ","")&amp;'Dashboard Config'!$B$7&amp;"="""&amp;AB74&amp;"""","")&amp;IF(AC74&lt;&gt;"",IF(COUNTA($E74:$AB74)&gt;0," OR ","")&amp;AC74,"")&amp;")")</x:f>
      </x:c>
      <x:c r="AE74" s="48" t="str">
        <x:f>IF($AD74="","",CHAR(123)&amp;CHAR(34)&amp;"label"&amp;CHAR(34)&amp;":"&amp;CHAR(34)&amp;$C74&amp;CHAR(34)&amp;","&amp;CHAR(34)&amp;"value"&amp;CHAR(34)&amp;":"&amp;CHAR(34)&amp;SUBSTITUTE($AD74,CHAR(34),CHAR(92)&amp;CHAR(34))&amp;CHAR(34)&amp;CHAR(125))</x:f>
      </x:c>
      <x:c r="AF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  <x:c r="AA75" s="42"/>
      <x:c r="AB75" s="42"/>
      <x:c r="AC75" s="42"/>
      <x:c r="AD75" s="48" t="str">
        <x:f>IF(OR($A75&lt;&gt;"Yes",$C75="",COUNTA($E75:$AC75)=0),"","("&amp;IF(E75&lt;&gt;"",'Dashboard Config'!$B$6&amp;"="""&amp;E75&amp;"""","")&amp;IF(F75&lt;&gt;"",IF(COUNTA($E75:$E75)&gt;0," OR ","")&amp;'Dashboard Config'!$B$6&amp;"="""&amp;F75&amp;"""","")&amp;IF(G75&lt;&gt;"",IF(COUNTA($E75:$F75)&gt;0," OR ","")&amp;'Dashboard Config'!$B$6&amp;"="""&amp;G75&amp;"""","")&amp;IF(H75&lt;&gt;"",IF(COUNTA($E75:$G75)&gt;0," OR ","")&amp;'Dashboard Config'!$B$6&amp;"="""&amp;H75&amp;"""","")&amp;IF(I75&lt;&gt;"",IF(COUNTA($E75:$H75)&gt;0," OR ","")&amp;'Dashboard Config'!$B$6&amp;"="""&amp;I75&amp;"""","")&amp;IF(J75&lt;&gt;"",IF(COUNTA($E75:$I75)&gt;0," OR ","")&amp;'Dashboard Config'!$B$6&amp;"="""&amp;J75&amp;"""","")&amp;IF(K75&lt;&gt;"",IF(COUNTA($E75:$J75)&gt;0," OR ","")&amp;'Dashboard Config'!$B$6&amp;"="""&amp;K75&amp;"""","")&amp;IF(L75&lt;&gt;"",IF(COUNTA($E75:$K75)&gt;0," OR ","")&amp;'Dashboard Config'!$B$6&amp;"="""&amp;L75&amp;"""","")&amp;IF(M75&lt;&gt;"",IF(COUNTA($E75:$L75)&gt;0," OR ","")&amp;'Dashboard Config'!$B$7&amp;"="""&amp;M75&amp;"""","")&amp;IF(N75&lt;&gt;"",IF(COUNTA($E75:$M75)&gt;0," OR ","")&amp;'Dashboard Config'!$B$7&amp;"="""&amp;N75&amp;"""","")&amp;IF(O75&lt;&gt;"",IF(COUNTA($E75:$N75)&gt;0," OR ","")&amp;'Dashboard Config'!$B$7&amp;"="""&amp;O75&amp;"""","")&amp;IF(P75&lt;&gt;"",IF(COUNTA($E75:$O75)&gt;0," OR ","")&amp;'Dashboard Config'!$B$7&amp;"="""&amp;P75&amp;"""","")&amp;IF(Q75&lt;&gt;"",IF(COUNTA($E75:$P75)&gt;0," OR ","")&amp;'Dashboard Config'!$B$7&amp;"="""&amp;Q75&amp;"""","")&amp;IF(R75&lt;&gt;"",IF(COUNTA($E75:$Q75)&gt;0," OR ","")&amp;'Dashboard Config'!$B$7&amp;"="""&amp;R75&amp;"""","")&amp;IF(S75&lt;&gt;"",IF(COUNTA($E75:$R75)&gt;0," OR ","")&amp;'Dashboard Config'!$B$7&amp;"="""&amp;S75&amp;"""","")&amp;IF(T75&lt;&gt;"",IF(COUNTA($E75:$S75)&gt;0," OR ","")&amp;'Dashboard Config'!$B$7&amp;"="""&amp;T75&amp;"""","")&amp;IF(U75&lt;&gt;"",IF(COUNTA($E75:$T75)&gt;0," OR ","")&amp;'Dashboard Config'!$B$7&amp;"="""&amp;U75&amp;"""","")&amp;IF(V75&lt;&gt;"",IF(COUNTA($E75:$U75)&gt;0," OR ","")&amp;'Dashboard Config'!$B$7&amp;"="""&amp;V75&amp;"""","")&amp;IF(W75&lt;&gt;"",IF(COUNTA($E75:$V75)&gt;0," OR ","")&amp;'Dashboard Config'!$B$7&amp;"="""&amp;W75&amp;"""","")&amp;IF(X75&lt;&gt;"",IF(COUNTA($E75:$W75)&gt;0," OR ","")&amp;'Dashboard Config'!$B$7&amp;"="""&amp;X75&amp;"""","")&amp;IF(Y75&lt;&gt;"",IF(COUNTA($E75:$X75)&gt;0," OR ","")&amp;'Dashboard Config'!$B$7&amp;"="""&amp;Y75&amp;"""","")&amp;IF(Z75&lt;&gt;"",IF(COUNTA($E75:$Y75)&gt;0," OR ","")&amp;'Dashboard Config'!$B$7&amp;"="""&amp;Z75&amp;"""","")&amp;IF(AA75&lt;&gt;"",IF(COUNTA($E75:$Z75)&gt;0," OR ","")&amp;'Dashboard Config'!$B$7&amp;"="""&amp;AA75&amp;"""","")&amp;IF(AB75&lt;&gt;"",IF(COUNTA($E75:$AA75)&gt;0," OR ","")&amp;'Dashboard Config'!$B$7&amp;"="""&amp;AB75&amp;"""","")&amp;IF(AC75&lt;&gt;"",IF(COUNTA($E75:$AB75)&gt;0," OR ","")&amp;AC75,"")&amp;")")</x:f>
      </x:c>
      <x:c r="AE75" s="48" t="str">
        <x:f>IF($AD75="","",CHAR(123)&amp;CHAR(34)&amp;"label"&amp;CHAR(34)&amp;":"&amp;CHAR(34)&amp;$C75&amp;CHAR(34)&amp;","&amp;CHAR(34)&amp;"value"&amp;CHAR(34)&amp;":"&amp;CHAR(34)&amp;SUBSTITUTE($AD75,CHAR(34),CHAR(92)&amp;CHAR(34))&amp;CHAR(34)&amp;CHAR(125))</x:f>
      </x:c>
      <x:c r="AF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  <x:c r="AA76" s="42"/>
      <x:c r="AB76" s="42"/>
      <x:c r="AC76" s="42"/>
      <x:c r="AD76" s="48" t="str">
        <x:f>IF(OR($A76&lt;&gt;"Yes",$C76="",COUNTA($E76:$AC76)=0),"","("&amp;IF(E76&lt;&gt;"",'Dashboard Config'!$B$6&amp;"="""&amp;E76&amp;"""","")&amp;IF(F76&lt;&gt;"",IF(COUNTA($E76:$E76)&gt;0," OR ","")&amp;'Dashboard Config'!$B$6&amp;"="""&amp;F76&amp;"""","")&amp;IF(G76&lt;&gt;"",IF(COUNTA($E76:$F76)&gt;0," OR ","")&amp;'Dashboard Config'!$B$6&amp;"="""&amp;G76&amp;"""","")&amp;IF(H76&lt;&gt;"",IF(COUNTA($E76:$G76)&gt;0," OR ","")&amp;'Dashboard Config'!$B$6&amp;"="""&amp;H76&amp;"""","")&amp;IF(I76&lt;&gt;"",IF(COUNTA($E76:$H76)&gt;0," OR ","")&amp;'Dashboard Config'!$B$6&amp;"="""&amp;I76&amp;"""","")&amp;IF(J76&lt;&gt;"",IF(COUNTA($E76:$I76)&gt;0," OR ","")&amp;'Dashboard Config'!$B$6&amp;"="""&amp;J76&amp;"""","")&amp;IF(K76&lt;&gt;"",IF(COUNTA($E76:$J76)&gt;0," OR ","")&amp;'Dashboard Config'!$B$6&amp;"="""&amp;K76&amp;"""","")&amp;IF(L76&lt;&gt;"",IF(COUNTA($E76:$K76)&gt;0," OR ","")&amp;'Dashboard Config'!$B$6&amp;"="""&amp;L76&amp;"""","")&amp;IF(M76&lt;&gt;"",IF(COUNTA($E76:$L76)&gt;0," OR ","")&amp;'Dashboard Config'!$B$7&amp;"="""&amp;M76&amp;"""","")&amp;IF(N76&lt;&gt;"",IF(COUNTA($E76:$M76)&gt;0," OR ","")&amp;'Dashboard Config'!$B$7&amp;"="""&amp;N76&amp;"""","")&amp;IF(O76&lt;&gt;"",IF(COUNTA($E76:$N76)&gt;0," OR ","")&amp;'Dashboard Config'!$B$7&amp;"="""&amp;O76&amp;"""","")&amp;IF(P76&lt;&gt;"",IF(COUNTA($E76:$O76)&gt;0," OR ","")&amp;'Dashboard Config'!$B$7&amp;"="""&amp;P76&amp;"""","")&amp;IF(Q76&lt;&gt;"",IF(COUNTA($E76:$P76)&gt;0," OR ","")&amp;'Dashboard Config'!$B$7&amp;"="""&amp;Q76&amp;"""","")&amp;IF(R76&lt;&gt;"",IF(COUNTA($E76:$Q76)&gt;0," OR ","")&amp;'Dashboard Config'!$B$7&amp;"="""&amp;R76&amp;"""","")&amp;IF(S76&lt;&gt;"",IF(COUNTA($E76:$R76)&gt;0," OR ","")&amp;'Dashboard Config'!$B$7&amp;"="""&amp;S76&amp;"""","")&amp;IF(T76&lt;&gt;"",IF(COUNTA($E76:$S76)&gt;0," OR ","")&amp;'Dashboard Config'!$B$7&amp;"="""&amp;T76&amp;"""","")&amp;IF(U76&lt;&gt;"",IF(COUNTA($E76:$T76)&gt;0," OR ","")&amp;'Dashboard Config'!$B$7&amp;"="""&amp;U76&amp;"""","")&amp;IF(V76&lt;&gt;"",IF(COUNTA($E76:$U76)&gt;0," OR ","")&amp;'Dashboard Config'!$B$7&amp;"="""&amp;V76&amp;"""","")&amp;IF(W76&lt;&gt;"",IF(COUNTA($E76:$V76)&gt;0," OR ","")&amp;'Dashboard Config'!$B$7&amp;"="""&amp;W76&amp;"""","")&amp;IF(X76&lt;&gt;"",IF(COUNTA($E76:$W76)&gt;0," OR ","")&amp;'Dashboard Config'!$B$7&amp;"="""&amp;X76&amp;"""","")&amp;IF(Y76&lt;&gt;"",IF(COUNTA($E76:$X76)&gt;0," OR ","")&amp;'Dashboard Config'!$B$7&amp;"="""&amp;Y76&amp;"""","")&amp;IF(Z76&lt;&gt;"",IF(COUNTA($E76:$Y76)&gt;0," OR ","")&amp;'Dashboard Config'!$B$7&amp;"="""&amp;Z76&amp;"""","")&amp;IF(AA76&lt;&gt;"",IF(COUNTA($E76:$Z76)&gt;0," OR ","")&amp;'Dashboard Config'!$B$7&amp;"="""&amp;AA76&amp;"""","")&amp;IF(AB76&lt;&gt;"",IF(COUNTA($E76:$AA76)&gt;0," OR ","")&amp;'Dashboard Config'!$B$7&amp;"="""&amp;AB76&amp;"""","")&amp;IF(AC76&lt;&gt;"",IF(COUNTA($E76:$AB76)&gt;0," OR ","")&amp;AC76,"")&amp;")")</x:f>
      </x:c>
      <x:c r="AE76" s="48" t="str">
        <x:f>IF($AD76="","",CHAR(123)&amp;CHAR(34)&amp;"label"&amp;CHAR(34)&amp;":"&amp;CHAR(34)&amp;$C76&amp;CHAR(34)&amp;","&amp;CHAR(34)&amp;"value"&amp;CHAR(34)&amp;":"&amp;CHAR(34)&amp;SUBSTITUTE($AD76,CHAR(34),CHAR(92)&amp;CHAR(34))&amp;CHAR(34)&amp;CHAR(125))</x:f>
      </x:c>
      <x:c r="AF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  <x:c r="AA77" s="42"/>
      <x:c r="AB77" s="42"/>
      <x:c r="AC77" s="42"/>
      <x:c r="AD77" s="48" t="str">
        <x:f>IF(OR($A77&lt;&gt;"Yes",$C77="",COUNTA($E77:$AC77)=0),"","("&amp;IF(E77&lt;&gt;"",'Dashboard Config'!$B$6&amp;"="""&amp;E77&amp;"""","")&amp;IF(F77&lt;&gt;"",IF(COUNTA($E77:$E77)&gt;0," OR ","")&amp;'Dashboard Config'!$B$6&amp;"="""&amp;F77&amp;"""","")&amp;IF(G77&lt;&gt;"",IF(COUNTA($E77:$F77)&gt;0," OR ","")&amp;'Dashboard Config'!$B$6&amp;"="""&amp;G77&amp;"""","")&amp;IF(H77&lt;&gt;"",IF(COUNTA($E77:$G77)&gt;0," OR ","")&amp;'Dashboard Config'!$B$6&amp;"="""&amp;H77&amp;"""","")&amp;IF(I77&lt;&gt;"",IF(COUNTA($E77:$H77)&gt;0," OR ","")&amp;'Dashboard Config'!$B$6&amp;"="""&amp;I77&amp;"""","")&amp;IF(J77&lt;&gt;"",IF(COUNTA($E77:$I77)&gt;0," OR ","")&amp;'Dashboard Config'!$B$6&amp;"="""&amp;J77&amp;"""","")&amp;IF(K77&lt;&gt;"",IF(COUNTA($E77:$J77)&gt;0," OR ","")&amp;'Dashboard Config'!$B$6&amp;"="""&amp;K77&amp;"""","")&amp;IF(L77&lt;&gt;"",IF(COUNTA($E77:$K77)&gt;0," OR ","")&amp;'Dashboard Config'!$B$6&amp;"="""&amp;L77&amp;"""","")&amp;IF(M77&lt;&gt;"",IF(COUNTA($E77:$L77)&gt;0," OR ","")&amp;'Dashboard Config'!$B$7&amp;"="""&amp;M77&amp;"""","")&amp;IF(N77&lt;&gt;"",IF(COUNTA($E77:$M77)&gt;0," OR ","")&amp;'Dashboard Config'!$B$7&amp;"="""&amp;N77&amp;"""","")&amp;IF(O77&lt;&gt;"",IF(COUNTA($E77:$N77)&gt;0," OR ","")&amp;'Dashboard Config'!$B$7&amp;"="""&amp;O77&amp;"""","")&amp;IF(P77&lt;&gt;"",IF(COUNTA($E77:$O77)&gt;0," OR ","")&amp;'Dashboard Config'!$B$7&amp;"="""&amp;P77&amp;"""","")&amp;IF(Q77&lt;&gt;"",IF(COUNTA($E77:$P77)&gt;0," OR ","")&amp;'Dashboard Config'!$B$7&amp;"="""&amp;Q77&amp;"""","")&amp;IF(R77&lt;&gt;"",IF(COUNTA($E77:$Q77)&gt;0," OR ","")&amp;'Dashboard Config'!$B$7&amp;"="""&amp;R77&amp;"""","")&amp;IF(S77&lt;&gt;"",IF(COUNTA($E77:$R77)&gt;0," OR ","")&amp;'Dashboard Config'!$B$7&amp;"="""&amp;S77&amp;"""","")&amp;IF(T77&lt;&gt;"",IF(COUNTA($E77:$S77)&gt;0," OR ","")&amp;'Dashboard Config'!$B$7&amp;"="""&amp;T77&amp;"""","")&amp;IF(U77&lt;&gt;"",IF(COUNTA($E77:$T77)&gt;0," OR ","")&amp;'Dashboard Config'!$B$7&amp;"="""&amp;U77&amp;"""","")&amp;IF(V77&lt;&gt;"",IF(COUNTA($E77:$U77)&gt;0," OR ","")&amp;'Dashboard Config'!$B$7&amp;"="""&amp;V77&amp;"""","")&amp;IF(W77&lt;&gt;"",IF(COUNTA($E77:$V77)&gt;0," OR ","")&amp;'Dashboard Config'!$B$7&amp;"="""&amp;W77&amp;"""","")&amp;IF(X77&lt;&gt;"",IF(COUNTA($E77:$W77)&gt;0," OR ","")&amp;'Dashboard Config'!$B$7&amp;"="""&amp;X77&amp;"""","")&amp;IF(Y77&lt;&gt;"",IF(COUNTA($E77:$X77)&gt;0," OR ","")&amp;'Dashboard Config'!$B$7&amp;"="""&amp;Y77&amp;"""","")&amp;IF(Z77&lt;&gt;"",IF(COUNTA($E77:$Y77)&gt;0," OR ","")&amp;'Dashboard Config'!$B$7&amp;"="""&amp;Z77&amp;"""","")&amp;IF(AA77&lt;&gt;"",IF(COUNTA($E77:$Z77)&gt;0," OR ","")&amp;'Dashboard Config'!$B$7&amp;"="""&amp;AA77&amp;"""","")&amp;IF(AB77&lt;&gt;"",IF(COUNTA($E77:$AA77)&gt;0," OR ","")&amp;'Dashboard Config'!$B$7&amp;"="""&amp;AB77&amp;"""","")&amp;IF(AC77&lt;&gt;"",IF(COUNTA($E77:$AB77)&gt;0," OR ","")&amp;AC77,"")&amp;")")</x:f>
      </x:c>
      <x:c r="AE77" s="48" t="str">
        <x:f>IF($AD77="","",CHAR(123)&amp;CHAR(34)&amp;"label"&amp;CHAR(34)&amp;":"&amp;CHAR(34)&amp;$C77&amp;CHAR(34)&amp;","&amp;CHAR(34)&amp;"value"&amp;CHAR(34)&amp;":"&amp;CHAR(34)&amp;SUBSTITUTE($AD77,CHAR(34),CHAR(92)&amp;CHAR(34))&amp;CHAR(34)&amp;CHAR(125))</x:f>
      </x:c>
      <x:c r="AF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  <x:c r="AA78" s="42"/>
      <x:c r="AB78" s="42"/>
      <x:c r="AC78" s="42"/>
      <x:c r="AD78" s="48" t="str">
        <x:f>IF(OR($A78&lt;&gt;"Yes",$C78="",COUNTA($E78:$AC78)=0),"","("&amp;IF(E78&lt;&gt;"",'Dashboard Config'!$B$6&amp;"="""&amp;E78&amp;"""","")&amp;IF(F78&lt;&gt;"",IF(COUNTA($E78:$E78)&gt;0," OR ","")&amp;'Dashboard Config'!$B$6&amp;"="""&amp;F78&amp;"""","")&amp;IF(G78&lt;&gt;"",IF(COUNTA($E78:$F78)&gt;0," OR ","")&amp;'Dashboard Config'!$B$6&amp;"="""&amp;G78&amp;"""","")&amp;IF(H78&lt;&gt;"",IF(COUNTA($E78:$G78)&gt;0," OR ","")&amp;'Dashboard Config'!$B$6&amp;"="""&amp;H78&amp;"""","")&amp;IF(I78&lt;&gt;"",IF(COUNTA($E78:$H78)&gt;0," OR ","")&amp;'Dashboard Config'!$B$6&amp;"="""&amp;I78&amp;"""","")&amp;IF(J78&lt;&gt;"",IF(COUNTA($E78:$I78)&gt;0," OR ","")&amp;'Dashboard Config'!$B$6&amp;"="""&amp;J78&amp;"""","")&amp;IF(K78&lt;&gt;"",IF(COUNTA($E78:$J78)&gt;0," OR ","")&amp;'Dashboard Config'!$B$6&amp;"="""&amp;K78&amp;"""","")&amp;IF(L78&lt;&gt;"",IF(COUNTA($E78:$K78)&gt;0," OR ","")&amp;'Dashboard Config'!$B$6&amp;"="""&amp;L78&amp;"""","")&amp;IF(M78&lt;&gt;"",IF(COUNTA($E78:$L78)&gt;0," OR ","")&amp;'Dashboard Config'!$B$7&amp;"="""&amp;M78&amp;"""","")&amp;IF(N78&lt;&gt;"",IF(COUNTA($E78:$M78)&gt;0," OR ","")&amp;'Dashboard Config'!$B$7&amp;"="""&amp;N78&amp;"""","")&amp;IF(O78&lt;&gt;"",IF(COUNTA($E78:$N78)&gt;0," OR ","")&amp;'Dashboard Config'!$B$7&amp;"="""&amp;O78&amp;"""","")&amp;IF(P78&lt;&gt;"",IF(COUNTA($E78:$O78)&gt;0," OR ","")&amp;'Dashboard Config'!$B$7&amp;"="""&amp;P78&amp;"""","")&amp;IF(Q78&lt;&gt;"",IF(COUNTA($E78:$P78)&gt;0," OR ","")&amp;'Dashboard Config'!$B$7&amp;"="""&amp;Q78&amp;"""","")&amp;IF(R78&lt;&gt;"",IF(COUNTA($E78:$Q78)&gt;0," OR ","")&amp;'Dashboard Config'!$B$7&amp;"="""&amp;R78&amp;"""","")&amp;IF(S78&lt;&gt;"",IF(COUNTA($E78:$R78)&gt;0," OR ","")&amp;'Dashboard Config'!$B$7&amp;"="""&amp;S78&amp;"""","")&amp;IF(T78&lt;&gt;"",IF(COUNTA($E78:$S78)&gt;0," OR ","")&amp;'Dashboard Config'!$B$7&amp;"="""&amp;T78&amp;"""","")&amp;IF(U78&lt;&gt;"",IF(COUNTA($E78:$T78)&gt;0," OR ","")&amp;'Dashboard Config'!$B$7&amp;"="""&amp;U78&amp;"""","")&amp;IF(V78&lt;&gt;"",IF(COUNTA($E78:$U78)&gt;0," OR ","")&amp;'Dashboard Config'!$B$7&amp;"="""&amp;V78&amp;"""","")&amp;IF(W78&lt;&gt;"",IF(COUNTA($E78:$V78)&gt;0," OR ","")&amp;'Dashboard Config'!$B$7&amp;"="""&amp;W78&amp;"""","")&amp;IF(X78&lt;&gt;"",IF(COUNTA($E78:$W78)&gt;0," OR ","")&amp;'Dashboard Config'!$B$7&amp;"="""&amp;X78&amp;"""","")&amp;IF(Y78&lt;&gt;"",IF(COUNTA($E78:$X78)&gt;0," OR ","")&amp;'Dashboard Config'!$B$7&amp;"="""&amp;Y78&amp;"""","")&amp;IF(Z78&lt;&gt;"",IF(COUNTA($E78:$Y78)&gt;0," OR ","")&amp;'Dashboard Config'!$B$7&amp;"="""&amp;Z78&amp;"""","")&amp;IF(AA78&lt;&gt;"",IF(COUNTA($E78:$Z78)&gt;0," OR ","")&amp;'Dashboard Config'!$B$7&amp;"="""&amp;AA78&amp;"""","")&amp;IF(AB78&lt;&gt;"",IF(COUNTA($E78:$AA78)&gt;0," OR ","")&amp;'Dashboard Config'!$B$7&amp;"="""&amp;AB78&amp;"""","")&amp;IF(AC78&lt;&gt;"",IF(COUNTA($E78:$AB78)&gt;0," OR ","")&amp;AC78,"")&amp;")")</x:f>
      </x:c>
      <x:c r="AE78" s="48" t="str">
        <x:f>IF($AD78="","",CHAR(123)&amp;CHAR(34)&amp;"label"&amp;CHAR(34)&amp;":"&amp;CHAR(34)&amp;$C78&amp;CHAR(34)&amp;","&amp;CHAR(34)&amp;"value"&amp;CHAR(34)&amp;":"&amp;CHAR(34)&amp;SUBSTITUTE($AD78,CHAR(34),CHAR(92)&amp;CHAR(34))&amp;CHAR(34)&amp;CHAR(125))</x:f>
      </x:c>
      <x:c r="AF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  <x:c r="AA79" s="42"/>
      <x:c r="AB79" s="42"/>
      <x:c r="AC79" s="42"/>
      <x:c r="AD79" s="48" t="str">
        <x:f>IF(OR($A79&lt;&gt;"Yes",$C79="",COUNTA($E79:$AC79)=0),"","("&amp;IF(E79&lt;&gt;"",'Dashboard Config'!$B$6&amp;"="""&amp;E79&amp;"""","")&amp;IF(F79&lt;&gt;"",IF(COUNTA($E79:$E79)&gt;0," OR ","")&amp;'Dashboard Config'!$B$6&amp;"="""&amp;F79&amp;"""","")&amp;IF(G79&lt;&gt;"",IF(COUNTA($E79:$F79)&gt;0," OR ","")&amp;'Dashboard Config'!$B$6&amp;"="""&amp;G79&amp;"""","")&amp;IF(H79&lt;&gt;"",IF(COUNTA($E79:$G79)&gt;0," OR ","")&amp;'Dashboard Config'!$B$6&amp;"="""&amp;H79&amp;"""","")&amp;IF(I79&lt;&gt;"",IF(COUNTA($E79:$H79)&gt;0," OR ","")&amp;'Dashboard Config'!$B$6&amp;"="""&amp;I79&amp;"""","")&amp;IF(J79&lt;&gt;"",IF(COUNTA($E79:$I79)&gt;0," OR ","")&amp;'Dashboard Config'!$B$6&amp;"="""&amp;J79&amp;"""","")&amp;IF(K79&lt;&gt;"",IF(COUNTA($E79:$J79)&gt;0," OR ","")&amp;'Dashboard Config'!$B$6&amp;"="""&amp;K79&amp;"""","")&amp;IF(L79&lt;&gt;"",IF(COUNTA($E79:$K79)&gt;0," OR ","")&amp;'Dashboard Config'!$B$6&amp;"="""&amp;L79&amp;"""","")&amp;IF(M79&lt;&gt;"",IF(COUNTA($E79:$L79)&gt;0," OR ","")&amp;'Dashboard Config'!$B$7&amp;"="""&amp;M79&amp;"""","")&amp;IF(N79&lt;&gt;"",IF(COUNTA($E79:$M79)&gt;0," OR ","")&amp;'Dashboard Config'!$B$7&amp;"="""&amp;N79&amp;"""","")&amp;IF(O79&lt;&gt;"",IF(COUNTA($E79:$N79)&gt;0," OR ","")&amp;'Dashboard Config'!$B$7&amp;"="""&amp;O79&amp;"""","")&amp;IF(P79&lt;&gt;"",IF(COUNTA($E79:$O79)&gt;0," OR ","")&amp;'Dashboard Config'!$B$7&amp;"="""&amp;P79&amp;"""","")&amp;IF(Q79&lt;&gt;"",IF(COUNTA($E79:$P79)&gt;0," OR ","")&amp;'Dashboard Config'!$B$7&amp;"="""&amp;Q79&amp;"""","")&amp;IF(R79&lt;&gt;"",IF(COUNTA($E79:$Q79)&gt;0," OR ","")&amp;'Dashboard Config'!$B$7&amp;"="""&amp;R79&amp;"""","")&amp;IF(S79&lt;&gt;"",IF(COUNTA($E79:$R79)&gt;0," OR ","")&amp;'Dashboard Config'!$B$7&amp;"="""&amp;S79&amp;"""","")&amp;IF(T79&lt;&gt;"",IF(COUNTA($E79:$S79)&gt;0," OR ","")&amp;'Dashboard Config'!$B$7&amp;"="""&amp;T79&amp;"""","")&amp;IF(U79&lt;&gt;"",IF(COUNTA($E79:$T79)&gt;0," OR ","")&amp;'Dashboard Config'!$B$7&amp;"="""&amp;U79&amp;"""","")&amp;IF(V79&lt;&gt;"",IF(COUNTA($E79:$U79)&gt;0," OR ","")&amp;'Dashboard Config'!$B$7&amp;"="""&amp;V79&amp;"""","")&amp;IF(W79&lt;&gt;"",IF(COUNTA($E79:$V79)&gt;0," OR ","")&amp;'Dashboard Config'!$B$7&amp;"="""&amp;W79&amp;"""","")&amp;IF(X79&lt;&gt;"",IF(COUNTA($E79:$W79)&gt;0," OR ","")&amp;'Dashboard Config'!$B$7&amp;"="""&amp;X79&amp;"""","")&amp;IF(Y79&lt;&gt;"",IF(COUNTA($E79:$X79)&gt;0," OR ","")&amp;'Dashboard Config'!$B$7&amp;"="""&amp;Y79&amp;"""","")&amp;IF(Z79&lt;&gt;"",IF(COUNTA($E79:$Y79)&gt;0," OR ","")&amp;'Dashboard Config'!$B$7&amp;"="""&amp;Z79&amp;"""","")&amp;IF(AA79&lt;&gt;"",IF(COUNTA($E79:$Z79)&gt;0," OR ","")&amp;'Dashboard Config'!$B$7&amp;"="""&amp;AA79&amp;"""","")&amp;IF(AB79&lt;&gt;"",IF(COUNTA($E79:$AA79)&gt;0," OR ","")&amp;'Dashboard Config'!$B$7&amp;"="""&amp;AB79&amp;"""","")&amp;IF(AC79&lt;&gt;"",IF(COUNTA($E79:$AB79)&gt;0," OR ","")&amp;AC79,"")&amp;")")</x:f>
      </x:c>
      <x:c r="AE79" s="48" t="str">
        <x:f>IF($AD79="","",CHAR(123)&amp;CHAR(34)&amp;"label"&amp;CHAR(34)&amp;":"&amp;CHAR(34)&amp;$C79&amp;CHAR(34)&amp;","&amp;CHAR(34)&amp;"value"&amp;CHAR(34)&amp;":"&amp;CHAR(34)&amp;SUBSTITUTE($AD79,CHAR(34),CHAR(92)&amp;CHAR(34))&amp;CHAR(34)&amp;CHAR(125))</x:f>
      </x:c>
      <x:c r="AF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  <x:c r="AA80" s="42"/>
      <x:c r="AB80" s="42"/>
      <x:c r="AC80" s="42"/>
      <x:c r="AD80" s="48" t="str">
        <x:f>IF(OR($A80&lt;&gt;"Yes",$C80="",COUNTA($E80:$AC80)=0),"","("&amp;IF(E80&lt;&gt;"",'Dashboard Config'!$B$6&amp;"="""&amp;E80&amp;"""","")&amp;IF(F80&lt;&gt;"",IF(COUNTA($E80:$E80)&gt;0," OR ","")&amp;'Dashboard Config'!$B$6&amp;"="""&amp;F80&amp;"""","")&amp;IF(G80&lt;&gt;"",IF(COUNTA($E80:$F80)&gt;0," OR ","")&amp;'Dashboard Config'!$B$6&amp;"="""&amp;G80&amp;"""","")&amp;IF(H80&lt;&gt;"",IF(COUNTA($E80:$G80)&gt;0," OR ","")&amp;'Dashboard Config'!$B$6&amp;"="""&amp;H80&amp;"""","")&amp;IF(I80&lt;&gt;"",IF(COUNTA($E80:$H80)&gt;0," OR ","")&amp;'Dashboard Config'!$B$6&amp;"="""&amp;I80&amp;"""","")&amp;IF(J80&lt;&gt;"",IF(COUNTA($E80:$I80)&gt;0," OR ","")&amp;'Dashboard Config'!$B$6&amp;"="""&amp;J80&amp;"""","")&amp;IF(K80&lt;&gt;"",IF(COUNTA($E80:$J80)&gt;0," OR ","")&amp;'Dashboard Config'!$B$6&amp;"="""&amp;K80&amp;"""","")&amp;IF(L80&lt;&gt;"",IF(COUNTA($E80:$K80)&gt;0," OR ","")&amp;'Dashboard Config'!$B$6&amp;"="""&amp;L80&amp;"""","")&amp;IF(M80&lt;&gt;"",IF(COUNTA($E80:$L80)&gt;0," OR ","")&amp;'Dashboard Config'!$B$7&amp;"="""&amp;M80&amp;"""","")&amp;IF(N80&lt;&gt;"",IF(COUNTA($E80:$M80)&gt;0," OR ","")&amp;'Dashboard Config'!$B$7&amp;"="""&amp;N80&amp;"""","")&amp;IF(O80&lt;&gt;"",IF(COUNTA($E80:$N80)&gt;0," OR ","")&amp;'Dashboard Config'!$B$7&amp;"="""&amp;O80&amp;"""","")&amp;IF(P80&lt;&gt;"",IF(COUNTA($E80:$O80)&gt;0," OR ","")&amp;'Dashboard Config'!$B$7&amp;"="""&amp;P80&amp;"""","")&amp;IF(Q80&lt;&gt;"",IF(COUNTA($E80:$P80)&gt;0," OR ","")&amp;'Dashboard Config'!$B$7&amp;"="""&amp;Q80&amp;"""","")&amp;IF(R80&lt;&gt;"",IF(COUNTA($E80:$Q80)&gt;0," OR ","")&amp;'Dashboard Config'!$B$7&amp;"="""&amp;R80&amp;"""","")&amp;IF(S80&lt;&gt;"",IF(COUNTA($E80:$R80)&gt;0," OR ","")&amp;'Dashboard Config'!$B$7&amp;"="""&amp;S80&amp;"""","")&amp;IF(T80&lt;&gt;"",IF(COUNTA($E80:$S80)&gt;0," OR ","")&amp;'Dashboard Config'!$B$7&amp;"="""&amp;T80&amp;"""","")&amp;IF(U80&lt;&gt;"",IF(COUNTA($E80:$T80)&gt;0," OR ","")&amp;'Dashboard Config'!$B$7&amp;"="""&amp;U80&amp;"""","")&amp;IF(V80&lt;&gt;"",IF(COUNTA($E80:$U80)&gt;0," OR ","")&amp;'Dashboard Config'!$B$7&amp;"="""&amp;V80&amp;"""","")&amp;IF(W80&lt;&gt;"",IF(COUNTA($E80:$V80)&gt;0," OR ","")&amp;'Dashboard Config'!$B$7&amp;"="""&amp;W80&amp;"""","")&amp;IF(X80&lt;&gt;"",IF(COUNTA($E80:$W80)&gt;0," OR ","")&amp;'Dashboard Config'!$B$7&amp;"="""&amp;X80&amp;"""","")&amp;IF(Y80&lt;&gt;"",IF(COUNTA($E80:$X80)&gt;0," OR ","")&amp;'Dashboard Config'!$B$7&amp;"="""&amp;Y80&amp;"""","")&amp;IF(Z80&lt;&gt;"",IF(COUNTA($E80:$Y80)&gt;0," OR ","")&amp;'Dashboard Config'!$B$7&amp;"="""&amp;Z80&amp;"""","")&amp;IF(AA80&lt;&gt;"",IF(COUNTA($E80:$Z80)&gt;0," OR ","")&amp;'Dashboard Config'!$B$7&amp;"="""&amp;AA80&amp;"""","")&amp;IF(AB80&lt;&gt;"",IF(COUNTA($E80:$AA80)&gt;0," OR ","")&amp;'Dashboard Config'!$B$7&amp;"="""&amp;AB80&amp;"""","")&amp;IF(AC80&lt;&gt;"",IF(COUNTA($E80:$AB80)&gt;0," OR ","")&amp;AC80,"")&amp;")")</x:f>
      </x:c>
      <x:c r="AE80" s="48" t="str">
        <x:f>IF($AD80="","",CHAR(123)&amp;CHAR(34)&amp;"label"&amp;CHAR(34)&amp;":"&amp;CHAR(34)&amp;$C80&amp;CHAR(34)&amp;","&amp;CHAR(34)&amp;"value"&amp;CHAR(34)&amp;":"&amp;CHAR(34)&amp;SUBSTITUTE($AD80,CHAR(34),CHAR(92)&amp;CHAR(34))&amp;CHAR(34)&amp;CHAR(125))</x:f>
      </x:c>
      <x:c r="AF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  <x:c r="AA81" s="42"/>
      <x:c r="AB81" s="42"/>
      <x:c r="AC81" s="42"/>
      <x:c r="AD81" s="48" t="str">
        <x:f>IF(OR($A81&lt;&gt;"Yes",$C81="",COUNTA($E81:$AC81)=0),"","("&amp;IF(E81&lt;&gt;"",'Dashboard Config'!$B$6&amp;"="""&amp;E81&amp;"""","")&amp;IF(F81&lt;&gt;"",IF(COUNTA($E81:$E81)&gt;0," OR ","")&amp;'Dashboard Config'!$B$6&amp;"="""&amp;F81&amp;"""","")&amp;IF(G81&lt;&gt;"",IF(COUNTA($E81:$F81)&gt;0," OR ","")&amp;'Dashboard Config'!$B$6&amp;"="""&amp;G81&amp;"""","")&amp;IF(H81&lt;&gt;"",IF(COUNTA($E81:$G81)&gt;0," OR ","")&amp;'Dashboard Config'!$B$6&amp;"="""&amp;H81&amp;"""","")&amp;IF(I81&lt;&gt;"",IF(COUNTA($E81:$H81)&gt;0," OR ","")&amp;'Dashboard Config'!$B$6&amp;"="""&amp;I81&amp;"""","")&amp;IF(J81&lt;&gt;"",IF(COUNTA($E81:$I81)&gt;0," OR ","")&amp;'Dashboard Config'!$B$6&amp;"="""&amp;J81&amp;"""","")&amp;IF(K81&lt;&gt;"",IF(COUNTA($E81:$J81)&gt;0," OR ","")&amp;'Dashboard Config'!$B$6&amp;"="""&amp;K81&amp;"""","")&amp;IF(L81&lt;&gt;"",IF(COUNTA($E81:$K81)&gt;0," OR ","")&amp;'Dashboard Config'!$B$6&amp;"="""&amp;L81&amp;"""","")&amp;IF(M81&lt;&gt;"",IF(COUNTA($E81:$L81)&gt;0," OR ","")&amp;'Dashboard Config'!$B$7&amp;"="""&amp;M81&amp;"""","")&amp;IF(N81&lt;&gt;"",IF(COUNTA($E81:$M81)&gt;0," OR ","")&amp;'Dashboard Config'!$B$7&amp;"="""&amp;N81&amp;"""","")&amp;IF(O81&lt;&gt;"",IF(COUNTA($E81:$N81)&gt;0," OR ","")&amp;'Dashboard Config'!$B$7&amp;"="""&amp;O81&amp;"""","")&amp;IF(P81&lt;&gt;"",IF(COUNTA($E81:$O81)&gt;0," OR ","")&amp;'Dashboard Config'!$B$7&amp;"="""&amp;P81&amp;"""","")&amp;IF(Q81&lt;&gt;"",IF(COUNTA($E81:$P81)&gt;0," OR ","")&amp;'Dashboard Config'!$B$7&amp;"="""&amp;Q81&amp;"""","")&amp;IF(R81&lt;&gt;"",IF(COUNTA($E81:$Q81)&gt;0," OR ","")&amp;'Dashboard Config'!$B$7&amp;"="""&amp;R81&amp;"""","")&amp;IF(S81&lt;&gt;"",IF(COUNTA($E81:$R81)&gt;0," OR ","")&amp;'Dashboard Config'!$B$7&amp;"="""&amp;S81&amp;"""","")&amp;IF(T81&lt;&gt;"",IF(COUNTA($E81:$S81)&gt;0," OR ","")&amp;'Dashboard Config'!$B$7&amp;"="""&amp;T81&amp;"""","")&amp;IF(U81&lt;&gt;"",IF(COUNTA($E81:$T81)&gt;0," OR ","")&amp;'Dashboard Config'!$B$7&amp;"="""&amp;U81&amp;"""","")&amp;IF(V81&lt;&gt;"",IF(COUNTA($E81:$U81)&gt;0," OR ","")&amp;'Dashboard Config'!$B$7&amp;"="""&amp;V81&amp;"""","")&amp;IF(W81&lt;&gt;"",IF(COUNTA($E81:$V81)&gt;0," OR ","")&amp;'Dashboard Config'!$B$7&amp;"="""&amp;W81&amp;"""","")&amp;IF(X81&lt;&gt;"",IF(COUNTA($E81:$W81)&gt;0," OR ","")&amp;'Dashboard Config'!$B$7&amp;"="""&amp;X81&amp;"""","")&amp;IF(Y81&lt;&gt;"",IF(COUNTA($E81:$X81)&gt;0," OR ","")&amp;'Dashboard Config'!$B$7&amp;"="""&amp;Y81&amp;"""","")&amp;IF(Z81&lt;&gt;"",IF(COUNTA($E81:$Y81)&gt;0," OR ","")&amp;'Dashboard Config'!$B$7&amp;"="""&amp;Z81&amp;"""","")&amp;IF(AA81&lt;&gt;"",IF(COUNTA($E81:$Z81)&gt;0," OR ","")&amp;'Dashboard Config'!$B$7&amp;"="""&amp;AA81&amp;"""","")&amp;IF(AB81&lt;&gt;"",IF(COUNTA($E81:$AA81)&gt;0," OR ","")&amp;'Dashboard Config'!$B$7&amp;"="""&amp;AB81&amp;"""","")&amp;IF(AC81&lt;&gt;"",IF(COUNTA($E81:$AB81)&gt;0," OR ","")&amp;AC81,"")&amp;")")</x:f>
      </x:c>
      <x:c r="AE81" s="48" t="str">
        <x:f>IF($AD81="","",CHAR(123)&amp;CHAR(34)&amp;"label"&amp;CHAR(34)&amp;":"&amp;CHAR(34)&amp;$C81&amp;CHAR(34)&amp;","&amp;CHAR(34)&amp;"value"&amp;CHAR(34)&amp;":"&amp;CHAR(34)&amp;SUBSTITUTE($AD81,CHAR(34),CHAR(92)&amp;CHAR(34))&amp;CHAR(34)&amp;CHAR(125))</x:f>
      </x:c>
      <x:c r="AF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  <x:c r="AA82" s="42"/>
      <x:c r="AB82" s="42"/>
      <x:c r="AC82" s="42"/>
      <x:c r="AD82" s="48" t="str">
        <x:f>IF(OR($A82&lt;&gt;"Yes",$C82="",COUNTA($E82:$AC82)=0),"","("&amp;IF(E82&lt;&gt;"",'Dashboard Config'!$B$6&amp;"="""&amp;E82&amp;"""","")&amp;IF(F82&lt;&gt;"",IF(COUNTA($E82:$E82)&gt;0," OR ","")&amp;'Dashboard Config'!$B$6&amp;"="""&amp;F82&amp;"""","")&amp;IF(G82&lt;&gt;"",IF(COUNTA($E82:$F82)&gt;0," OR ","")&amp;'Dashboard Config'!$B$6&amp;"="""&amp;G82&amp;"""","")&amp;IF(H82&lt;&gt;"",IF(COUNTA($E82:$G82)&gt;0," OR ","")&amp;'Dashboard Config'!$B$6&amp;"="""&amp;H82&amp;"""","")&amp;IF(I82&lt;&gt;"",IF(COUNTA($E82:$H82)&gt;0," OR ","")&amp;'Dashboard Config'!$B$6&amp;"="""&amp;I82&amp;"""","")&amp;IF(J82&lt;&gt;"",IF(COUNTA($E82:$I82)&gt;0," OR ","")&amp;'Dashboard Config'!$B$6&amp;"="""&amp;J82&amp;"""","")&amp;IF(K82&lt;&gt;"",IF(COUNTA($E82:$J82)&gt;0," OR ","")&amp;'Dashboard Config'!$B$6&amp;"="""&amp;K82&amp;"""","")&amp;IF(L82&lt;&gt;"",IF(COUNTA($E82:$K82)&gt;0," OR ","")&amp;'Dashboard Config'!$B$6&amp;"="""&amp;L82&amp;"""","")&amp;IF(M82&lt;&gt;"",IF(COUNTA($E82:$L82)&gt;0," OR ","")&amp;'Dashboard Config'!$B$7&amp;"="""&amp;M82&amp;"""","")&amp;IF(N82&lt;&gt;"",IF(COUNTA($E82:$M82)&gt;0," OR ","")&amp;'Dashboard Config'!$B$7&amp;"="""&amp;N82&amp;"""","")&amp;IF(O82&lt;&gt;"",IF(COUNTA($E82:$N82)&gt;0," OR ","")&amp;'Dashboard Config'!$B$7&amp;"="""&amp;O82&amp;"""","")&amp;IF(P82&lt;&gt;"",IF(COUNTA($E82:$O82)&gt;0," OR ","")&amp;'Dashboard Config'!$B$7&amp;"="""&amp;P82&amp;"""","")&amp;IF(Q82&lt;&gt;"",IF(COUNTA($E82:$P82)&gt;0," OR ","")&amp;'Dashboard Config'!$B$7&amp;"="""&amp;Q82&amp;"""","")&amp;IF(R82&lt;&gt;"",IF(COUNTA($E82:$Q82)&gt;0," OR ","")&amp;'Dashboard Config'!$B$7&amp;"="""&amp;R82&amp;"""","")&amp;IF(S82&lt;&gt;"",IF(COUNTA($E82:$R82)&gt;0," OR ","")&amp;'Dashboard Config'!$B$7&amp;"="""&amp;S82&amp;"""","")&amp;IF(T82&lt;&gt;"",IF(COUNTA($E82:$S82)&gt;0," OR ","")&amp;'Dashboard Config'!$B$7&amp;"="""&amp;T82&amp;"""","")&amp;IF(U82&lt;&gt;"",IF(COUNTA($E82:$T82)&gt;0," OR ","")&amp;'Dashboard Config'!$B$7&amp;"="""&amp;U82&amp;"""","")&amp;IF(V82&lt;&gt;"",IF(COUNTA($E82:$U82)&gt;0," OR ","")&amp;'Dashboard Config'!$B$7&amp;"="""&amp;V82&amp;"""","")&amp;IF(W82&lt;&gt;"",IF(COUNTA($E82:$V82)&gt;0," OR ","")&amp;'Dashboard Config'!$B$7&amp;"="""&amp;W82&amp;"""","")&amp;IF(X82&lt;&gt;"",IF(COUNTA($E82:$W82)&gt;0," OR ","")&amp;'Dashboard Config'!$B$7&amp;"="""&amp;X82&amp;"""","")&amp;IF(Y82&lt;&gt;"",IF(COUNTA($E82:$X82)&gt;0," OR ","")&amp;'Dashboard Config'!$B$7&amp;"="""&amp;Y82&amp;"""","")&amp;IF(Z82&lt;&gt;"",IF(COUNTA($E82:$Y82)&gt;0," OR ","")&amp;'Dashboard Config'!$B$7&amp;"="""&amp;Z82&amp;"""","")&amp;IF(AA82&lt;&gt;"",IF(COUNTA($E82:$Z82)&gt;0," OR ","")&amp;'Dashboard Config'!$B$7&amp;"="""&amp;AA82&amp;"""","")&amp;IF(AB82&lt;&gt;"",IF(COUNTA($E82:$AA82)&gt;0," OR ","")&amp;'Dashboard Config'!$B$7&amp;"="""&amp;AB82&amp;"""","")&amp;IF(AC82&lt;&gt;"",IF(COUNTA($E82:$AB82)&gt;0," OR ","")&amp;AC82,"")&amp;")")</x:f>
      </x:c>
      <x:c r="AE82" s="48" t="str">
        <x:f>IF($AD82="","",CHAR(123)&amp;CHAR(34)&amp;"label"&amp;CHAR(34)&amp;":"&amp;CHAR(34)&amp;$C82&amp;CHAR(34)&amp;","&amp;CHAR(34)&amp;"value"&amp;CHAR(34)&amp;":"&amp;CHAR(34)&amp;SUBSTITUTE($AD82,CHAR(34),CHAR(92)&amp;CHAR(34))&amp;CHAR(34)&amp;CHAR(125))</x:f>
      </x:c>
      <x:c r="AF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  <x:c r="AA83" s="42"/>
      <x:c r="AB83" s="42"/>
      <x:c r="AC83" s="42"/>
      <x:c r="AD83" s="48" t="str">
        <x:f>IF(OR($A83&lt;&gt;"Yes",$C83="",COUNTA($E83:$AC83)=0),"","("&amp;IF(E83&lt;&gt;"",'Dashboard Config'!$B$6&amp;"="""&amp;E83&amp;"""","")&amp;IF(F83&lt;&gt;"",IF(COUNTA($E83:$E83)&gt;0," OR ","")&amp;'Dashboard Config'!$B$6&amp;"="""&amp;F83&amp;"""","")&amp;IF(G83&lt;&gt;"",IF(COUNTA($E83:$F83)&gt;0," OR ","")&amp;'Dashboard Config'!$B$6&amp;"="""&amp;G83&amp;"""","")&amp;IF(H83&lt;&gt;"",IF(COUNTA($E83:$G83)&gt;0," OR ","")&amp;'Dashboard Config'!$B$6&amp;"="""&amp;H83&amp;"""","")&amp;IF(I83&lt;&gt;"",IF(COUNTA($E83:$H83)&gt;0," OR ","")&amp;'Dashboard Config'!$B$6&amp;"="""&amp;I83&amp;"""","")&amp;IF(J83&lt;&gt;"",IF(COUNTA($E83:$I83)&gt;0," OR ","")&amp;'Dashboard Config'!$B$6&amp;"="""&amp;J83&amp;"""","")&amp;IF(K83&lt;&gt;"",IF(COUNTA($E83:$J83)&gt;0," OR ","")&amp;'Dashboard Config'!$B$6&amp;"="""&amp;K83&amp;"""","")&amp;IF(L83&lt;&gt;"",IF(COUNTA($E83:$K83)&gt;0," OR ","")&amp;'Dashboard Config'!$B$6&amp;"="""&amp;L83&amp;"""","")&amp;IF(M83&lt;&gt;"",IF(COUNTA($E83:$L83)&gt;0," OR ","")&amp;'Dashboard Config'!$B$7&amp;"="""&amp;M83&amp;"""","")&amp;IF(N83&lt;&gt;"",IF(COUNTA($E83:$M83)&gt;0," OR ","")&amp;'Dashboard Config'!$B$7&amp;"="""&amp;N83&amp;"""","")&amp;IF(O83&lt;&gt;"",IF(COUNTA($E83:$N83)&gt;0," OR ","")&amp;'Dashboard Config'!$B$7&amp;"="""&amp;O83&amp;"""","")&amp;IF(P83&lt;&gt;"",IF(COUNTA($E83:$O83)&gt;0," OR ","")&amp;'Dashboard Config'!$B$7&amp;"="""&amp;P83&amp;"""","")&amp;IF(Q83&lt;&gt;"",IF(COUNTA($E83:$P83)&gt;0," OR ","")&amp;'Dashboard Config'!$B$7&amp;"="""&amp;Q83&amp;"""","")&amp;IF(R83&lt;&gt;"",IF(COUNTA($E83:$Q83)&gt;0," OR ","")&amp;'Dashboard Config'!$B$7&amp;"="""&amp;R83&amp;"""","")&amp;IF(S83&lt;&gt;"",IF(COUNTA($E83:$R83)&gt;0," OR ","")&amp;'Dashboard Config'!$B$7&amp;"="""&amp;S83&amp;"""","")&amp;IF(T83&lt;&gt;"",IF(COUNTA($E83:$S83)&gt;0," OR ","")&amp;'Dashboard Config'!$B$7&amp;"="""&amp;T83&amp;"""","")&amp;IF(U83&lt;&gt;"",IF(COUNTA($E83:$T83)&gt;0," OR ","")&amp;'Dashboard Config'!$B$7&amp;"="""&amp;U83&amp;"""","")&amp;IF(V83&lt;&gt;"",IF(COUNTA($E83:$U83)&gt;0," OR ","")&amp;'Dashboard Config'!$B$7&amp;"="""&amp;V83&amp;"""","")&amp;IF(W83&lt;&gt;"",IF(COUNTA($E83:$V83)&gt;0," OR ","")&amp;'Dashboard Config'!$B$7&amp;"="""&amp;W83&amp;"""","")&amp;IF(X83&lt;&gt;"",IF(COUNTA($E83:$W83)&gt;0," OR ","")&amp;'Dashboard Config'!$B$7&amp;"="""&amp;X83&amp;"""","")&amp;IF(Y83&lt;&gt;"",IF(COUNTA($E83:$X83)&gt;0," OR ","")&amp;'Dashboard Config'!$B$7&amp;"="""&amp;Y83&amp;"""","")&amp;IF(Z83&lt;&gt;"",IF(COUNTA($E83:$Y83)&gt;0," OR ","")&amp;'Dashboard Config'!$B$7&amp;"="""&amp;Z83&amp;"""","")&amp;IF(AA83&lt;&gt;"",IF(COUNTA($E83:$Z83)&gt;0," OR ","")&amp;'Dashboard Config'!$B$7&amp;"="""&amp;AA83&amp;"""","")&amp;IF(AB83&lt;&gt;"",IF(COUNTA($E83:$AA83)&gt;0," OR ","")&amp;'Dashboard Config'!$B$7&amp;"="""&amp;AB83&amp;"""","")&amp;IF(AC83&lt;&gt;"",IF(COUNTA($E83:$AB83)&gt;0," OR ","")&amp;AC83,"")&amp;")")</x:f>
      </x:c>
      <x:c r="AE83" s="48" t="str">
        <x:f>IF($AD83="","",CHAR(123)&amp;CHAR(34)&amp;"label"&amp;CHAR(34)&amp;":"&amp;CHAR(34)&amp;$C83&amp;CHAR(34)&amp;","&amp;CHAR(34)&amp;"value"&amp;CHAR(34)&amp;":"&amp;CHAR(34)&amp;SUBSTITUTE($AD83,CHAR(34),CHAR(92)&amp;CHAR(34))&amp;CHAR(34)&amp;CHAR(125))</x:f>
      </x:c>
      <x:c r="AF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  <x:c r="AA84" s="42"/>
      <x:c r="AB84" s="42"/>
      <x:c r="AC84" s="42"/>
      <x:c r="AD84" s="48" t="str">
        <x:f>IF(OR($A84&lt;&gt;"Yes",$C84="",COUNTA($E84:$AC84)=0),"","("&amp;IF(E84&lt;&gt;"",'Dashboard Config'!$B$6&amp;"="""&amp;E84&amp;"""","")&amp;IF(F84&lt;&gt;"",IF(COUNTA($E84:$E84)&gt;0," OR ","")&amp;'Dashboard Config'!$B$6&amp;"="""&amp;F84&amp;"""","")&amp;IF(G84&lt;&gt;"",IF(COUNTA($E84:$F84)&gt;0," OR ","")&amp;'Dashboard Config'!$B$6&amp;"="""&amp;G84&amp;"""","")&amp;IF(H84&lt;&gt;"",IF(COUNTA($E84:$G84)&gt;0," OR ","")&amp;'Dashboard Config'!$B$6&amp;"="""&amp;H84&amp;"""","")&amp;IF(I84&lt;&gt;"",IF(COUNTA($E84:$H84)&gt;0," OR ","")&amp;'Dashboard Config'!$B$6&amp;"="""&amp;I84&amp;"""","")&amp;IF(J84&lt;&gt;"",IF(COUNTA($E84:$I84)&gt;0," OR ","")&amp;'Dashboard Config'!$B$6&amp;"="""&amp;J84&amp;"""","")&amp;IF(K84&lt;&gt;"",IF(COUNTA($E84:$J84)&gt;0," OR ","")&amp;'Dashboard Config'!$B$6&amp;"="""&amp;K84&amp;"""","")&amp;IF(L84&lt;&gt;"",IF(COUNTA($E84:$K84)&gt;0," OR ","")&amp;'Dashboard Config'!$B$6&amp;"="""&amp;L84&amp;"""","")&amp;IF(M84&lt;&gt;"",IF(COUNTA($E84:$L84)&gt;0," OR ","")&amp;'Dashboard Config'!$B$7&amp;"="""&amp;M84&amp;"""","")&amp;IF(N84&lt;&gt;"",IF(COUNTA($E84:$M84)&gt;0," OR ","")&amp;'Dashboard Config'!$B$7&amp;"="""&amp;N84&amp;"""","")&amp;IF(O84&lt;&gt;"",IF(COUNTA($E84:$N84)&gt;0," OR ","")&amp;'Dashboard Config'!$B$7&amp;"="""&amp;O84&amp;"""","")&amp;IF(P84&lt;&gt;"",IF(COUNTA($E84:$O84)&gt;0," OR ","")&amp;'Dashboard Config'!$B$7&amp;"="""&amp;P84&amp;"""","")&amp;IF(Q84&lt;&gt;"",IF(COUNTA($E84:$P84)&gt;0," OR ","")&amp;'Dashboard Config'!$B$7&amp;"="""&amp;Q84&amp;"""","")&amp;IF(R84&lt;&gt;"",IF(COUNTA($E84:$Q84)&gt;0," OR ","")&amp;'Dashboard Config'!$B$7&amp;"="""&amp;R84&amp;"""","")&amp;IF(S84&lt;&gt;"",IF(COUNTA($E84:$R84)&gt;0," OR ","")&amp;'Dashboard Config'!$B$7&amp;"="""&amp;S84&amp;"""","")&amp;IF(T84&lt;&gt;"",IF(COUNTA($E84:$S84)&gt;0," OR ","")&amp;'Dashboard Config'!$B$7&amp;"="""&amp;T84&amp;"""","")&amp;IF(U84&lt;&gt;"",IF(COUNTA($E84:$T84)&gt;0," OR ","")&amp;'Dashboard Config'!$B$7&amp;"="""&amp;U84&amp;"""","")&amp;IF(V84&lt;&gt;"",IF(COUNTA($E84:$U84)&gt;0," OR ","")&amp;'Dashboard Config'!$B$7&amp;"="""&amp;V84&amp;"""","")&amp;IF(W84&lt;&gt;"",IF(COUNTA($E84:$V84)&gt;0," OR ","")&amp;'Dashboard Config'!$B$7&amp;"="""&amp;W84&amp;"""","")&amp;IF(X84&lt;&gt;"",IF(COUNTA($E84:$W84)&gt;0," OR ","")&amp;'Dashboard Config'!$B$7&amp;"="""&amp;X84&amp;"""","")&amp;IF(Y84&lt;&gt;"",IF(COUNTA($E84:$X84)&gt;0," OR ","")&amp;'Dashboard Config'!$B$7&amp;"="""&amp;Y84&amp;"""","")&amp;IF(Z84&lt;&gt;"",IF(COUNTA($E84:$Y84)&gt;0," OR ","")&amp;'Dashboard Config'!$B$7&amp;"="""&amp;Z84&amp;"""","")&amp;IF(AA84&lt;&gt;"",IF(COUNTA($E84:$Z84)&gt;0," OR ","")&amp;'Dashboard Config'!$B$7&amp;"="""&amp;AA84&amp;"""","")&amp;IF(AB84&lt;&gt;"",IF(COUNTA($E84:$AA84)&gt;0," OR ","")&amp;'Dashboard Config'!$B$7&amp;"="""&amp;AB84&amp;"""","")&amp;IF(AC84&lt;&gt;"",IF(COUNTA($E84:$AB84)&gt;0," OR ","")&amp;AC84,"")&amp;")")</x:f>
      </x:c>
      <x:c r="AE84" s="48" t="str">
        <x:f>IF($AD84="","",CHAR(123)&amp;CHAR(34)&amp;"label"&amp;CHAR(34)&amp;":"&amp;CHAR(34)&amp;$C84&amp;CHAR(34)&amp;","&amp;CHAR(34)&amp;"value"&amp;CHAR(34)&amp;":"&amp;CHAR(34)&amp;SUBSTITUTE($AD84,CHAR(34),CHAR(92)&amp;CHAR(34))&amp;CHAR(34)&amp;CHAR(125))</x:f>
      </x:c>
      <x:c r="AF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  <x:c r="AA85" s="42"/>
      <x:c r="AB85" s="42"/>
      <x:c r="AC85" s="42"/>
      <x:c r="AD85" s="48" t="str">
        <x:f>IF(OR($A85&lt;&gt;"Yes",$C85="",COUNTA($E85:$AC85)=0),"","("&amp;IF(E85&lt;&gt;"",'Dashboard Config'!$B$6&amp;"="""&amp;E85&amp;"""","")&amp;IF(F85&lt;&gt;"",IF(COUNTA($E85:$E85)&gt;0," OR ","")&amp;'Dashboard Config'!$B$6&amp;"="""&amp;F85&amp;"""","")&amp;IF(G85&lt;&gt;"",IF(COUNTA($E85:$F85)&gt;0," OR ","")&amp;'Dashboard Config'!$B$6&amp;"="""&amp;G85&amp;"""","")&amp;IF(H85&lt;&gt;"",IF(COUNTA($E85:$G85)&gt;0," OR ","")&amp;'Dashboard Config'!$B$6&amp;"="""&amp;H85&amp;"""","")&amp;IF(I85&lt;&gt;"",IF(COUNTA($E85:$H85)&gt;0," OR ","")&amp;'Dashboard Config'!$B$6&amp;"="""&amp;I85&amp;"""","")&amp;IF(J85&lt;&gt;"",IF(COUNTA($E85:$I85)&gt;0," OR ","")&amp;'Dashboard Config'!$B$6&amp;"="""&amp;J85&amp;"""","")&amp;IF(K85&lt;&gt;"",IF(COUNTA($E85:$J85)&gt;0," OR ","")&amp;'Dashboard Config'!$B$6&amp;"="""&amp;K85&amp;"""","")&amp;IF(L85&lt;&gt;"",IF(COUNTA($E85:$K85)&gt;0," OR ","")&amp;'Dashboard Config'!$B$6&amp;"="""&amp;L85&amp;"""","")&amp;IF(M85&lt;&gt;"",IF(COUNTA($E85:$L85)&gt;0," OR ","")&amp;'Dashboard Config'!$B$7&amp;"="""&amp;M85&amp;"""","")&amp;IF(N85&lt;&gt;"",IF(COUNTA($E85:$M85)&gt;0," OR ","")&amp;'Dashboard Config'!$B$7&amp;"="""&amp;N85&amp;"""","")&amp;IF(O85&lt;&gt;"",IF(COUNTA($E85:$N85)&gt;0," OR ","")&amp;'Dashboard Config'!$B$7&amp;"="""&amp;O85&amp;"""","")&amp;IF(P85&lt;&gt;"",IF(COUNTA($E85:$O85)&gt;0," OR ","")&amp;'Dashboard Config'!$B$7&amp;"="""&amp;P85&amp;"""","")&amp;IF(Q85&lt;&gt;"",IF(COUNTA($E85:$P85)&gt;0," OR ","")&amp;'Dashboard Config'!$B$7&amp;"="""&amp;Q85&amp;"""","")&amp;IF(R85&lt;&gt;"",IF(COUNTA($E85:$Q85)&gt;0," OR ","")&amp;'Dashboard Config'!$B$7&amp;"="""&amp;R85&amp;"""","")&amp;IF(S85&lt;&gt;"",IF(COUNTA($E85:$R85)&gt;0," OR ","")&amp;'Dashboard Config'!$B$7&amp;"="""&amp;S85&amp;"""","")&amp;IF(T85&lt;&gt;"",IF(COUNTA($E85:$S85)&gt;0," OR ","")&amp;'Dashboard Config'!$B$7&amp;"="""&amp;T85&amp;"""","")&amp;IF(U85&lt;&gt;"",IF(COUNTA($E85:$T85)&gt;0," OR ","")&amp;'Dashboard Config'!$B$7&amp;"="""&amp;U85&amp;"""","")&amp;IF(V85&lt;&gt;"",IF(COUNTA($E85:$U85)&gt;0," OR ","")&amp;'Dashboard Config'!$B$7&amp;"="""&amp;V85&amp;"""","")&amp;IF(W85&lt;&gt;"",IF(COUNTA($E85:$V85)&gt;0," OR ","")&amp;'Dashboard Config'!$B$7&amp;"="""&amp;W85&amp;"""","")&amp;IF(X85&lt;&gt;"",IF(COUNTA($E85:$W85)&gt;0," OR ","")&amp;'Dashboard Config'!$B$7&amp;"="""&amp;X85&amp;"""","")&amp;IF(Y85&lt;&gt;"",IF(COUNTA($E85:$X85)&gt;0," OR ","")&amp;'Dashboard Config'!$B$7&amp;"="""&amp;Y85&amp;"""","")&amp;IF(Z85&lt;&gt;"",IF(COUNTA($E85:$Y85)&gt;0," OR ","")&amp;'Dashboard Config'!$B$7&amp;"="""&amp;Z85&amp;"""","")&amp;IF(AA85&lt;&gt;"",IF(COUNTA($E85:$Z85)&gt;0," OR ","")&amp;'Dashboard Config'!$B$7&amp;"="""&amp;AA85&amp;"""","")&amp;IF(AB85&lt;&gt;"",IF(COUNTA($E85:$AA85)&gt;0," OR ","")&amp;'Dashboard Config'!$B$7&amp;"="""&amp;AB85&amp;"""","")&amp;IF(AC85&lt;&gt;"",IF(COUNTA($E85:$AB85)&gt;0," OR ","")&amp;AC85,"")&amp;")")</x:f>
      </x:c>
      <x:c r="AE85" s="48" t="str">
        <x:f>IF($AD85="","",CHAR(123)&amp;CHAR(34)&amp;"label"&amp;CHAR(34)&amp;":"&amp;CHAR(34)&amp;$C85&amp;CHAR(34)&amp;","&amp;CHAR(34)&amp;"value"&amp;CHAR(34)&amp;":"&amp;CHAR(34)&amp;SUBSTITUTE($AD85,CHAR(34),CHAR(92)&amp;CHAR(34))&amp;CHAR(34)&amp;CHAR(125))</x:f>
      </x:c>
      <x:c r="AF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  <x:c r="AA86" s="42"/>
      <x:c r="AB86" s="42"/>
      <x:c r="AC86" s="42"/>
      <x:c r="AD86" s="48" t="str">
        <x:f>IF(OR($A86&lt;&gt;"Yes",$C86="",COUNTA($E86:$AC86)=0),"","("&amp;IF(E86&lt;&gt;"",'Dashboard Config'!$B$6&amp;"="""&amp;E86&amp;"""","")&amp;IF(F86&lt;&gt;"",IF(COUNTA($E86:$E86)&gt;0," OR ","")&amp;'Dashboard Config'!$B$6&amp;"="""&amp;F86&amp;"""","")&amp;IF(G86&lt;&gt;"",IF(COUNTA($E86:$F86)&gt;0," OR ","")&amp;'Dashboard Config'!$B$6&amp;"="""&amp;G86&amp;"""","")&amp;IF(H86&lt;&gt;"",IF(COUNTA($E86:$G86)&gt;0," OR ","")&amp;'Dashboard Config'!$B$6&amp;"="""&amp;H86&amp;"""","")&amp;IF(I86&lt;&gt;"",IF(COUNTA($E86:$H86)&gt;0," OR ","")&amp;'Dashboard Config'!$B$6&amp;"="""&amp;I86&amp;"""","")&amp;IF(J86&lt;&gt;"",IF(COUNTA($E86:$I86)&gt;0," OR ","")&amp;'Dashboard Config'!$B$6&amp;"="""&amp;J86&amp;"""","")&amp;IF(K86&lt;&gt;"",IF(COUNTA($E86:$J86)&gt;0," OR ","")&amp;'Dashboard Config'!$B$6&amp;"="""&amp;K86&amp;"""","")&amp;IF(L86&lt;&gt;"",IF(COUNTA($E86:$K86)&gt;0," OR ","")&amp;'Dashboard Config'!$B$6&amp;"="""&amp;L86&amp;"""","")&amp;IF(M86&lt;&gt;"",IF(COUNTA($E86:$L86)&gt;0," OR ","")&amp;'Dashboard Config'!$B$7&amp;"="""&amp;M86&amp;"""","")&amp;IF(N86&lt;&gt;"",IF(COUNTA($E86:$M86)&gt;0," OR ","")&amp;'Dashboard Config'!$B$7&amp;"="""&amp;N86&amp;"""","")&amp;IF(O86&lt;&gt;"",IF(COUNTA($E86:$N86)&gt;0," OR ","")&amp;'Dashboard Config'!$B$7&amp;"="""&amp;O86&amp;"""","")&amp;IF(P86&lt;&gt;"",IF(COUNTA($E86:$O86)&gt;0," OR ","")&amp;'Dashboard Config'!$B$7&amp;"="""&amp;P86&amp;"""","")&amp;IF(Q86&lt;&gt;"",IF(COUNTA($E86:$P86)&gt;0," OR ","")&amp;'Dashboard Config'!$B$7&amp;"="""&amp;Q86&amp;"""","")&amp;IF(R86&lt;&gt;"",IF(COUNTA($E86:$Q86)&gt;0," OR ","")&amp;'Dashboard Config'!$B$7&amp;"="""&amp;R86&amp;"""","")&amp;IF(S86&lt;&gt;"",IF(COUNTA($E86:$R86)&gt;0," OR ","")&amp;'Dashboard Config'!$B$7&amp;"="""&amp;S86&amp;"""","")&amp;IF(T86&lt;&gt;"",IF(COUNTA($E86:$S86)&gt;0," OR ","")&amp;'Dashboard Config'!$B$7&amp;"="""&amp;T86&amp;"""","")&amp;IF(U86&lt;&gt;"",IF(COUNTA($E86:$T86)&gt;0," OR ","")&amp;'Dashboard Config'!$B$7&amp;"="""&amp;U86&amp;"""","")&amp;IF(V86&lt;&gt;"",IF(COUNTA($E86:$U86)&gt;0," OR ","")&amp;'Dashboard Config'!$B$7&amp;"="""&amp;V86&amp;"""","")&amp;IF(W86&lt;&gt;"",IF(COUNTA($E86:$V86)&gt;0," OR ","")&amp;'Dashboard Config'!$B$7&amp;"="""&amp;W86&amp;"""","")&amp;IF(X86&lt;&gt;"",IF(COUNTA($E86:$W86)&gt;0," OR ","")&amp;'Dashboard Config'!$B$7&amp;"="""&amp;X86&amp;"""","")&amp;IF(Y86&lt;&gt;"",IF(COUNTA($E86:$X86)&gt;0," OR ","")&amp;'Dashboard Config'!$B$7&amp;"="""&amp;Y86&amp;"""","")&amp;IF(Z86&lt;&gt;"",IF(COUNTA($E86:$Y86)&gt;0," OR ","")&amp;'Dashboard Config'!$B$7&amp;"="""&amp;Z86&amp;"""","")&amp;IF(AA86&lt;&gt;"",IF(COUNTA($E86:$Z86)&gt;0," OR ","")&amp;'Dashboard Config'!$B$7&amp;"="""&amp;AA86&amp;"""","")&amp;IF(AB86&lt;&gt;"",IF(COUNTA($E86:$AA86)&gt;0," OR ","")&amp;'Dashboard Config'!$B$7&amp;"="""&amp;AB86&amp;"""","")&amp;IF(AC86&lt;&gt;"",IF(COUNTA($E86:$AB86)&gt;0," OR ","")&amp;AC86,"")&amp;")")</x:f>
      </x:c>
      <x:c r="AE86" s="48" t="str">
        <x:f>IF($AD86="","",CHAR(123)&amp;CHAR(34)&amp;"label"&amp;CHAR(34)&amp;":"&amp;CHAR(34)&amp;$C86&amp;CHAR(34)&amp;","&amp;CHAR(34)&amp;"value"&amp;CHAR(34)&amp;":"&amp;CHAR(34)&amp;SUBSTITUTE($AD86,CHAR(34),CHAR(92)&amp;CHAR(34))&amp;CHAR(34)&amp;CHAR(125))</x:f>
      </x:c>
      <x:c r="AF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  <x:c r="AA87" s="42"/>
      <x:c r="AB87" s="42"/>
      <x:c r="AC87" s="42"/>
      <x:c r="AD87" s="48" t="str">
        <x:f>IF(OR($A87&lt;&gt;"Yes",$C87="",COUNTA($E87:$AC87)=0),"","("&amp;IF(E87&lt;&gt;"",'Dashboard Config'!$B$6&amp;"="""&amp;E87&amp;"""","")&amp;IF(F87&lt;&gt;"",IF(COUNTA($E87:$E87)&gt;0," OR ","")&amp;'Dashboard Config'!$B$6&amp;"="""&amp;F87&amp;"""","")&amp;IF(G87&lt;&gt;"",IF(COUNTA($E87:$F87)&gt;0," OR ","")&amp;'Dashboard Config'!$B$6&amp;"="""&amp;G87&amp;"""","")&amp;IF(H87&lt;&gt;"",IF(COUNTA($E87:$G87)&gt;0," OR ","")&amp;'Dashboard Config'!$B$6&amp;"="""&amp;H87&amp;"""","")&amp;IF(I87&lt;&gt;"",IF(COUNTA($E87:$H87)&gt;0," OR ","")&amp;'Dashboard Config'!$B$6&amp;"="""&amp;I87&amp;"""","")&amp;IF(J87&lt;&gt;"",IF(COUNTA($E87:$I87)&gt;0," OR ","")&amp;'Dashboard Config'!$B$6&amp;"="""&amp;J87&amp;"""","")&amp;IF(K87&lt;&gt;"",IF(COUNTA($E87:$J87)&gt;0," OR ","")&amp;'Dashboard Config'!$B$6&amp;"="""&amp;K87&amp;"""","")&amp;IF(L87&lt;&gt;"",IF(COUNTA($E87:$K87)&gt;0," OR ","")&amp;'Dashboard Config'!$B$6&amp;"="""&amp;L87&amp;"""","")&amp;IF(M87&lt;&gt;"",IF(COUNTA($E87:$L87)&gt;0," OR ","")&amp;'Dashboard Config'!$B$7&amp;"="""&amp;M87&amp;"""","")&amp;IF(N87&lt;&gt;"",IF(COUNTA($E87:$M87)&gt;0," OR ","")&amp;'Dashboard Config'!$B$7&amp;"="""&amp;N87&amp;"""","")&amp;IF(O87&lt;&gt;"",IF(COUNTA($E87:$N87)&gt;0," OR ","")&amp;'Dashboard Config'!$B$7&amp;"="""&amp;O87&amp;"""","")&amp;IF(P87&lt;&gt;"",IF(COUNTA($E87:$O87)&gt;0," OR ","")&amp;'Dashboard Config'!$B$7&amp;"="""&amp;P87&amp;"""","")&amp;IF(Q87&lt;&gt;"",IF(COUNTA($E87:$P87)&gt;0," OR ","")&amp;'Dashboard Config'!$B$7&amp;"="""&amp;Q87&amp;"""","")&amp;IF(R87&lt;&gt;"",IF(COUNTA($E87:$Q87)&gt;0," OR ","")&amp;'Dashboard Config'!$B$7&amp;"="""&amp;R87&amp;"""","")&amp;IF(S87&lt;&gt;"",IF(COUNTA($E87:$R87)&gt;0," OR ","")&amp;'Dashboard Config'!$B$7&amp;"="""&amp;S87&amp;"""","")&amp;IF(T87&lt;&gt;"",IF(COUNTA($E87:$S87)&gt;0," OR ","")&amp;'Dashboard Config'!$B$7&amp;"="""&amp;T87&amp;"""","")&amp;IF(U87&lt;&gt;"",IF(COUNTA($E87:$T87)&gt;0," OR ","")&amp;'Dashboard Config'!$B$7&amp;"="""&amp;U87&amp;"""","")&amp;IF(V87&lt;&gt;"",IF(COUNTA($E87:$U87)&gt;0," OR ","")&amp;'Dashboard Config'!$B$7&amp;"="""&amp;V87&amp;"""","")&amp;IF(W87&lt;&gt;"",IF(COUNTA($E87:$V87)&gt;0," OR ","")&amp;'Dashboard Config'!$B$7&amp;"="""&amp;W87&amp;"""","")&amp;IF(X87&lt;&gt;"",IF(COUNTA($E87:$W87)&gt;0," OR ","")&amp;'Dashboard Config'!$B$7&amp;"="""&amp;X87&amp;"""","")&amp;IF(Y87&lt;&gt;"",IF(COUNTA($E87:$X87)&gt;0," OR ","")&amp;'Dashboard Config'!$B$7&amp;"="""&amp;Y87&amp;"""","")&amp;IF(Z87&lt;&gt;"",IF(COUNTA($E87:$Y87)&gt;0," OR ","")&amp;'Dashboard Config'!$B$7&amp;"="""&amp;Z87&amp;"""","")&amp;IF(AA87&lt;&gt;"",IF(COUNTA($E87:$Z87)&gt;0," OR ","")&amp;'Dashboard Config'!$B$7&amp;"="""&amp;AA87&amp;"""","")&amp;IF(AB87&lt;&gt;"",IF(COUNTA($E87:$AA87)&gt;0," OR ","")&amp;'Dashboard Config'!$B$7&amp;"="""&amp;AB87&amp;"""","")&amp;IF(AC87&lt;&gt;"",IF(COUNTA($E87:$AB87)&gt;0," OR ","")&amp;AC87,"")&amp;")")</x:f>
      </x:c>
      <x:c r="AE87" s="48" t="str">
        <x:f>IF($AD87="","",CHAR(123)&amp;CHAR(34)&amp;"label"&amp;CHAR(34)&amp;":"&amp;CHAR(34)&amp;$C87&amp;CHAR(34)&amp;","&amp;CHAR(34)&amp;"value"&amp;CHAR(34)&amp;":"&amp;CHAR(34)&amp;SUBSTITUTE($AD87,CHAR(34),CHAR(92)&amp;CHAR(34))&amp;CHAR(34)&amp;CHAR(125))</x:f>
      </x:c>
      <x:c r="AF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  <x:c r="AA88" s="42"/>
      <x:c r="AB88" s="42"/>
      <x:c r="AC88" s="42"/>
      <x:c r="AD88" s="48" t="str">
        <x:f>IF(OR($A88&lt;&gt;"Yes",$C88="",COUNTA($E88:$AC88)=0),"","("&amp;IF(E88&lt;&gt;"",'Dashboard Config'!$B$6&amp;"="""&amp;E88&amp;"""","")&amp;IF(F88&lt;&gt;"",IF(COUNTA($E88:$E88)&gt;0," OR ","")&amp;'Dashboard Config'!$B$6&amp;"="""&amp;F88&amp;"""","")&amp;IF(G88&lt;&gt;"",IF(COUNTA($E88:$F88)&gt;0," OR ","")&amp;'Dashboard Config'!$B$6&amp;"="""&amp;G88&amp;"""","")&amp;IF(H88&lt;&gt;"",IF(COUNTA($E88:$G88)&gt;0," OR ","")&amp;'Dashboard Config'!$B$6&amp;"="""&amp;H88&amp;"""","")&amp;IF(I88&lt;&gt;"",IF(COUNTA($E88:$H88)&gt;0," OR ","")&amp;'Dashboard Config'!$B$6&amp;"="""&amp;I88&amp;"""","")&amp;IF(J88&lt;&gt;"",IF(COUNTA($E88:$I88)&gt;0," OR ","")&amp;'Dashboard Config'!$B$6&amp;"="""&amp;J88&amp;"""","")&amp;IF(K88&lt;&gt;"",IF(COUNTA($E88:$J88)&gt;0," OR ","")&amp;'Dashboard Config'!$B$6&amp;"="""&amp;K88&amp;"""","")&amp;IF(L88&lt;&gt;"",IF(COUNTA($E88:$K88)&gt;0," OR ","")&amp;'Dashboard Config'!$B$6&amp;"="""&amp;L88&amp;"""","")&amp;IF(M88&lt;&gt;"",IF(COUNTA($E88:$L88)&gt;0," OR ","")&amp;'Dashboard Config'!$B$7&amp;"="""&amp;M88&amp;"""","")&amp;IF(N88&lt;&gt;"",IF(COUNTA($E88:$M88)&gt;0," OR ","")&amp;'Dashboard Config'!$B$7&amp;"="""&amp;N88&amp;"""","")&amp;IF(O88&lt;&gt;"",IF(COUNTA($E88:$N88)&gt;0," OR ","")&amp;'Dashboard Config'!$B$7&amp;"="""&amp;O88&amp;"""","")&amp;IF(P88&lt;&gt;"",IF(COUNTA($E88:$O88)&gt;0," OR ","")&amp;'Dashboard Config'!$B$7&amp;"="""&amp;P88&amp;"""","")&amp;IF(Q88&lt;&gt;"",IF(COUNTA($E88:$P88)&gt;0," OR ","")&amp;'Dashboard Config'!$B$7&amp;"="""&amp;Q88&amp;"""","")&amp;IF(R88&lt;&gt;"",IF(COUNTA($E88:$Q88)&gt;0," OR ","")&amp;'Dashboard Config'!$B$7&amp;"="""&amp;R88&amp;"""","")&amp;IF(S88&lt;&gt;"",IF(COUNTA($E88:$R88)&gt;0," OR ","")&amp;'Dashboard Config'!$B$7&amp;"="""&amp;S88&amp;"""","")&amp;IF(T88&lt;&gt;"",IF(COUNTA($E88:$S88)&gt;0," OR ","")&amp;'Dashboard Config'!$B$7&amp;"="""&amp;T88&amp;"""","")&amp;IF(U88&lt;&gt;"",IF(COUNTA($E88:$T88)&gt;0," OR ","")&amp;'Dashboard Config'!$B$7&amp;"="""&amp;U88&amp;"""","")&amp;IF(V88&lt;&gt;"",IF(COUNTA($E88:$U88)&gt;0," OR ","")&amp;'Dashboard Config'!$B$7&amp;"="""&amp;V88&amp;"""","")&amp;IF(W88&lt;&gt;"",IF(COUNTA($E88:$V88)&gt;0," OR ","")&amp;'Dashboard Config'!$B$7&amp;"="""&amp;W88&amp;"""","")&amp;IF(X88&lt;&gt;"",IF(COUNTA($E88:$W88)&gt;0," OR ","")&amp;'Dashboard Config'!$B$7&amp;"="""&amp;X88&amp;"""","")&amp;IF(Y88&lt;&gt;"",IF(COUNTA($E88:$X88)&gt;0," OR ","")&amp;'Dashboard Config'!$B$7&amp;"="""&amp;Y88&amp;"""","")&amp;IF(Z88&lt;&gt;"",IF(COUNTA($E88:$Y88)&gt;0," OR ","")&amp;'Dashboard Config'!$B$7&amp;"="""&amp;Z88&amp;"""","")&amp;IF(AA88&lt;&gt;"",IF(COUNTA($E88:$Z88)&gt;0," OR ","")&amp;'Dashboard Config'!$B$7&amp;"="""&amp;AA88&amp;"""","")&amp;IF(AB88&lt;&gt;"",IF(COUNTA($E88:$AA88)&gt;0," OR ","")&amp;'Dashboard Config'!$B$7&amp;"="""&amp;AB88&amp;"""","")&amp;IF(AC88&lt;&gt;"",IF(COUNTA($E88:$AB88)&gt;0," OR ","")&amp;AC88,"")&amp;")")</x:f>
      </x:c>
      <x:c r="AE88" s="48" t="str">
        <x:f>IF($AD88="","",CHAR(123)&amp;CHAR(34)&amp;"label"&amp;CHAR(34)&amp;":"&amp;CHAR(34)&amp;$C88&amp;CHAR(34)&amp;","&amp;CHAR(34)&amp;"value"&amp;CHAR(34)&amp;":"&amp;CHAR(34)&amp;SUBSTITUTE($AD88,CHAR(34),CHAR(92)&amp;CHAR(34))&amp;CHAR(34)&amp;CHAR(125))</x:f>
      </x:c>
      <x:c r="AF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  <x:c r="AA89" s="42"/>
      <x:c r="AB89" s="42"/>
      <x:c r="AC89" s="42"/>
      <x:c r="AD89" s="48" t="str">
        <x:f>IF(OR($A89&lt;&gt;"Yes",$C89="",COUNTA($E89:$AC89)=0),"","("&amp;IF(E89&lt;&gt;"",'Dashboard Config'!$B$6&amp;"="""&amp;E89&amp;"""","")&amp;IF(F89&lt;&gt;"",IF(COUNTA($E89:$E89)&gt;0," OR ","")&amp;'Dashboard Config'!$B$6&amp;"="""&amp;F89&amp;"""","")&amp;IF(G89&lt;&gt;"",IF(COUNTA($E89:$F89)&gt;0," OR ","")&amp;'Dashboard Config'!$B$6&amp;"="""&amp;G89&amp;"""","")&amp;IF(H89&lt;&gt;"",IF(COUNTA($E89:$G89)&gt;0," OR ","")&amp;'Dashboard Config'!$B$6&amp;"="""&amp;H89&amp;"""","")&amp;IF(I89&lt;&gt;"",IF(COUNTA($E89:$H89)&gt;0," OR ","")&amp;'Dashboard Config'!$B$6&amp;"="""&amp;I89&amp;"""","")&amp;IF(J89&lt;&gt;"",IF(COUNTA($E89:$I89)&gt;0," OR ","")&amp;'Dashboard Config'!$B$6&amp;"="""&amp;J89&amp;"""","")&amp;IF(K89&lt;&gt;"",IF(COUNTA($E89:$J89)&gt;0," OR ","")&amp;'Dashboard Config'!$B$6&amp;"="""&amp;K89&amp;"""","")&amp;IF(L89&lt;&gt;"",IF(COUNTA($E89:$K89)&gt;0," OR ","")&amp;'Dashboard Config'!$B$6&amp;"="""&amp;L89&amp;"""","")&amp;IF(M89&lt;&gt;"",IF(COUNTA($E89:$L89)&gt;0," OR ","")&amp;'Dashboard Config'!$B$7&amp;"="""&amp;M89&amp;"""","")&amp;IF(N89&lt;&gt;"",IF(COUNTA($E89:$M89)&gt;0," OR ","")&amp;'Dashboard Config'!$B$7&amp;"="""&amp;N89&amp;"""","")&amp;IF(O89&lt;&gt;"",IF(COUNTA($E89:$N89)&gt;0," OR ","")&amp;'Dashboard Config'!$B$7&amp;"="""&amp;O89&amp;"""","")&amp;IF(P89&lt;&gt;"",IF(COUNTA($E89:$O89)&gt;0," OR ","")&amp;'Dashboard Config'!$B$7&amp;"="""&amp;P89&amp;"""","")&amp;IF(Q89&lt;&gt;"",IF(COUNTA($E89:$P89)&gt;0," OR ","")&amp;'Dashboard Config'!$B$7&amp;"="""&amp;Q89&amp;"""","")&amp;IF(R89&lt;&gt;"",IF(COUNTA($E89:$Q89)&gt;0," OR ","")&amp;'Dashboard Config'!$B$7&amp;"="""&amp;R89&amp;"""","")&amp;IF(S89&lt;&gt;"",IF(COUNTA($E89:$R89)&gt;0," OR ","")&amp;'Dashboard Config'!$B$7&amp;"="""&amp;S89&amp;"""","")&amp;IF(T89&lt;&gt;"",IF(COUNTA($E89:$S89)&gt;0," OR ","")&amp;'Dashboard Config'!$B$7&amp;"="""&amp;T89&amp;"""","")&amp;IF(U89&lt;&gt;"",IF(COUNTA($E89:$T89)&gt;0," OR ","")&amp;'Dashboard Config'!$B$7&amp;"="""&amp;U89&amp;"""","")&amp;IF(V89&lt;&gt;"",IF(COUNTA($E89:$U89)&gt;0," OR ","")&amp;'Dashboard Config'!$B$7&amp;"="""&amp;V89&amp;"""","")&amp;IF(W89&lt;&gt;"",IF(COUNTA($E89:$V89)&gt;0," OR ","")&amp;'Dashboard Config'!$B$7&amp;"="""&amp;W89&amp;"""","")&amp;IF(X89&lt;&gt;"",IF(COUNTA($E89:$W89)&gt;0," OR ","")&amp;'Dashboard Config'!$B$7&amp;"="""&amp;X89&amp;"""","")&amp;IF(Y89&lt;&gt;"",IF(COUNTA($E89:$X89)&gt;0," OR ","")&amp;'Dashboard Config'!$B$7&amp;"="""&amp;Y89&amp;"""","")&amp;IF(Z89&lt;&gt;"",IF(COUNTA($E89:$Y89)&gt;0," OR ","")&amp;'Dashboard Config'!$B$7&amp;"="""&amp;Z89&amp;"""","")&amp;IF(AA89&lt;&gt;"",IF(COUNTA($E89:$Z89)&gt;0," OR ","")&amp;'Dashboard Config'!$B$7&amp;"="""&amp;AA89&amp;"""","")&amp;IF(AB89&lt;&gt;"",IF(COUNTA($E89:$AA89)&gt;0," OR ","")&amp;'Dashboard Config'!$B$7&amp;"="""&amp;AB89&amp;"""","")&amp;IF(AC89&lt;&gt;"",IF(COUNTA($E89:$AB89)&gt;0," OR ","")&amp;AC89,"")&amp;")")</x:f>
      </x:c>
      <x:c r="AE89" s="48" t="str">
        <x:f>IF($AD89="","",CHAR(123)&amp;CHAR(34)&amp;"label"&amp;CHAR(34)&amp;":"&amp;CHAR(34)&amp;$C89&amp;CHAR(34)&amp;","&amp;CHAR(34)&amp;"value"&amp;CHAR(34)&amp;":"&amp;CHAR(34)&amp;SUBSTITUTE($AD89,CHAR(34),CHAR(92)&amp;CHAR(34))&amp;CHAR(34)&amp;CHAR(125))</x:f>
      </x:c>
      <x:c r="AF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  <x:c r="AA90" s="42"/>
      <x:c r="AB90" s="42"/>
      <x:c r="AC90" s="42"/>
      <x:c r="AD90" s="48" t="str">
        <x:f>IF(OR($A90&lt;&gt;"Yes",$C90="",COUNTA($E90:$AC90)=0),"","("&amp;IF(E90&lt;&gt;"",'Dashboard Config'!$B$6&amp;"="""&amp;E90&amp;"""","")&amp;IF(F90&lt;&gt;"",IF(COUNTA($E90:$E90)&gt;0," OR ","")&amp;'Dashboard Config'!$B$6&amp;"="""&amp;F90&amp;"""","")&amp;IF(G90&lt;&gt;"",IF(COUNTA($E90:$F90)&gt;0," OR ","")&amp;'Dashboard Config'!$B$6&amp;"="""&amp;G90&amp;"""","")&amp;IF(H90&lt;&gt;"",IF(COUNTA($E90:$G90)&gt;0," OR ","")&amp;'Dashboard Config'!$B$6&amp;"="""&amp;H90&amp;"""","")&amp;IF(I90&lt;&gt;"",IF(COUNTA($E90:$H90)&gt;0," OR ","")&amp;'Dashboard Config'!$B$6&amp;"="""&amp;I90&amp;"""","")&amp;IF(J90&lt;&gt;"",IF(COUNTA($E90:$I90)&gt;0," OR ","")&amp;'Dashboard Config'!$B$6&amp;"="""&amp;J90&amp;"""","")&amp;IF(K90&lt;&gt;"",IF(COUNTA($E90:$J90)&gt;0," OR ","")&amp;'Dashboard Config'!$B$6&amp;"="""&amp;K90&amp;"""","")&amp;IF(L90&lt;&gt;"",IF(COUNTA($E90:$K90)&gt;0," OR ","")&amp;'Dashboard Config'!$B$6&amp;"="""&amp;L90&amp;"""","")&amp;IF(M90&lt;&gt;"",IF(COUNTA($E90:$L90)&gt;0," OR ","")&amp;'Dashboard Config'!$B$7&amp;"="""&amp;M90&amp;"""","")&amp;IF(N90&lt;&gt;"",IF(COUNTA($E90:$M90)&gt;0," OR ","")&amp;'Dashboard Config'!$B$7&amp;"="""&amp;N90&amp;"""","")&amp;IF(O90&lt;&gt;"",IF(COUNTA($E90:$N90)&gt;0," OR ","")&amp;'Dashboard Config'!$B$7&amp;"="""&amp;O90&amp;"""","")&amp;IF(P90&lt;&gt;"",IF(COUNTA($E90:$O90)&gt;0," OR ","")&amp;'Dashboard Config'!$B$7&amp;"="""&amp;P90&amp;"""","")&amp;IF(Q90&lt;&gt;"",IF(COUNTA($E90:$P90)&gt;0," OR ","")&amp;'Dashboard Config'!$B$7&amp;"="""&amp;Q90&amp;"""","")&amp;IF(R90&lt;&gt;"",IF(COUNTA($E90:$Q90)&gt;0," OR ","")&amp;'Dashboard Config'!$B$7&amp;"="""&amp;R90&amp;"""","")&amp;IF(S90&lt;&gt;"",IF(COUNTA($E90:$R90)&gt;0," OR ","")&amp;'Dashboard Config'!$B$7&amp;"="""&amp;S90&amp;"""","")&amp;IF(T90&lt;&gt;"",IF(COUNTA($E90:$S90)&gt;0," OR ","")&amp;'Dashboard Config'!$B$7&amp;"="""&amp;T90&amp;"""","")&amp;IF(U90&lt;&gt;"",IF(COUNTA($E90:$T90)&gt;0," OR ","")&amp;'Dashboard Config'!$B$7&amp;"="""&amp;U90&amp;"""","")&amp;IF(V90&lt;&gt;"",IF(COUNTA($E90:$U90)&gt;0," OR ","")&amp;'Dashboard Config'!$B$7&amp;"="""&amp;V90&amp;"""","")&amp;IF(W90&lt;&gt;"",IF(COUNTA($E90:$V90)&gt;0," OR ","")&amp;'Dashboard Config'!$B$7&amp;"="""&amp;W90&amp;"""","")&amp;IF(X90&lt;&gt;"",IF(COUNTA($E90:$W90)&gt;0," OR ","")&amp;'Dashboard Config'!$B$7&amp;"="""&amp;X90&amp;"""","")&amp;IF(Y90&lt;&gt;"",IF(COUNTA($E90:$X90)&gt;0," OR ","")&amp;'Dashboard Config'!$B$7&amp;"="""&amp;Y90&amp;"""","")&amp;IF(Z90&lt;&gt;"",IF(COUNTA($E90:$Y90)&gt;0," OR ","")&amp;'Dashboard Config'!$B$7&amp;"="""&amp;Z90&amp;"""","")&amp;IF(AA90&lt;&gt;"",IF(COUNTA($E90:$Z90)&gt;0," OR ","")&amp;'Dashboard Config'!$B$7&amp;"="""&amp;AA90&amp;"""","")&amp;IF(AB90&lt;&gt;"",IF(COUNTA($E90:$AA90)&gt;0," OR ","")&amp;'Dashboard Config'!$B$7&amp;"="""&amp;AB90&amp;"""","")&amp;IF(AC90&lt;&gt;"",IF(COUNTA($E90:$AB90)&gt;0," OR ","")&amp;AC90,"")&amp;")")</x:f>
      </x:c>
      <x:c r="AE90" s="48" t="str">
        <x:f>IF($AD90="","",CHAR(123)&amp;CHAR(34)&amp;"label"&amp;CHAR(34)&amp;":"&amp;CHAR(34)&amp;$C90&amp;CHAR(34)&amp;","&amp;CHAR(34)&amp;"value"&amp;CHAR(34)&amp;":"&amp;CHAR(34)&amp;SUBSTITUTE($AD90,CHAR(34),CHAR(92)&amp;CHAR(34))&amp;CHAR(34)&amp;CHAR(125))</x:f>
      </x:c>
      <x:c r="AF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  <x:c r="AA91" s="42"/>
      <x:c r="AB91" s="42"/>
      <x:c r="AC91" s="42"/>
      <x:c r="AD91" s="48" t="str">
        <x:f>IF(OR($A91&lt;&gt;"Yes",$C91="",COUNTA($E91:$AC91)=0),"","("&amp;IF(E91&lt;&gt;"",'Dashboard Config'!$B$6&amp;"="""&amp;E91&amp;"""","")&amp;IF(F91&lt;&gt;"",IF(COUNTA($E91:$E91)&gt;0," OR ","")&amp;'Dashboard Config'!$B$6&amp;"="""&amp;F91&amp;"""","")&amp;IF(G91&lt;&gt;"",IF(COUNTA($E91:$F91)&gt;0," OR ","")&amp;'Dashboard Config'!$B$6&amp;"="""&amp;G91&amp;"""","")&amp;IF(H91&lt;&gt;"",IF(COUNTA($E91:$G91)&gt;0," OR ","")&amp;'Dashboard Config'!$B$6&amp;"="""&amp;H91&amp;"""","")&amp;IF(I91&lt;&gt;"",IF(COUNTA($E91:$H91)&gt;0," OR ","")&amp;'Dashboard Config'!$B$6&amp;"="""&amp;I91&amp;"""","")&amp;IF(J91&lt;&gt;"",IF(COUNTA($E91:$I91)&gt;0," OR ","")&amp;'Dashboard Config'!$B$6&amp;"="""&amp;J91&amp;"""","")&amp;IF(K91&lt;&gt;"",IF(COUNTA($E91:$J91)&gt;0," OR ","")&amp;'Dashboard Config'!$B$6&amp;"="""&amp;K91&amp;"""","")&amp;IF(L91&lt;&gt;"",IF(COUNTA($E91:$K91)&gt;0," OR ","")&amp;'Dashboard Config'!$B$6&amp;"="""&amp;L91&amp;"""","")&amp;IF(M91&lt;&gt;"",IF(COUNTA($E91:$L91)&gt;0," OR ","")&amp;'Dashboard Config'!$B$7&amp;"="""&amp;M91&amp;"""","")&amp;IF(N91&lt;&gt;"",IF(COUNTA($E91:$M91)&gt;0," OR ","")&amp;'Dashboard Config'!$B$7&amp;"="""&amp;N91&amp;"""","")&amp;IF(O91&lt;&gt;"",IF(COUNTA($E91:$N91)&gt;0," OR ","")&amp;'Dashboard Config'!$B$7&amp;"="""&amp;O91&amp;"""","")&amp;IF(P91&lt;&gt;"",IF(COUNTA($E91:$O91)&gt;0," OR ","")&amp;'Dashboard Config'!$B$7&amp;"="""&amp;P91&amp;"""","")&amp;IF(Q91&lt;&gt;"",IF(COUNTA($E91:$P91)&gt;0," OR ","")&amp;'Dashboard Config'!$B$7&amp;"="""&amp;Q91&amp;"""","")&amp;IF(R91&lt;&gt;"",IF(COUNTA($E91:$Q91)&gt;0," OR ","")&amp;'Dashboard Config'!$B$7&amp;"="""&amp;R91&amp;"""","")&amp;IF(S91&lt;&gt;"",IF(COUNTA($E91:$R91)&gt;0," OR ","")&amp;'Dashboard Config'!$B$7&amp;"="""&amp;S91&amp;"""","")&amp;IF(T91&lt;&gt;"",IF(COUNTA($E91:$S91)&gt;0," OR ","")&amp;'Dashboard Config'!$B$7&amp;"="""&amp;T91&amp;"""","")&amp;IF(U91&lt;&gt;"",IF(COUNTA($E91:$T91)&gt;0," OR ","")&amp;'Dashboard Config'!$B$7&amp;"="""&amp;U91&amp;"""","")&amp;IF(V91&lt;&gt;"",IF(COUNTA($E91:$U91)&gt;0," OR ","")&amp;'Dashboard Config'!$B$7&amp;"="""&amp;V91&amp;"""","")&amp;IF(W91&lt;&gt;"",IF(COUNTA($E91:$V91)&gt;0," OR ","")&amp;'Dashboard Config'!$B$7&amp;"="""&amp;W91&amp;"""","")&amp;IF(X91&lt;&gt;"",IF(COUNTA($E91:$W91)&gt;0," OR ","")&amp;'Dashboard Config'!$B$7&amp;"="""&amp;X91&amp;"""","")&amp;IF(Y91&lt;&gt;"",IF(COUNTA($E91:$X91)&gt;0," OR ","")&amp;'Dashboard Config'!$B$7&amp;"="""&amp;Y91&amp;"""","")&amp;IF(Z91&lt;&gt;"",IF(COUNTA($E91:$Y91)&gt;0," OR ","")&amp;'Dashboard Config'!$B$7&amp;"="""&amp;Z91&amp;"""","")&amp;IF(AA91&lt;&gt;"",IF(COUNTA($E91:$Z91)&gt;0," OR ","")&amp;'Dashboard Config'!$B$7&amp;"="""&amp;AA91&amp;"""","")&amp;IF(AB91&lt;&gt;"",IF(COUNTA($E91:$AA91)&gt;0," OR ","")&amp;'Dashboard Config'!$B$7&amp;"="""&amp;AB91&amp;"""","")&amp;IF(AC91&lt;&gt;"",IF(COUNTA($E91:$AB91)&gt;0," OR ","")&amp;AC91,"")&amp;")")</x:f>
      </x:c>
      <x:c r="AE91" s="48" t="str">
        <x:f>IF($AD91="","",CHAR(123)&amp;CHAR(34)&amp;"label"&amp;CHAR(34)&amp;":"&amp;CHAR(34)&amp;$C91&amp;CHAR(34)&amp;","&amp;CHAR(34)&amp;"value"&amp;CHAR(34)&amp;":"&amp;CHAR(34)&amp;SUBSTITUTE($AD91,CHAR(34),CHAR(92)&amp;CHAR(34))&amp;CHAR(34)&amp;CHAR(125))</x:f>
      </x:c>
      <x:c r="AF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  <x:c r="AA92" s="42"/>
      <x:c r="AB92" s="42"/>
      <x:c r="AC92" s="42"/>
      <x:c r="AD92" s="48" t="str">
        <x:f>IF(OR($A92&lt;&gt;"Yes",$C92="",COUNTA($E92:$AC92)=0),"","("&amp;IF(E92&lt;&gt;"",'Dashboard Config'!$B$6&amp;"="""&amp;E92&amp;"""","")&amp;IF(F92&lt;&gt;"",IF(COUNTA($E92:$E92)&gt;0," OR ","")&amp;'Dashboard Config'!$B$6&amp;"="""&amp;F92&amp;"""","")&amp;IF(G92&lt;&gt;"",IF(COUNTA($E92:$F92)&gt;0," OR ","")&amp;'Dashboard Config'!$B$6&amp;"="""&amp;G92&amp;"""","")&amp;IF(H92&lt;&gt;"",IF(COUNTA($E92:$G92)&gt;0," OR ","")&amp;'Dashboard Config'!$B$6&amp;"="""&amp;H92&amp;"""","")&amp;IF(I92&lt;&gt;"",IF(COUNTA($E92:$H92)&gt;0," OR ","")&amp;'Dashboard Config'!$B$6&amp;"="""&amp;I92&amp;"""","")&amp;IF(J92&lt;&gt;"",IF(COUNTA($E92:$I92)&gt;0," OR ","")&amp;'Dashboard Config'!$B$6&amp;"="""&amp;J92&amp;"""","")&amp;IF(K92&lt;&gt;"",IF(COUNTA($E92:$J92)&gt;0," OR ","")&amp;'Dashboard Config'!$B$6&amp;"="""&amp;K92&amp;"""","")&amp;IF(L92&lt;&gt;"",IF(COUNTA($E92:$K92)&gt;0," OR ","")&amp;'Dashboard Config'!$B$6&amp;"="""&amp;L92&amp;"""","")&amp;IF(M92&lt;&gt;"",IF(COUNTA($E92:$L92)&gt;0," OR ","")&amp;'Dashboard Config'!$B$7&amp;"="""&amp;M92&amp;"""","")&amp;IF(N92&lt;&gt;"",IF(COUNTA($E92:$M92)&gt;0," OR ","")&amp;'Dashboard Config'!$B$7&amp;"="""&amp;N92&amp;"""","")&amp;IF(O92&lt;&gt;"",IF(COUNTA($E92:$N92)&gt;0," OR ","")&amp;'Dashboard Config'!$B$7&amp;"="""&amp;O92&amp;"""","")&amp;IF(P92&lt;&gt;"",IF(COUNTA($E92:$O92)&gt;0," OR ","")&amp;'Dashboard Config'!$B$7&amp;"="""&amp;P92&amp;"""","")&amp;IF(Q92&lt;&gt;"",IF(COUNTA($E92:$P92)&gt;0," OR ","")&amp;'Dashboard Config'!$B$7&amp;"="""&amp;Q92&amp;"""","")&amp;IF(R92&lt;&gt;"",IF(COUNTA($E92:$Q92)&gt;0," OR ","")&amp;'Dashboard Config'!$B$7&amp;"="""&amp;R92&amp;"""","")&amp;IF(S92&lt;&gt;"",IF(COUNTA($E92:$R92)&gt;0," OR ","")&amp;'Dashboard Config'!$B$7&amp;"="""&amp;S92&amp;"""","")&amp;IF(T92&lt;&gt;"",IF(COUNTA($E92:$S92)&gt;0," OR ","")&amp;'Dashboard Config'!$B$7&amp;"="""&amp;T92&amp;"""","")&amp;IF(U92&lt;&gt;"",IF(COUNTA($E92:$T92)&gt;0," OR ","")&amp;'Dashboard Config'!$B$7&amp;"="""&amp;U92&amp;"""","")&amp;IF(V92&lt;&gt;"",IF(COUNTA($E92:$U92)&gt;0," OR ","")&amp;'Dashboard Config'!$B$7&amp;"="""&amp;V92&amp;"""","")&amp;IF(W92&lt;&gt;"",IF(COUNTA($E92:$V92)&gt;0," OR ","")&amp;'Dashboard Config'!$B$7&amp;"="""&amp;W92&amp;"""","")&amp;IF(X92&lt;&gt;"",IF(COUNTA($E92:$W92)&gt;0," OR ","")&amp;'Dashboard Config'!$B$7&amp;"="""&amp;X92&amp;"""","")&amp;IF(Y92&lt;&gt;"",IF(COUNTA($E92:$X92)&gt;0," OR ","")&amp;'Dashboard Config'!$B$7&amp;"="""&amp;Y92&amp;"""","")&amp;IF(Z92&lt;&gt;"",IF(COUNTA($E92:$Y92)&gt;0," OR ","")&amp;'Dashboard Config'!$B$7&amp;"="""&amp;Z92&amp;"""","")&amp;IF(AA92&lt;&gt;"",IF(COUNTA($E92:$Z92)&gt;0," OR ","")&amp;'Dashboard Config'!$B$7&amp;"="""&amp;AA92&amp;"""","")&amp;IF(AB92&lt;&gt;"",IF(COUNTA($E92:$AA92)&gt;0," OR ","")&amp;'Dashboard Config'!$B$7&amp;"="""&amp;AB92&amp;"""","")&amp;IF(AC92&lt;&gt;"",IF(COUNTA($E92:$AB92)&gt;0," OR ","")&amp;AC92,"")&amp;")")</x:f>
      </x:c>
      <x:c r="AE92" s="48" t="str">
        <x:f>IF($AD92="","",CHAR(123)&amp;CHAR(34)&amp;"label"&amp;CHAR(34)&amp;":"&amp;CHAR(34)&amp;$C92&amp;CHAR(34)&amp;","&amp;CHAR(34)&amp;"value"&amp;CHAR(34)&amp;":"&amp;CHAR(34)&amp;SUBSTITUTE($AD92,CHAR(34),CHAR(92)&amp;CHAR(34))&amp;CHAR(34)&amp;CHAR(125))</x:f>
      </x:c>
      <x:c r="AF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  <x:c r="AA93" s="42"/>
      <x:c r="AB93" s="42"/>
      <x:c r="AC93" s="42"/>
      <x:c r="AD93" s="48" t="str">
        <x:f>IF(OR($A93&lt;&gt;"Yes",$C93="",COUNTA($E93:$AC93)=0),"","("&amp;IF(E93&lt;&gt;"",'Dashboard Config'!$B$6&amp;"="""&amp;E93&amp;"""","")&amp;IF(F93&lt;&gt;"",IF(COUNTA($E93:$E93)&gt;0," OR ","")&amp;'Dashboard Config'!$B$6&amp;"="""&amp;F93&amp;"""","")&amp;IF(G93&lt;&gt;"",IF(COUNTA($E93:$F93)&gt;0," OR ","")&amp;'Dashboard Config'!$B$6&amp;"="""&amp;G93&amp;"""","")&amp;IF(H93&lt;&gt;"",IF(COUNTA($E93:$G93)&gt;0," OR ","")&amp;'Dashboard Config'!$B$6&amp;"="""&amp;H93&amp;"""","")&amp;IF(I93&lt;&gt;"",IF(COUNTA($E93:$H93)&gt;0," OR ","")&amp;'Dashboard Config'!$B$6&amp;"="""&amp;I93&amp;"""","")&amp;IF(J93&lt;&gt;"",IF(COUNTA($E93:$I93)&gt;0," OR ","")&amp;'Dashboard Config'!$B$6&amp;"="""&amp;J93&amp;"""","")&amp;IF(K93&lt;&gt;"",IF(COUNTA($E93:$J93)&gt;0," OR ","")&amp;'Dashboard Config'!$B$6&amp;"="""&amp;K93&amp;"""","")&amp;IF(L93&lt;&gt;"",IF(COUNTA($E93:$K93)&gt;0," OR ","")&amp;'Dashboard Config'!$B$6&amp;"="""&amp;L93&amp;"""","")&amp;IF(M93&lt;&gt;"",IF(COUNTA($E93:$L93)&gt;0," OR ","")&amp;'Dashboard Config'!$B$7&amp;"="""&amp;M93&amp;"""","")&amp;IF(N93&lt;&gt;"",IF(COUNTA($E93:$M93)&gt;0," OR ","")&amp;'Dashboard Config'!$B$7&amp;"="""&amp;N93&amp;"""","")&amp;IF(O93&lt;&gt;"",IF(COUNTA($E93:$N93)&gt;0," OR ","")&amp;'Dashboard Config'!$B$7&amp;"="""&amp;O93&amp;"""","")&amp;IF(P93&lt;&gt;"",IF(COUNTA($E93:$O93)&gt;0," OR ","")&amp;'Dashboard Config'!$B$7&amp;"="""&amp;P93&amp;"""","")&amp;IF(Q93&lt;&gt;"",IF(COUNTA($E93:$P93)&gt;0," OR ","")&amp;'Dashboard Config'!$B$7&amp;"="""&amp;Q93&amp;"""","")&amp;IF(R93&lt;&gt;"",IF(COUNTA($E93:$Q93)&gt;0," OR ","")&amp;'Dashboard Config'!$B$7&amp;"="""&amp;R93&amp;"""","")&amp;IF(S93&lt;&gt;"",IF(COUNTA($E93:$R93)&gt;0," OR ","")&amp;'Dashboard Config'!$B$7&amp;"="""&amp;S93&amp;"""","")&amp;IF(T93&lt;&gt;"",IF(COUNTA($E93:$S93)&gt;0," OR ","")&amp;'Dashboard Config'!$B$7&amp;"="""&amp;T93&amp;"""","")&amp;IF(U93&lt;&gt;"",IF(COUNTA($E93:$T93)&gt;0," OR ","")&amp;'Dashboard Config'!$B$7&amp;"="""&amp;U93&amp;"""","")&amp;IF(V93&lt;&gt;"",IF(COUNTA($E93:$U93)&gt;0," OR ","")&amp;'Dashboard Config'!$B$7&amp;"="""&amp;V93&amp;"""","")&amp;IF(W93&lt;&gt;"",IF(COUNTA($E93:$V93)&gt;0," OR ","")&amp;'Dashboard Config'!$B$7&amp;"="""&amp;W93&amp;"""","")&amp;IF(X93&lt;&gt;"",IF(COUNTA($E93:$W93)&gt;0," OR ","")&amp;'Dashboard Config'!$B$7&amp;"="""&amp;X93&amp;"""","")&amp;IF(Y93&lt;&gt;"",IF(COUNTA($E93:$X93)&gt;0," OR ","")&amp;'Dashboard Config'!$B$7&amp;"="""&amp;Y93&amp;"""","")&amp;IF(Z93&lt;&gt;"",IF(COUNTA($E93:$Y93)&gt;0," OR ","")&amp;'Dashboard Config'!$B$7&amp;"="""&amp;Z93&amp;"""","")&amp;IF(AA93&lt;&gt;"",IF(COUNTA($E93:$Z93)&gt;0," OR ","")&amp;'Dashboard Config'!$B$7&amp;"="""&amp;AA93&amp;"""","")&amp;IF(AB93&lt;&gt;"",IF(COUNTA($E93:$AA93)&gt;0," OR ","")&amp;'Dashboard Config'!$B$7&amp;"="""&amp;AB93&amp;"""","")&amp;IF(AC93&lt;&gt;"",IF(COUNTA($E93:$AB93)&gt;0," OR ","")&amp;AC93,"")&amp;")")</x:f>
      </x:c>
      <x:c r="AE93" s="48" t="str">
        <x:f>IF($AD93="","",CHAR(123)&amp;CHAR(34)&amp;"label"&amp;CHAR(34)&amp;":"&amp;CHAR(34)&amp;$C93&amp;CHAR(34)&amp;","&amp;CHAR(34)&amp;"value"&amp;CHAR(34)&amp;":"&amp;CHAR(34)&amp;SUBSTITUTE($AD93,CHAR(34),CHAR(92)&amp;CHAR(34))&amp;CHAR(34)&amp;CHAR(125))</x:f>
      </x:c>
      <x:c r="AF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  <x:c r="AA94" s="42"/>
      <x:c r="AB94" s="42"/>
      <x:c r="AC94" s="42"/>
      <x:c r="AD94" s="48" t="str">
        <x:f>IF(OR($A94&lt;&gt;"Yes",$C94="",COUNTA($E94:$AC94)=0),"","("&amp;IF(E94&lt;&gt;"",'Dashboard Config'!$B$6&amp;"="""&amp;E94&amp;"""","")&amp;IF(F94&lt;&gt;"",IF(COUNTA($E94:$E94)&gt;0," OR ","")&amp;'Dashboard Config'!$B$6&amp;"="""&amp;F94&amp;"""","")&amp;IF(G94&lt;&gt;"",IF(COUNTA($E94:$F94)&gt;0," OR ","")&amp;'Dashboard Config'!$B$6&amp;"="""&amp;G94&amp;"""","")&amp;IF(H94&lt;&gt;"",IF(COUNTA($E94:$G94)&gt;0," OR ","")&amp;'Dashboard Config'!$B$6&amp;"="""&amp;H94&amp;"""","")&amp;IF(I94&lt;&gt;"",IF(COUNTA($E94:$H94)&gt;0," OR ","")&amp;'Dashboard Config'!$B$6&amp;"="""&amp;I94&amp;"""","")&amp;IF(J94&lt;&gt;"",IF(COUNTA($E94:$I94)&gt;0," OR ","")&amp;'Dashboard Config'!$B$6&amp;"="""&amp;J94&amp;"""","")&amp;IF(K94&lt;&gt;"",IF(COUNTA($E94:$J94)&gt;0," OR ","")&amp;'Dashboard Config'!$B$6&amp;"="""&amp;K94&amp;"""","")&amp;IF(L94&lt;&gt;"",IF(COUNTA($E94:$K94)&gt;0," OR ","")&amp;'Dashboard Config'!$B$6&amp;"="""&amp;L94&amp;"""","")&amp;IF(M94&lt;&gt;"",IF(COUNTA($E94:$L94)&gt;0," OR ","")&amp;'Dashboard Config'!$B$7&amp;"="""&amp;M94&amp;"""","")&amp;IF(N94&lt;&gt;"",IF(COUNTA($E94:$M94)&gt;0," OR ","")&amp;'Dashboard Config'!$B$7&amp;"="""&amp;N94&amp;"""","")&amp;IF(O94&lt;&gt;"",IF(COUNTA($E94:$N94)&gt;0," OR ","")&amp;'Dashboard Config'!$B$7&amp;"="""&amp;O94&amp;"""","")&amp;IF(P94&lt;&gt;"",IF(COUNTA($E94:$O94)&gt;0," OR ","")&amp;'Dashboard Config'!$B$7&amp;"="""&amp;P94&amp;"""","")&amp;IF(Q94&lt;&gt;"",IF(COUNTA($E94:$P94)&gt;0," OR ","")&amp;'Dashboard Config'!$B$7&amp;"="""&amp;Q94&amp;"""","")&amp;IF(R94&lt;&gt;"",IF(COUNTA($E94:$Q94)&gt;0," OR ","")&amp;'Dashboard Config'!$B$7&amp;"="""&amp;R94&amp;"""","")&amp;IF(S94&lt;&gt;"",IF(COUNTA($E94:$R94)&gt;0," OR ","")&amp;'Dashboard Config'!$B$7&amp;"="""&amp;S94&amp;"""","")&amp;IF(T94&lt;&gt;"",IF(COUNTA($E94:$S94)&gt;0," OR ","")&amp;'Dashboard Config'!$B$7&amp;"="""&amp;T94&amp;"""","")&amp;IF(U94&lt;&gt;"",IF(COUNTA($E94:$T94)&gt;0," OR ","")&amp;'Dashboard Config'!$B$7&amp;"="""&amp;U94&amp;"""","")&amp;IF(V94&lt;&gt;"",IF(COUNTA($E94:$U94)&gt;0," OR ","")&amp;'Dashboard Config'!$B$7&amp;"="""&amp;V94&amp;"""","")&amp;IF(W94&lt;&gt;"",IF(COUNTA($E94:$V94)&gt;0," OR ","")&amp;'Dashboard Config'!$B$7&amp;"="""&amp;W94&amp;"""","")&amp;IF(X94&lt;&gt;"",IF(COUNTA($E94:$W94)&gt;0," OR ","")&amp;'Dashboard Config'!$B$7&amp;"="""&amp;X94&amp;"""","")&amp;IF(Y94&lt;&gt;"",IF(COUNTA($E94:$X94)&gt;0," OR ","")&amp;'Dashboard Config'!$B$7&amp;"="""&amp;Y94&amp;"""","")&amp;IF(Z94&lt;&gt;"",IF(COUNTA($E94:$Y94)&gt;0," OR ","")&amp;'Dashboard Config'!$B$7&amp;"="""&amp;Z94&amp;"""","")&amp;IF(AA94&lt;&gt;"",IF(COUNTA($E94:$Z94)&gt;0," OR ","")&amp;'Dashboard Config'!$B$7&amp;"="""&amp;AA94&amp;"""","")&amp;IF(AB94&lt;&gt;"",IF(COUNTA($E94:$AA94)&gt;0," OR ","")&amp;'Dashboard Config'!$B$7&amp;"="""&amp;AB94&amp;"""","")&amp;IF(AC94&lt;&gt;"",IF(COUNTA($E94:$AB94)&gt;0," OR ","")&amp;AC94,"")&amp;")")</x:f>
      </x:c>
      <x:c r="AE94" s="48" t="str">
        <x:f>IF($AD94="","",CHAR(123)&amp;CHAR(34)&amp;"label"&amp;CHAR(34)&amp;":"&amp;CHAR(34)&amp;$C94&amp;CHAR(34)&amp;","&amp;CHAR(34)&amp;"value"&amp;CHAR(34)&amp;":"&amp;CHAR(34)&amp;SUBSTITUTE($AD94,CHAR(34),CHAR(92)&amp;CHAR(34))&amp;CHAR(34)&amp;CHAR(125))</x:f>
      </x:c>
      <x:c r="AF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  <x:c r="AA95" s="42"/>
      <x:c r="AB95" s="42"/>
      <x:c r="AC95" s="42"/>
      <x:c r="AD95" s="48" t="str">
        <x:f>IF(OR($A95&lt;&gt;"Yes",$C95="",COUNTA($E95:$AC95)=0),"","("&amp;IF(E95&lt;&gt;"",'Dashboard Config'!$B$6&amp;"="""&amp;E95&amp;"""","")&amp;IF(F95&lt;&gt;"",IF(COUNTA($E95:$E95)&gt;0," OR ","")&amp;'Dashboard Config'!$B$6&amp;"="""&amp;F95&amp;"""","")&amp;IF(G95&lt;&gt;"",IF(COUNTA($E95:$F95)&gt;0," OR ","")&amp;'Dashboard Config'!$B$6&amp;"="""&amp;G95&amp;"""","")&amp;IF(H95&lt;&gt;"",IF(COUNTA($E95:$G95)&gt;0," OR ","")&amp;'Dashboard Config'!$B$6&amp;"="""&amp;H95&amp;"""","")&amp;IF(I95&lt;&gt;"",IF(COUNTA($E95:$H95)&gt;0," OR ","")&amp;'Dashboard Config'!$B$6&amp;"="""&amp;I95&amp;"""","")&amp;IF(J95&lt;&gt;"",IF(COUNTA($E95:$I95)&gt;0," OR ","")&amp;'Dashboard Config'!$B$6&amp;"="""&amp;J95&amp;"""","")&amp;IF(K95&lt;&gt;"",IF(COUNTA($E95:$J95)&gt;0," OR ","")&amp;'Dashboard Config'!$B$6&amp;"="""&amp;K95&amp;"""","")&amp;IF(L95&lt;&gt;"",IF(COUNTA($E95:$K95)&gt;0," OR ","")&amp;'Dashboard Config'!$B$6&amp;"="""&amp;L95&amp;"""","")&amp;IF(M95&lt;&gt;"",IF(COUNTA($E95:$L95)&gt;0," OR ","")&amp;'Dashboard Config'!$B$7&amp;"="""&amp;M95&amp;"""","")&amp;IF(N95&lt;&gt;"",IF(COUNTA($E95:$M95)&gt;0," OR ","")&amp;'Dashboard Config'!$B$7&amp;"="""&amp;N95&amp;"""","")&amp;IF(O95&lt;&gt;"",IF(COUNTA($E95:$N95)&gt;0," OR ","")&amp;'Dashboard Config'!$B$7&amp;"="""&amp;O95&amp;"""","")&amp;IF(P95&lt;&gt;"",IF(COUNTA($E95:$O95)&gt;0," OR ","")&amp;'Dashboard Config'!$B$7&amp;"="""&amp;P95&amp;"""","")&amp;IF(Q95&lt;&gt;"",IF(COUNTA($E95:$P95)&gt;0," OR ","")&amp;'Dashboard Config'!$B$7&amp;"="""&amp;Q95&amp;"""","")&amp;IF(R95&lt;&gt;"",IF(COUNTA($E95:$Q95)&gt;0," OR ","")&amp;'Dashboard Config'!$B$7&amp;"="""&amp;R95&amp;"""","")&amp;IF(S95&lt;&gt;"",IF(COUNTA($E95:$R95)&gt;0," OR ","")&amp;'Dashboard Config'!$B$7&amp;"="""&amp;S95&amp;"""","")&amp;IF(T95&lt;&gt;"",IF(COUNTA($E95:$S95)&gt;0," OR ","")&amp;'Dashboard Config'!$B$7&amp;"="""&amp;T95&amp;"""","")&amp;IF(U95&lt;&gt;"",IF(COUNTA($E95:$T95)&gt;0," OR ","")&amp;'Dashboard Config'!$B$7&amp;"="""&amp;U95&amp;"""","")&amp;IF(V95&lt;&gt;"",IF(COUNTA($E95:$U95)&gt;0," OR ","")&amp;'Dashboard Config'!$B$7&amp;"="""&amp;V95&amp;"""","")&amp;IF(W95&lt;&gt;"",IF(COUNTA($E95:$V95)&gt;0," OR ","")&amp;'Dashboard Config'!$B$7&amp;"="""&amp;W95&amp;"""","")&amp;IF(X95&lt;&gt;"",IF(COUNTA($E95:$W95)&gt;0," OR ","")&amp;'Dashboard Config'!$B$7&amp;"="""&amp;X95&amp;"""","")&amp;IF(Y95&lt;&gt;"",IF(COUNTA($E95:$X95)&gt;0," OR ","")&amp;'Dashboard Config'!$B$7&amp;"="""&amp;Y95&amp;"""","")&amp;IF(Z95&lt;&gt;"",IF(COUNTA($E95:$Y95)&gt;0," OR ","")&amp;'Dashboard Config'!$B$7&amp;"="""&amp;Z95&amp;"""","")&amp;IF(AA95&lt;&gt;"",IF(COUNTA($E95:$Z95)&gt;0," OR ","")&amp;'Dashboard Config'!$B$7&amp;"="""&amp;AA95&amp;"""","")&amp;IF(AB95&lt;&gt;"",IF(COUNTA($E95:$AA95)&gt;0," OR ","")&amp;'Dashboard Config'!$B$7&amp;"="""&amp;AB95&amp;"""","")&amp;IF(AC95&lt;&gt;"",IF(COUNTA($E95:$AB95)&gt;0," OR ","")&amp;AC95,"")&amp;")")</x:f>
      </x:c>
      <x:c r="AE95" s="48" t="str">
        <x:f>IF($AD95="","",CHAR(123)&amp;CHAR(34)&amp;"label"&amp;CHAR(34)&amp;":"&amp;CHAR(34)&amp;$C95&amp;CHAR(34)&amp;","&amp;CHAR(34)&amp;"value"&amp;CHAR(34)&amp;":"&amp;CHAR(34)&amp;SUBSTITUTE($AD95,CHAR(34),CHAR(92)&amp;CHAR(34))&amp;CHAR(34)&amp;CHAR(125))</x:f>
      </x:c>
      <x:c r="AF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  <x:c r="AA96" s="42"/>
      <x:c r="AB96" s="42"/>
      <x:c r="AC96" s="42"/>
      <x:c r="AD96" s="48" t="str">
        <x:f>IF(OR($A96&lt;&gt;"Yes",$C96="",COUNTA($E96:$AC96)=0),"","("&amp;IF(E96&lt;&gt;"",'Dashboard Config'!$B$6&amp;"="""&amp;E96&amp;"""","")&amp;IF(F96&lt;&gt;"",IF(COUNTA($E96:$E96)&gt;0," OR ","")&amp;'Dashboard Config'!$B$6&amp;"="""&amp;F96&amp;"""","")&amp;IF(G96&lt;&gt;"",IF(COUNTA($E96:$F96)&gt;0," OR ","")&amp;'Dashboard Config'!$B$6&amp;"="""&amp;G96&amp;"""","")&amp;IF(H96&lt;&gt;"",IF(COUNTA($E96:$G96)&gt;0," OR ","")&amp;'Dashboard Config'!$B$6&amp;"="""&amp;H96&amp;"""","")&amp;IF(I96&lt;&gt;"",IF(COUNTA($E96:$H96)&gt;0," OR ","")&amp;'Dashboard Config'!$B$6&amp;"="""&amp;I96&amp;"""","")&amp;IF(J96&lt;&gt;"",IF(COUNTA($E96:$I96)&gt;0," OR ","")&amp;'Dashboard Config'!$B$6&amp;"="""&amp;J96&amp;"""","")&amp;IF(K96&lt;&gt;"",IF(COUNTA($E96:$J96)&gt;0," OR ","")&amp;'Dashboard Config'!$B$6&amp;"="""&amp;K96&amp;"""","")&amp;IF(L96&lt;&gt;"",IF(COUNTA($E96:$K96)&gt;0," OR ","")&amp;'Dashboard Config'!$B$6&amp;"="""&amp;L96&amp;"""","")&amp;IF(M96&lt;&gt;"",IF(COUNTA($E96:$L96)&gt;0," OR ","")&amp;'Dashboard Config'!$B$7&amp;"="""&amp;M96&amp;"""","")&amp;IF(N96&lt;&gt;"",IF(COUNTA($E96:$M96)&gt;0," OR ","")&amp;'Dashboard Config'!$B$7&amp;"="""&amp;N96&amp;"""","")&amp;IF(O96&lt;&gt;"",IF(COUNTA($E96:$N96)&gt;0," OR ","")&amp;'Dashboard Config'!$B$7&amp;"="""&amp;O96&amp;"""","")&amp;IF(P96&lt;&gt;"",IF(COUNTA($E96:$O96)&gt;0," OR ","")&amp;'Dashboard Config'!$B$7&amp;"="""&amp;P96&amp;"""","")&amp;IF(Q96&lt;&gt;"",IF(COUNTA($E96:$P96)&gt;0," OR ","")&amp;'Dashboard Config'!$B$7&amp;"="""&amp;Q96&amp;"""","")&amp;IF(R96&lt;&gt;"",IF(COUNTA($E96:$Q96)&gt;0," OR ","")&amp;'Dashboard Config'!$B$7&amp;"="""&amp;R96&amp;"""","")&amp;IF(S96&lt;&gt;"",IF(COUNTA($E96:$R96)&gt;0," OR ","")&amp;'Dashboard Config'!$B$7&amp;"="""&amp;S96&amp;"""","")&amp;IF(T96&lt;&gt;"",IF(COUNTA($E96:$S96)&gt;0," OR ","")&amp;'Dashboard Config'!$B$7&amp;"="""&amp;T96&amp;"""","")&amp;IF(U96&lt;&gt;"",IF(COUNTA($E96:$T96)&gt;0," OR ","")&amp;'Dashboard Config'!$B$7&amp;"="""&amp;U96&amp;"""","")&amp;IF(V96&lt;&gt;"",IF(COUNTA($E96:$U96)&gt;0," OR ","")&amp;'Dashboard Config'!$B$7&amp;"="""&amp;V96&amp;"""","")&amp;IF(W96&lt;&gt;"",IF(COUNTA($E96:$V96)&gt;0," OR ","")&amp;'Dashboard Config'!$B$7&amp;"="""&amp;W96&amp;"""","")&amp;IF(X96&lt;&gt;"",IF(COUNTA($E96:$W96)&gt;0," OR ","")&amp;'Dashboard Config'!$B$7&amp;"="""&amp;X96&amp;"""","")&amp;IF(Y96&lt;&gt;"",IF(COUNTA($E96:$X96)&gt;0," OR ","")&amp;'Dashboard Config'!$B$7&amp;"="""&amp;Y96&amp;"""","")&amp;IF(Z96&lt;&gt;"",IF(COUNTA($E96:$Y96)&gt;0," OR ","")&amp;'Dashboard Config'!$B$7&amp;"="""&amp;Z96&amp;"""","")&amp;IF(AA96&lt;&gt;"",IF(COUNTA($E96:$Z96)&gt;0," OR ","")&amp;'Dashboard Config'!$B$7&amp;"="""&amp;AA96&amp;"""","")&amp;IF(AB96&lt;&gt;"",IF(COUNTA($E96:$AA96)&gt;0," OR ","")&amp;'Dashboard Config'!$B$7&amp;"="""&amp;AB96&amp;"""","")&amp;IF(AC96&lt;&gt;"",IF(COUNTA($E96:$AB96)&gt;0," OR ","")&amp;AC96,"")&amp;")")</x:f>
      </x:c>
      <x:c r="AE96" s="48" t="str">
        <x:f>IF($AD96="","",CHAR(123)&amp;CHAR(34)&amp;"label"&amp;CHAR(34)&amp;":"&amp;CHAR(34)&amp;$C96&amp;CHAR(34)&amp;","&amp;CHAR(34)&amp;"value"&amp;CHAR(34)&amp;":"&amp;CHAR(34)&amp;SUBSTITUTE($AD96,CHAR(34),CHAR(92)&amp;CHAR(34))&amp;CHAR(34)&amp;CHAR(125))</x:f>
      </x:c>
      <x:c r="AF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  <x:c r="AA97" s="42"/>
      <x:c r="AB97" s="42"/>
      <x:c r="AC97" s="42"/>
      <x:c r="AD97" s="48" t="str">
        <x:f>IF(OR($A97&lt;&gt;"Yes",$C97="",COUNTA($E97:$AC97)=0),"","("&amp;IF(E97&lt;&gt;"",'Dashboard Config'!$B$6&amp;"="""&amp;E97&amp;"""","")&amp;IF(F97&lt;&gt;"",IF(COUNTA($E97:$E97)&gt;0," OR ","")&amp;'Dashboard Config'!$B$6&amp;"="""&amp;F97&amp;"""","")&amp;IF(G97&lt;&gt;"",IF(COUNTA($E97:$F97)&gt;0," OR ","")&amp;'Dashboard Config'!$B$6&amp;"="""&amp;G97&amp;"""","")&amp;IF(H97&lt;&gt;"",IF(COUNTA($E97:$G97)&gt;0," OR ","")&amp;'Dashboard Config'!$B$6&amp;"="""&amp;H97&amp;"""","")&amp;IF(I97&lt;&gt;"",IF(COUNTA($E97:$H97)&gt;0," OR ","")&amp;'Dashboard Config'!$B$6&amp;"="""&amp;I97&amp;"""","")&amp;IF(J97&lt;&gt;"",IF(COUNTA($E97:$I97)&gt;0," OR ","")&amp;'Dashboard Config'!$B$6&amp;"="""&amp;J97&amp;"""","")&amp;IF(K97&lt;&gt;"",IF(COUNTA($E97:$J97)&gt;0," OR ","")&amp;'Dashboard Config'!$B$6&amp;"="""&amp;K97&amp;"""","")&amp;IF(L97&lt;&gt;"",IF(COUNTA($E97:$K97)&gt;0," OR ","")&amp;'Dashboard Config'!$B$6&amp;"="""&amp;L97&amp;"""","")&amp;IF(M97&lt;&gt;"",IF(COUNTA($E97:$L97)&gt;0," OR ","")&amp;'Dashboard Config'!$B$7&amp;"="""&amp;M97&amp;"""","")&amp;IF(N97&lt;&gt;"",IF(COUNTA($E97:$M97)&gt;0," OR ","")&amp;'Dashboard Config'!$B$7&amp;"="""&amp;N97&amp;"""","")&amp;IF(O97&lt;&gt;"",IF(COUNTA($E97:$N97)&gt;0," OR ","")&amp;'Dashboard Config'!$B$7&amp;"="""&amp;O97&amp;"""","")&amp;IF(P97&lt;&gt;"",IF(COUNTA($E97:$O97)&gt;0," OR ","")&amp;'Dashboard Config'!$B$7&amp;"="""&amp;P97&amp;"""","")&amp;IF(Q97&lt;&gt;"",IF(COUNTA($E97:$P97)&gt;0," OR ","")&amp;'Dashboard Config'!$B$7&amp;"="""&amp;Q97&amp;"""","")&amp;IF(R97&lt;&gt;"",IF(COUNTA($E97:$Q97)&gt;0," OR ","")&amp;'Dashboard Config'!$B$7&amp;"="""&amp;R97&amp;"""","")&amp;IF(S97&lt;&gt;"",IF(COUNTA($E97:$R97)&gt;0," OR ","")&amp;'Dashboard Config'!$B$7&amp;"="""&amp;S97&amp;"""","")&amp;IF(T97&lt;&gt;"",IF(COUNTA($E97:$S97)&gt;0," OR ","")&amp;'Dashboard Config'!$B$7&amp;"="""&amp;T97&amp;"""","")&amp;IF(U97&lt;&gt;"",IF(COUNTA($E97:$T97)&gt;0," OR ","")&amp;'Dashboard Config'!$B$7&amp;"="""&amp;U97&amp;"""","")&amp;IF(V97&lt;&gt;"",IF(COUNTA($E97:$U97)&gt;0," OR ","")&amp;'Dashboard Config'!$B$7&amp;"="""&amp;V97&amp;"""","")&amp;IF(W97&lt;&gt;"",IF(COUNTA($E97:$V97)&gt;0," OR ","")&amp;'Dashboard Config'!$B$7&amp;"="""&amp;W97&amp;"""","")&amp;IF(X97&lt;&gt;"",IF(COUNTA($E97:$W97)&gt;0," OR ","")&amp;'Dashboard Config'!$B$7&amp;"="""&amp;X97&amp;"""","")&amp;IF(Y97&lt;&gt;"",IF(COUNTA($E97:$X97)&gt;0," OR ","")&amp;'Dashboard Config'!$B$7&amp;"="""&amp;Y97&amp;"""","")&amp;IF(Z97&lt;&gt;"",IF(COUNTA($E97:$Y97)&gt;0," OR ","")&amp;'Dashboard Config'!$B$7&amp;"="""&amp;Z97&amp;"""","")&amp;IF(AA97&lt;&gt;"",IF(COUNTA($E97:$Z97)&gt;0," OR ","")&amp;'Dashboard Config'!$B$7&amp;"="""&amp;AA97&amp;"""","")&amp;IF(AB97&lt;&gt;"",IF(COUNTA($E97:$AA97)&gt;0," OR ","")&amp;'Dashboard Config'!$B$7&amp;"="""&amp;AB97&amp;"""","")&amp;IF(AC97&lt;&gt;"",IF(COUNTA($E97:$AB97)&gt;0," OR ","")&amp;AC97,"")&amp;")")</x:f>
      </x:c>
      <x:c r="AE97" s="48" t="str">
        <x:f>IF($AD97="","",CHAR(123)&amp;CHAR(34)&amp;"label"&amp;CHAR(34)&amp;":"&amp;CHAR(34)&amp;$C97&amp;CHAR(34)&amp;","&amp;CHAR(34)&amp;"value"&amp;CHAR(34)&amp;":"&amp;CHAR(34)&amp;SUBSTITUTE($AD97,CHAR(34),CHAR(92)&amp;CHAR(34))&amp;CHAR(34)&amp;CHAR(125))</x:f>
      </x:c>
      <x:c r="AF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  <x:c r="AA98" s="42"/>
      <x:c r="AB98" s="42"/>
      <x:c r="AC98" s="42"/>
      <x:c r="AD98" s="48" t="str">
        <x:f>IF(OR($A98&lt;&gt;"Yes",$C98="",COUNTA($E98:$AC98)=0),"","("&amp;IF(E98&lt;&gt;"",'Dashboard Config'!$B$6&amp;"="""&amp;E98&amp;"""","")&amp;IF(F98&lt;&gt;"",IF(COUNTA($E98:$E98)&gt;0," OR ","")&amp;'Dashboard Config'!$B$6&amp;"="""&amp;F98&amp;"""","")&amp;IF(G98&lt;&gt;"",IF(COUNTA($E98:$F98)&gt;0," OR ","")&amp;'Dashboard Config'!$B$6&amp;"="""&amp;G98&amp;"""","")&amp;IF(H98&lt;&gt;"",IF(COUNTA($E98:$G98)&gt;0," OR ","")&amp;'Dashboard Config'!$B$6&amp;"="""&amp;H98&amp;"""","")&amp;IF(I98&lt;&gt;"",IF(COUNTA($E98:$H98)&gt;0," OR ","")&amp;'Dashboard Config'!$B$6&amp;"="""&amp;I98&amp;"""","")&amp;IF(J98&lt;&gt;"",IF(COUNTA($E98:$I98)&gt;0," OR ","")&amp;'Dashboard Config'!$B$6&amp;"="""&amp;J98&amp;"""","")&amp;IF(K98&lt;&gt;"",IF(COUNTA($E98:$J98)&gt;0," OR ","")&amp;'Dashboard Config'!$B$6&amp;"="""&amp;K98&amp;"""","")&amp;IF(L98&lt;&gt;"",IF(COUNTA($E98:$K98)&gt;0," OR ","")&amp;'Dashboard Config'!$B$6&amp;"="""&amp;L98&amp;"""","")&amp;IF(M98&lt;&gt;"",IF(COUNTA($E98:$L98)&gt;0," OR ","")&amp;'Dashboard Config'!$B$7&amp;"="""&amp;M98&amp;"""","")&amp;IF(N98&lt;&gt;"",IF(COUNTA($E98:$M98)&gt;0," OR ","")&amp;'Dashboard Config'!$B$7&amp;"="""&amp;N98&amp;"""","")&amp;IF(O98&lt;&gt;"",IF(COUNTA($E98:$N98)&gt;0," OR ","")&amp;'Dashboard Config'!$B$7&amp;"="""&amp;O98&amp;"""","")&amp;IF(P98&lt;&gt;"",IF(COUNTA($E98:$O98)&gt;0," OR ","")&amp;'Dashboard Config'!$B$7&amp;"="""&amp;P98&amp;"""","")&amp;IF(Q98&lt;&gt;"",IF(COUNTA($E98:$P98)&gt;0," OR ","")&amp;'Dashboard Config'!$B$7&amp;"="""&amp;Q98&amp;"""","")&amp;IF(R98&lt;&gt;"",IF(COUNTA($E98:$Q98)&gt;0," OR ","")&amp;'Dashboard Config'!$B$7&amp;"="""&amp;R98&amp;"""","")&amp;IF(S98&lt;&gt;"",IF(COUNTA($E98:$R98)&gt;0," OR ","")&amp;'Dashboard Config'!$B$7&amp;"="""&amp;S98&amp;"""","")&amp;IF(T98&lt;&gt;"",IF(COUNTA($E98:$S98)&gt;0," OR ","")&amp;'Dashboard Config'!$B$7&amp;"="""&amp;T98&amp;"""","")&amp;IF(U98&lt;&gt;"",IF(COUNTA($E98:$T98)&gt;0," OR ","")&amp;'Dashboard Config'!$B$7&amp;"="""&amp;U98&amp;"""","")&amp;IF(V98&lt;&gt;"",IF(COUNTA($E98:$U98)&gt;0," OR ","")&amp;'Dashboard Config'!$B$7&amp;"="""&amp;V98&amp;"""","")&amp;IF(W98&lt;&gt;"",IF(COUNTA($E98:$V98)&gt;0," OR ","")&amp;'Dashboard Config'!$B$7&amp;"="""&amp;W98&amp;"""","")&amp;IF(X98&lt;&gt;"",IF(COUNTA($E98:$W98)&gt;0," OR ","")&amp;'Dashboard Config'!$B$7&amp;"="""&amp;X98&amp;"""","")&amp;IF(Y98&lt;&gt;"",IF(COUNTA($E98:$X98)&gt;0," OR ","")&amp;'Dashboard Config'!$B$7&amp;"="""&amp;Y98&amp;"""","")&amp;IF(Z98&lt;&gt;"",IF(COUNTA($E98:$Y98)&gt;0," OR ","")&amp;'Dashboard Config'!$B$7&amp;"="""&amp;Z98&amp;"""","")&amp;IF(AA98&lt;&gt;"",IF(COUNTA($E98:$Z98)&gt;0," OR ","")&amp;'Dashboard Config'!$B$7&amp;"="""&amp;AA98&amp;"""","")&amp;IF(AB98&lt;&gt;"",IF(COUNTA($E98:$AA98)&gt;0," OR ","")&amp;'Dashboard Config'!$B$7&amp;"="""&amp;AB98&amp;"""","")&amp;IF(AC98&lt;&gt;"",IF(COUNTA($E98:$AB98)&gt;0," OR ","")&amp;AC98,"")&amp;")")</x:f>
      </x:c>
      <x:c r="AE98" s="48" t="str">
        <x:f>IF($AD98="","",CHAR(123)&amp;CHAR(34)&amp;"label"&amp;CHAR(34)&amp;":"&amp;CHAR(34)&amp;$C98&amp;CHAR(34)&amp;","&amp;CHAR(34)&amp;"value"&amp;CHAR(34)&amp;":"&amp;CHAR(34)&amp;SUBSTITUTE($AD98,CHAR(34),CHAR(92)&amp;CHAR(34))&amp;CHAR(34)&amp;CHAR(125))</x:f>
      </x:c>
      <x:c r="AF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  <x:c r="AA99" s="42"/>
      <x:c r="AB99" s="42"/>
      <x:c r="AC99" s="42"/>
      <x:c r="AD99" s="48" t="str">
        <x:f>IF(OR($A99&lt;&gt;"Yes",$C99="",COUNTA($E99:$AC99)=0),"","("&amp;IF(E99&lt;&gt;"",'Dashboard Config'!$B$6&amp;"="""&amp;E99&amp;"""","")&amp;IF(F99&lt;&gt;"",IF(COUNTA($E99:$E99)&gt;0," OR ","")&amp;'Dashboard Config'!$B$6&amp;"="""&amp;F99&amp;"""","")&amp;IF(G99&lt;&gt;"",IF(COUNTA($E99:$F99)&gt;0," OR ","")&amp;'Dashboard Config'!$B$6&amp;"="""&amp;G99&amp;"""","")&amp;IF(H99&lt;&gt;"",IF(COUNTA($E99:$G99)&gt;0," OR ","")&amp;'Dashboard Config'!$B$6&amp;"="""&amp;H99&amp;"""","")&amp;IF(I99&lt;&gt;"",IF(COUNTA($E99:$H99)&gt;0," OR ","")&amp;'Dashboard Config'!$B$6&amp;"="""&amp;I99&amp;"""","")&amp;IF(J99&lt;&gt;"",IF(COUNTA($E99:$I99)&gt;0," OR ","")&amp;'Dashboard Config'!$B$6&amp;"="""&amp;J99&amp;"""","")&amp;IF(K99&lt;&gt;"",IF(COUNTA($E99:$J99)&gt;0," OR ","")&amp;'Dashboard Config'!$B$6&amp;"="""&amp;K99&amp;"""","")&amp;IF(L99&lt;&gt;"",IF(COUNTA($E99:$K99)&gt;0," OR ","")&amp;'Dashboard Config'!$B$6&amp;"="""&amp;L99&amp;"""","")&amp;IF(M99&lt;&gt;"",IF(COUNTA($E99:$L99)&gt;0," OR ","")&amp;'Dashboard Config'!$B$7&amp;"="""&amp;M99&amp;"""","")&amp;IF(N99&lt;&gt;"",IF(COUNTA($E99:$M99)&gt;0," OR ","")&amp;'Dashboard Config'!$B$7&amp;"="""&amp;N99&amp;"""","")&amp;IF(O99&lt;&gt;"",IF(COUNTA($E99:$N99)&gt;0," OR ","")&amp;'Dashboard Config'!$B$7&amp;"="""&amp;O99&amp;"""","")&amp;IF(P99&lt;&gt;"",IF(COUNTA($E99:$O99)&gt;0," OR ","")&amp;'Dashboard Config'!$B$7&amp;"="""&amp;P99&amp;"""","")&amp;IF(Q99&lt;&gt;"",IF(COUNTA($E99:$P99)&gt;0," OR ","")&amp;'Dashboard Config'!$B$7&amp;"="""&amp;Q99&amp;"""","")&amp;IF(R99&lt;&gt;"",IF(COUNTA($E99:$Q99)&gt;0," OR ","")&amp;'Dashboard Config'!$B$7&amp;"="""&amp;R99&amp;"""","")&amp;IF(S99&lt;&gt;"",IF(COUNTA($E99:$R99)&gt;0," OR ","")&amp;'Dashboard Config'!$B$7&amp;"="""&amp;S99&amp;"""","")&amp;IF(T99&lt;&gt;"",IF(COUNTA($E99:$S99)&gt;0," OR ","")&amp;'Dashboard Config'!$B$7&amp;"="""&amp;T99&amp;"""","")&amp;IF(U99&lt;&gt;"",IF(COUNTA($E99:$T99)&gt;0," OR ","")&amp;'Dashboard Config'!$B$7&amp;"="""&amp;U99&amp;"""","")&amp;IF(V99&lt;&gt;"",IF(COUNTA($E99:$U99)&gt;0," OR ","")&amp;'Dashboard Config'!$B$7&amp;"="""&amp;V99&amp;"""","")&amp;IF(W99&lt;&gt;"",IF(COUNTA($E99:$V99)&gt;0," OR ","")&amp;'Dashboard Config'!$B$7&amp;"="""&amp;W99&amp;"""","")&amp;IF(X99&lt;&gt;"",IF(COUNTA($E99:$W99)&gt;0," OR ","")&amp;'Dashboard Config'!$B$7&amp;"="""&amp;X99&amp;"""","")&amp;IF(Y99&lt;&gt;"",IF(COUNTA($E99:$X99)&gt;0," OR ","")&amp;'Dashboard Config'!$B$7&amp;"="""&amp;Y99&amp;"""","")&amp;IF(Z99&lt;&gt;"",IF(COUNTA($E99:$Y99)&gt;0," OR ","")&amp;'Dashboard Config'!$B$7&amp;"="""&amp;Z99&amp;"""","")&amp;IF(AA99&lt;&gt;"",IF(COUNTA($E99:$Z99)&gt;0," OR ","")&amp;'Dashboard Config'!$B$7&amp;"="""&amp;AA99&amp;"""","")&amp;IF(AB99&lt;&gt;"",IF(COUNTA($E99:$AA99)&gt;0," OR ","")&amp;'Dashboard Config'!$B$7&amp;"="""&amp;AB99&amp;"""","")&amp;IF(AC99&lt;&gt;"",IF(COUNTA($E99:$AB99)&gt;0," OR ","")&amp;AC99,"")&amp;")")</x:f>
      </x:c>
      <x:c r="AE99" s="48" t="str">
        <x:f>IF($AD99="","",CHAR(123)&amp;CHAR(34)&amp;"label"&amp;CHAR(34)&amp;":"&amp;CHAR(34)&amp;$C99&amp;CHAR(34)&amp;","&amp;CHAR(34)&amp;"value"&amp;CHAR(34)&amp;":"&amp;CHAR(34)&amp;SUBSTITUTE($AD99,CHAR(34),CHAR(92)&amp;CHAR(34))&amp;CHAR(34)&amp;CHAR(125))</x:f>
      </x:c>
      <x:c r="AF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  <x:c r="AA100" s="42"/>
      <x:c r="AB100" s="42"/>
      <x:c r="AC100" s="42"/>
      <x:c r="AD100" s="48" t="str">
        <x:f>IF(OR($A100&lt;&gt;"Yes",$C100="",COUNTA($E100:$AC100)=0),"","("&amp;IF(E100&lt;&gt;"",'Dashboard Config'!$B$6&amp;"="""&amp;E100&amp;"""","")&amp;IF(F100&lt;&gt;"",IF(COUNTA($E100:$E100)&gt;0," OR ","")&amp;'Dashboard Config'!$B$6&amp;"="""&amp;F100&amp;"""","")&amp;IF(G100&lt;&gt;"",IF(COUNTA($E100:$F100)&gt;0," OR ","")&amp;'Dashboard Config'!$B$6&amp;"="""&amp;G100&amp;"""","")&amp;IF(H100&lt;&gt;"",IF(COUNTA($E100:$G100)&gt;0," OR ","")&amp;'Dashboard Config'!$B$6&amp;"="""&amp;H100&amp;"""","")&amp;IF(I100&lt;&gt;"",IF(COUNTA($E100:$H100)&gt;0," OR ","")&amp;'Dashboard Config'!$B$6&amp;"="""&amp;I100&amp;"""","")&amp;IF(J100&lt;&gt;"",IF(COUNTA($E100:$I100)&gt;0," OR ","")&amp;'Dashboard Config'!$B$6&amp;"="""&amp;J100&amp;"""","")&amp;IF(K100&lt;&gt;"",IF(COUNTA($E100:$J100)&gt;0," OR ","")&amp;'Dashboard Config'!$B$6&amp;"="""&amp;K100&amp;"""","")&amp;IF(L100&lt;&gt;"",IF(COUNTA($E100:$K100)&gt;0," OR ","")&amp;'Dashboard Config'!$B$6&amp;"="""&amp;L100&amp;"""","")&amp;IF(M100&lt;&gt;"",IF(COUNTA($E100:$L100)&gt;0," OR ","")&amp;'Dashboard Config'!$B$7&amp;"="""&amp;M100&amp;"""","")&amp;IF(N100&lt;&gt;"",IF(COUNTA($E100:$M100)&gt;0," OR ","")&amp;'Dashboard Config'!$B$7&amp;"="""&amp;N100&amp;"""","")&amp;IF(O100&lt;&gt;"",IF(COUNTA($E100:$N100)&gt;0," OR ","")&amp;'Dashboard Config'!$B$7&amp;"="""&amp;O100&amp;"""","")&amp;IF(P100&lt;&gt;"",IF(COUNTA($E100:$O100)&gt;0," OR ","")&amp;'Dashboard Config'!$B$7&amp;"="""&amp;P100&amp;"""","")&amp;IF(Q100&lt;&gt;"",IF(COUNTA($E100:$P100)&gt;0," OR ","")&amp;'Dashboard Config'!$B$7&amp;"="""&amp;Q100&amp;"""","")&amp;IF(R100&lt;&gt;"",IF(COUNTA($E100:$Q100)&gt;0," OR ","")&amp;'Dashboard Config'!$B$7&amp;"="""&amp;R100&amp;"""","")&amp;IF(S100&lt;&gt;"",IF(COUNTA($E100:$R100)&gt;0," OR ","")&amp;'Dashboard Config'!$B$7&amp;"="""&amp;S100&amp;"""","")&amp;IF(T100&lt;&gt;"",IF(COUNTA($E100:$S100)&gt;0," OR ","")&amp;'Dashboard Config'!$B$7&amp;"="""&amp;T100&amp;"""","")&amp;IF(U100&lt;&gt;"",IF(COUNTA($E100:$T100)&gt;0," OR ","")&amp;'Dashboard Config'!$B$7&amp;"="""&amp;U100&amp;"""","")&amp;IF(V100&lt;&gt;"",IF(COUNTA($E100:$U100)&gt;0," OR ","")&amp;'Dashboard Config'!$B$7&amp;"="""&amp;V100&amp;"""","")&amp;IF(W100&lt;&gt;"",IF(COUNTA($E100:$V100)&gt;0," OR ","")&amp;'Dashboard Config'!$B$7&amp;"="""&amp;W100&amp;"""","")&amp;IF(X100&lt;&gt;"",IF(COUNTA($E100:$W100)&gt;0," OR ","")&amp;'Dashboard Config'!$B$7&amp;"="""&amp;X100&amp;"""","")&amp;IF(Y100&lt;&gt;"",IF(COUNTA($E100:$X100)&gt;0," OR ","")&amp;'Dashboard Config'!$B$7&amp;"="""&amp;Y100&amp;"""","")&amp;IF(Z100&lt;&gt;"",IF(COUNTA($E100:$Y100)&gt;0," OR ","")&amp;'Dashboard Config'!$B$7&amp;"="""&amp;Z100&amp;"""","")&amp;IF(AA100&lt;&gt;"",IF(COUNTA($E100:$Z100)&gt;0," OR ","")&amp;'Dashboard Config'!$B$7&amp;"="""&amp;AA100&amp;"""","")&amp;IF(AB100&lt;&gt;"",IF(COUNTA($E100:$AA100)&gt;0," OR ","")&amp;'Dashboard Config'!$B$7&amp;"="""&amp;AB100&amp;"""","")&amp;IF(AC100&lt;&gt;"",IF(COUNTA($E100:$AB100)&gt;0," OR ","")&amp;AC100,"")&amp;")")</x:f>
      </x:c>
      <x:c r="AE100" s="48" t="str">
        <x:f>IF($AD100="","",CHAR(123)&amp;CHAR(34)&amp;"label"&amp;CHAR(34)&amp;":"&amp;CHAR(34)&amp;$C100&amp;CHAR(34)&amp;","&amp;CHAR(34)&amp;"value"&amp;CHAR(34)&amp;":"&amp;CHAR(34)&amp;SUBSTITUTE($AD100,CHAR(34),CHAR(92)&amp;CHAR(34))&amp;CHAR(34)&amp;CHAR(125))</x:f>
      </x:c>
      <x:c r="AF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  <x:c r="AA101" s="42"/>
      <x:c r="AB101" s="42"/>
      <x:c r="AC101" s="42"/>
      <x:c r="AD101" s="48" t="str">
        <x:f>IF(OR($A101&lt;&gt;"Yes",$C101="",COUNTA($E101:$AC101)=0),"","("&amp;IF(E101&lt;&gt;"",'Dashboard Config'!$B$6&amp;"="""&amp;E101&amp;"""","")&amp;IF(F101&lt;&gt;"",IF(COUNTA($E101:$E101)&gt;0," OR ","")&amp;'Dashboard Config'!$B$6&amp;"="""&amp;F101&amp;"""","")&amp;IF(G101&lt;&gt;"",IF(COUNTA($E101:$F101)&gt;0," OR ","")&amp;'Dashboard Config'!$B$6&amp;"="""&amp;G101&amp;"""","")&amp;IF(H101&lt;&gt;"",IF(COUNTA($E101:$G101)&gt;0," OR ","")&amp;'Dashboard Config'!$B$6&amp;"="""&amp;H101&amp;"""","")&amp;IF(I101&lt;&gt;"",IF(COUNTA($E101:$H101)&gt;0," OR ","")&amp;'Dashboard Config'!$B$6&amp;"="""&amp;I101&amp;"""","")&amp;IF(J101&lt;&gt;"",IF(COUNTA($E101:$I101)&gt;0," OR ","")&amp;'Dashboard Config'!$B$6&amp;"="""&amp;J101&amp;"""","")&amp;IF(K101&lt;&gt;"",IF(COUNTA($E101:$J101)&gt;0," OR ","")&amp;'Dashboard Config'!$B$6&amp;"="""&amp;K101&amp;"""","")&amp;IF(L101&lt;&gt;"",IF(COUNTA($E101:$K101)&gt;0," OR ","")&amp;'Dashboard Config'!$B$6&amp;"="""&amp;L101&amp;"""","")&amp;IF(M101&lt;&gt;"",IF(COUNTA($E101:$L101)&gt;0," OR ","")&amp;'Dashboard Config'!$B$7&amp;"="""&amp;M101&amp;"""","")&amp;IF(N101&lt;&gt;"",IF(COUNTA($E101:$M101)&gt;0," OR ","")&amp;'Dashboard Config'!$B$7&amp;"="""&amp;N101&amp;"""","")&amp;IF(O101&lt;&gt;"",IF(COUNTA($E101:$N101)&gt;0," OR ","")&amp;'Dashboard Config'!$B$7&amp;"="""&amp;O101&amp;"""","")&amp;IF(P101&lt;&gt;"",IF(COUNTA($E101:$O101)&gt;0," OR ","")&amp;'Dashboard Config'!$B$7&amp;"="""&amp;P101&amp;"""","")&amp;IF(Q101&lt;&gt;"",IF(COUNTA($E101:$P101)&gt;0," OR ","")&amp;'Dashboard Config'!$B$7&amp;"="""&amp;Q101&amp;"""","")&amp;IF(R101&lt;&gt;"",IF(COUNTA($E101:$Q101)&gt;0," OR ","")&amp;'Dashboard Config'!$B$7&amp;"="""&amp;R101&amp;"""","")&amp;IF(S101&lt;&gt;"",IF(COUNTA($E101:$R101)&gt;0," OR ","")&amp;'Dashboard Config'!$B$7&amp;"="""&amp;S101&amp;"""","")&amp;IF(T101&lt;&gt;"",IF(COUNTA($E101:$S101)&gt;0," OR ","")&amp;'Dashboard Config'!$B$7&amp;"="""&amp;T101&amp;"""","")&amp;IF(U101&lt;&gt;"",IF(COUNTA($E101:$T101)&gt;0," OR ","")&amp;'Dashboard Config'!$B$7&amp;"="""&amp;U101&amp;"""","")&amp;IF(V101&lt;&gt;"",IF(COUNTA($E101:$U101)&gt;0," OR ","")&amp;'Dashboard Config'!$B$7&amp;"="""&amp;V101&amp;"""","")&amp;IF(W101&lt;&gt;"",IF(COUNTA($E101:$V101)&gt;0," OR ","")&amp;'Dashboard Config'!$B$7&amp;"="""&amp;W101&amp;"""","")&amp;IF(X101&lt;&gt;"",IF(COUNTA($E101:$W101)&gt;0," OR ","")&amp;'Dashboard Config'!$B$7&amp;"="""&amp;X101&amp;"""","")&amp;IF(Y101&lt;&gt;"",IF(COUNTA($E101:$X101)&gt;0," OR ","")&amp;'Dashboard Config'!$B$7&amp;"="""&amp;Y101&amp;"""","")&amp;IF(Z101&lt;&gt;"",IF(COUNTA($E101:$Y101)&gt;0," OR ","")&amp;'Dashboard Config'!$B$7&amp;"="""&amp;Z101&amp;"""","")&amp;IF(AA101&lt;&gt;"",IF(COUNTA($E101:$Z101)&gt;0," OR ","")&amp;'Dashboard Config'!$B$7&amp;"="""&amp;AA101&amp;"""","")&amp;IF(AB101&lt;&gt;"",IF(COUNTA($E101:$AA101)&gt;0," OR ","")&amp;'Dashboard Config'!$B$7&amp;"="""&amp;AB101&amp;"""","")&amp;IF(AC101&lt;&gt;"",IF(COUNTA($E101:$AB101)&gt;0," OR ","")&amp;AC101,"")&amp;")")</x:f>
      </x:c>
      <x:c r="AE101" s="48" t="str">
        <x:f>IF($AD101="","",CHAR(123)&amp;CHAR(34)&amp;"label"&amp;CHAR(34)&amp;":"&amp;CHAR(34)&amp;$C101&amp;CHAR(34)&amp;","&amp;CHAR(34)&amp;"value"&amp;CHAR(34)&amp;":"&amp;CHAR(34)&amp;SUBSTITUTE($AD101,CHAR(34),CHAR(92)&amp;CHAR(34))&amp;CHAR(34)&amp;CHAR(125))</x:f>
      </x:c>
      <x:c r="AF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  <x:c r="AA102" s="42"/>
      <x:c r="AB102" s="42"/>
      <x:c r="AC102" s="42"/>
      <x:c r="AD102" s="48" t="str">
        <x:f>IF(OR($A102&lt;&gt;"Yes",$C102="",COUNTA($E102:$AC102)=0),"","("&amp;IF(E102&lt;&gt;"",'Dashboard Config'!$B$6&amp;"="""&amp;E102&amp;"""","")&amp;IF(F102&lt;&gt;"",IF(COUNTA($E102:$E102)&gt;0," OR ","")&amp;'Dashboard Config'!$B$6&amp;"="""&amp;F102&amp;"""","")&amp;IF(G102&lt;&gt;"",IF(COUNTA($E102:$F102)&gt;0," OR ","")&amp;'Dashboard Config'!$B$6&amp;"="""&amp;G102&amp;"""","")&amp;IF(H102&lt;&gt;"",IF(COUNTA($E102:$G102)&gt;0," OR ","")&amp;'Dashboard Config'!$B$6&amp;"="""&amp;H102&amp;"""","")&amp;IF(I102&lt;&gt;"",IF(COUNTA($E102:$H102)&gt;0," OR ","")&amp;'Dashboard Config'!$B$6&amp;"="""&amp;I102&amp;"""","")&amp;IF(J102&lt;&gt;"",IF(COUNTA($E102:$I102)&gt;0," OR ","")&amp;'Dashboard Config'!$B$6&amp;"="""&amp;J102&amp;"""","")&amp;IF(K102&lt;&gt;"",IF(COUNTA($E102:$J102)&gt;0," OR ","")&amp;'Dashboard Config'!$B$6&amp;"="""&amp;K102&amp;"""","")&amp;IF(L102&lt;&gt;"",IF(COUNTA($E102:$K102)&gt;0," OR ","")&amp;'Dashboard Config'!$B$6&amp;"="""&amp;L102&amp;"""","")&amp;IF(M102&lt;&gt;"",IF(COUNTA($E102:$L102)&gt;0," OR ","")&amp;'Dashboard Config'!$B$7&amp;"="""&amp;M102&amp;"""","")&amp;IF(N102&lt;&gt;"",IF(COUNTA($E102:$M102)&gt;0," OR ","")&amp;'Dashboard Config'!$B$7&amp;"="""&amp;N102&amp;"""","")&amp;IF(O102&lt;&gt;"",IF(COUNTA($E102:$N102)&gt;0," OR ","")&amp;'Dashboard Config'!$B$7&amp;"="""&amp;O102&amp;"""","")&amp;IF(P102&lt;&gt;"",IF(COUNTA($E102:$O102)&gt;0," OR ","")&amp;'Dashboard Config'!$B$7&amp;"="""&amp;P102&amp;"""","")&amp;IF(Q102&lt;&gt;"",IF(COUNTA($E102:$P102)&gt;0," OR ","")&amp;'Dashboard Config'!$B$7&amp;"="""&amp;Q102&amp;"""","")&amp;IF(R102&lt;&gt;"",IF(COUNTA($E102:$Q102)&gt;0," OR ","")&amp;'Dashboard Config'!$B$7&amp;"="""&amp;R102&amp;"""","")&amp;IF(S102&lt;&gt;"",IF(COUNTA($E102:$R102)&gt;0," OR ","")&amp;'Dashboard Config'!$B$7&amp;"="""&amp;S102&amp;"""","")&amp;IF(T102&lt;&gt;"",IF(COUNTA($E102:$S102)&gt;0," OR ","")&amp;'Dashboard Config'!$B$7&amp;"="""&amp;T102&amp;"""","")&amp;IF(U102&lt;&gt;"",IF(COUNTA($E102:$T102)&gt;0," OR ","")&amp;'Dashboard Config'!$B$7&amp;"="""&amp;U102&amp;"""","")&amp;IF(V102&lt;&gt;"",IF(COUNTA($E102:$U102)&gt;0," OR ","")&amp;'Dashboard Config'!$B$7&amp;"="""&amp;V102&amp;"""","")&amp;IF(W102&lt;&gt;"",IF(COUNTA($E102:$V102)&gt;0," OR ","")&amp;'Dashboard Config'!$B$7&amp;"="""&amp;W102&amp;"""","")&amp;IF(X102&lt;&gt;"",IF(COUNTA($E102:$W102)&gt;0," OR ","")&amp;'Dashboard Config'!$B$7&amp;"="""&amp;X102&amp;"""","")&amp;IF(Y102&lt;&gt;"",IF(COUNTA($E102:$X102)&gt;0," OR ","")&amp;'Dashboard Config'!$B$7&amp;"="""&amp;Y102&amp;"""","")&amp;IF(Z102&lt;&gt;"",IF(COUNTA($E102:$Y102)&gt;0," OR ","")&amp;'Dashboard Config'!$B$7&amp;"="""&amp;Z102&amp;"""","")&amp;IF(AA102&lt;&gt;"",IF(COUNTA($E102:$Z102)&gt;0," OR ","")&amp;'Dashboard Config'!$B$7&amp;"="""&amp;AA102&amp;"""","")&amp;IF(AB102&lt;&gt;"",IF(COUNTA($E102:$AA102)&gt;0," OR ","")&amp;'Dashboard Config'!$B$7&amp;"="""&amp;AB102&amp;"""","")&amp;IF(AC102&lt;&gt;"",IF(COUNTA($E102:$AB102)&gt;0," OR ","")&amp;AC102,"")&amp;")")</x:f>
      </x:c>
      <x:c r="AE102" s="48" t="str">
        <x:f>IF($AD102="","",CHAR(123)&amp;CHAR(34)&amp;"label"&amp;CHAR(34)&amp;":"&amp;CHAR(34)&amp;$C102&amp;CHAR(34)&amp;","&amp;CHAR(34)&amp;"value"&amp;CHAR(34)&amp;":"&amp;CHAR(34)&amp;SUBSTITUTE($AD102,CHAR(34),CHAR(92)&amp;CHAR(34))&amp;CHAR(34)&amp;CHAR(125))</x:f>
      </x:c>
      <x:c r="AF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  <x:c r="AA103" s="42"/>
      <x:c r="AB103" s="42"/>
      <x:c r="AC103" s="42"/>
      <x:c r="AD103" s="48" t="str">
        <x:f>IF(OR($A103&lt;&gt;"Yes",$C103="",COUNTA($E103:$AC103)=0),"","("&amp;IF(E103&lt;&gt;"",'Dashboard Config'!$B$6&amp;"="""&amp;E103&amp;"""","")&amp;IF(F103&lt;&gt;"",IF(COUNTA($E103:$E103)&gt;0," OR ","")&amp;'Dashboard Config'!$B$6&amp;"="""&amp;F103&amp;"""","")&amp;IF(G103&lt;&gt;"",IF(COUNTA($E103:$F103)&gt;0," OR ","")&amp;'Dashboard Config'!$B$6&amp;"="""&amp;G103&amp;"""","")&amp;IF(H103&lt;&gt;"",IF(COUNTA($E103:$G103)&gt;0," OR ","")&amp;'Dashboard Config'!$B$6&amp;"="""&amp;H103&amp;"""","")&amp;IF(I103&lt;&gt;"",IF(COUNTA($E103:$H103)&gt;0," OR ","")&amp;'Dashboard Config'!$B$6&amp;"="""&amp;I103&amp;"""","")&amp;IF(J103&lt;&gt;"",IF(COUNTA($E103:$I103)&gt;0," OR ","")&amp;'Dashboard Config'!$B$6&amp;"="""&amp;J103&amp;"""","")&amp;IF(K103&lt;&gt;"",IF(COUNTA($E103:$J103)&gt;0," OR ","")&amp;'Dashboard Config'!$B$6&amp;"="""&amp;K103&amp;"""","")&amp;IF(L103&lt;&gt;"",IF(COUNTA($E103:$K103)&gt;0," OR ","")&amp;'Dashboard Config'!$B$6&amp;"="""&amp;L103&amp;"""","")&amp;IF(M103&lt;&gt;"",IF(COUNTA($E103:$L103)&gt;0," OR ","")&amp;'Dashboard Config'!$B$7&amp;"="""&amp;M103&amp;"""","")&amp;IF(N103&lt;&gt;"",IF(COUNTA($E103:$M103)&gt;0," OR ","")&amp;'Dashboard Config'!$B$7&amp;"="""&amp;N103&amp;"""","")&amp;IF(O103&lt;&gt;"",IF(COUNTA($E103:$N103)&gt;0," OR ","")&amp;'Dashboard Config'!$B$7&amp;"="""&amp;O103&amp;"""","")&amp;IF(P103&lt;&gt;"",IF(COUNTA($E103:$O103)&gt;0," OR ","")&amp;'Dashboard Config'!$B$7&amp;"="""&amp;P103&amp;"""","")&amp;IF(Q103&lt;&gt;"",IF(COUNTA($E103:$P103)&gt;0," OR ","")&amp;'Dashboard Config'!$B$7&amp;"="""&amp;Q103&amp;"""","")&amp;IF(R103&lt;&gt;"",IF(COUNTA($E103:$Q103)&gt;0," OR ","")&amp;'Dashboard Config'!$B$7&amp;"="""&amp;R103&amp;"""","")&amp;IF(S103&lt;&gt;"",IF(COUNTA($E103:$R103)&gt;0," OR ","")&amp;'Dashboard Config'!$B$7&amp;"="""&amp;S103&amp;"""","")&amp;IF(T103&lt;&gt;"",IF(COUNTA($E103:$S103)&gt;0," OR ","")&amp;'Dashboard Config'!$B$7&amp;"="""&amp;T103&amp;"""","")&amp;IF(U103&lt;&gt;"",IF(COUNTA($E103:$T103)&gt;0," OR ","")&amp;'Dashboard Config'!$B$7&amp;"="""&amp;U103&amp;"""","")&amp;IF(V103&lt;&gt;"",IF(COUNTA($E103:$U103)&gt;0," OR ","")&amp;'Dashboard Config'!$B$7&amp;"="""&amp;V103&amp;"""","")&amp;IF(W103&lt;&gt;"",IF(COUNTA($E103:$V103)&gt;0," OR ","")&amp;'Dashboard Config'!$B$7&amp;"="""&amp;W103&amp;"""","")&amp;IF(X103&lt;&gt;"",IF(COUNTA($E103:$W103)&gt;0," OR ","")&amp;'Dashboard Config'!$B$7&amp;"="""&amp;X103&amp;"""","")&amp;IF(Y103&lt;&gt;"",IF(COUNTA($E103:$X103)&gt;0," OR ","")&amp;'Dashboard Config'!$B$7&amp;"="""&amp;Y103&amp;"""","")&amp;IF(Z103&lt;&gt;"",IF(COUNTA($E103:$Y103)&gt;0," OR ","")&amp;'Dashboard Config'!$B$7&amp;"="""&amp;Z103&amp;"""","")&amp;IF(AA103&lt;&gt;"",IF(COUNTA($E103:$Z103)&gt;0," OR ","")&amp;'Dashboard Config'!$B$7&amp;"="""&amp;AA103&amp;"""","")&amp;IF(AB103&lt;&gt;"",IF(COUNTA($E103:$AA103)&gt;0," OR ","")&amp;'Dashboard Config'!$B$7&amp;"="""&amp;AB103&amp;"""","")&amp;IF(AC103&lt;&gt;"",IF(COUNTA($E103:$AB103)&gt;0," OR ","")&amp;AC103,"")&amp;")")</x:f>
      </x:c>
      <x:c r="AE103" s="48" t="str">
        <x:f>IF($AD103="","",CHAR(123)&amp;CHAR(34)&amp;"label"&amp;CHAR(34)&amp;":"&amp;CHAR(34)&amp;$C103&amp;CHAR(34)&amp;","&amp;CHAR(34)&amp;"value"&amp;CHAR(34)&amp;":"&amp;CHAR(34)&amp;SUBSTITUTE($AD103,CHAR(34),CHAR(92)&amp;CHAR(34))&amp;CHAR(34)&amp;CHAR(125))</x:f>
      </x:c>
      <x:c r="AF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  <x:c r="AA104" s="42"/>
      <x:c r="AB104" s="42"/>
      <x:c r="AC104" s="42"/>
      <x:c r="AD104" s="48" t="str">
        <x:f>IF(OR($A104&lt;&gt;"Yes",$C104="",COUNTA($E104:$AC104)=0),"","("&amp;IF(E104&lt;&gt;"",'Dashboard Config'!$B$6&amp;"="""&amp;E104&amp;"""","")&amp;IF(F104&lt;&gt;"",IF(COUNTA($E104:$E104)&gt;0," OR ","")&amp;'Dashboard Config'!$B$6&amp;"="""&amp;F104&amp;"""","")&amp;IF(G104&lt;&gt;"",IF(COUNTA($E104:$F104)&gt;0," OR ","")&amp;'Dashboard Config'!$B$6&amp;"="""&amp;G104&amp;"""","")&amp;IF(H104&lt;&gt;"",IF(COUNTA($E104:$G104)&gt;0," OR ","")&amp;'Dashboard Config'!$B$6&amp;"="""&amp;H104&amp;"""","")&amp;IF(I104&lt;&gt;"",IF(COUNTA($E104:$H104)&gt;0," OR ","")&amp;'Dashboard Config'!$B$6&amp;"="""&amp;I104&amp;"""","")&amp;IF(J104&lt;&gt;"",IF(COUNTA($E104:$I104)&gt;0," OR ","")&amp;'Dashboard Config'!$B$6&amp;"="""&amp;J104&amp;"""","")&amp;IF(K104&lt;&gt;"",IF(COUNTA($E104:$J104)&gt;0," OR ","")&amp;'Dashboard Config'!$B$6&amp;"="""&amp;K104&amp;"""","")&amp;IF(L104&lt;&gt;"",IF(COUNTA($E104:$K104)&gt;0," OR ","")&amp;'Dashboard Config'!$B$6&amp;"="""&amp;L104&amp;"""","")&amp;IF(M104&lt;&gt;"",IF(COUNTA($E104:$L104)&gt;0," OR ","")&amp;'Dashboard Config'!$B$7&amp;"="""&amp;M104&amp;"""","")&amp;IF(N104&lt;&gt;"",IF(COUNTA($E104:$M104)&gt;0," OR ","")&amp;'Dashboard Config'!$B$7&amp;"="""&amp;N104&amp;"""","")&amp;IF(O104&lt;&gt;"",IF(COUNTA($E104:$N104)&gt;0," OR ","")&amp;'Dashboard Config'!$B$7&amp;"="""&amp;O104&amp;"""","")&amp;IF(P104&lt;&gt;"",IF(COUNTA($E104:$O104)&gt;0," OR ","")&amp;'Dashboard Config'!$B$7&amp;"="""&amp;P104&amp;"""","")&amp;IF(Q104&lt;&gt;"",IF(COUNTA($E104:$P104)&gt;0," OR ","")&amp;'Dashboard Config'!$B$7&amp;"="""&amp;Q104&amp;"""","")&amp;IF(R104&lt;&gt;"",IF(COUNTA($E104:$Q104)&gt;0," OR ","")&amp;'Dashboard Config'!$B$7&amp;"="""&amp;R104&amp;"""","")&amp;IF(S104&lt;&gt;"",IF(COUNTA($E104:$R104)&gt;0," OR ","")&amp;'Dashboard Config'!$B$7&amp;"="""&amp;S104&amp;"""","")&amp;IF(T104&lt;&gt;"",IF(COUNTA($E104:$S104)&gt;0," OR ","")&amp;'Dashboard Config'!$B$7&amp;"="""&amp;T104&amp;"""","")&amp;IF(U104&lt;&gt;"",IF(COUNTA($E104:$T104)&gt;0," OR ","")&amp;'Dashboard Config'!$B$7&amp;"="""&amp;U104&amp;"""","")&amp;IF(V104&lt;&gt;"",IF(COUNTA($E104:$U104)&gt;0," OR ","")&amp;'Dashboard Config'!$B$7&amp;"="""&amp;V104&amp;"""","")&amp;IF(W104&lt;&gt;"",IF(COUNTA($E104:$V104)&gt;0," OR ","")&amp;'Dashboard Config'!$B$7&amp;"="""&amp;W104&amp;"""","")&amp;IF(X104&lt;&gt;"",IF(COUNTA($E104:$W104)&gt;0," OR ","")&amp;'Dashboard Config'!$B$7&amp;"="""&amp;X104&amp;"""","")&amp;IF(Y104&lt;&gt;"",IF(COUNTA($E104:$X104)&gt;0," OR ","")&amp;'Dashboard Config'!$B$7&amp;"="""&amp;Y104&amp;"""","")&amp;IF(Z104&lt;&gt;"",IF(COUNTA($E104:$Y104)&gt;0," OR ","")&amp;'Dashboard Config'!$B$7&amp;"="""&amp;Z104&amp;"""","")&amp;IF(AA104&lt;&gt;"",IF(COUNTA($E104:$Z104)&gt;0," OR ","")&amp;'Dashboard Config'!$B$7&amp;"="""&amp;AA104&amp;"""","")&amp;IF(AB104&lt;&gt;"",IF(COUNTA($E104:$AA104)&gt;0," OR ","")&amp;'Dashboard Config'!$B$7&amp;"="""&amp;AB104&amp;"""","")&amp;IF(AC104&lt;&gt;"",IF(COUNTA($E104:$AB104)&gt;0," OR ","")&amp;AC104,"")&amp;")")</x:f>
      </x:c>
      <x:c r="AE104" s="48" t="str">
        <x:f>IF($AD104="","",CHAR(123)&amp;CHAR(34)&amp;"label"&amp;CHAR(34)&amp;":"&amp;CHAR(34)&amp;$C104&amp;CHAR(34)&amp;","&amp;CHAR(34)&amp;"value"&amp;CHAR(34)&amp;":"&amp;CHAR(34)&amp;SUBSTITUTE($AD104,CHAR(34),CHAR(92)&amp;CHAR(34))&amp;CHAR(34)&amp;CHAR(125))</x:f>
      </x:c>
      <x:c r="AF104" s="42"/>
    </x:row>
  </x:sheetData>
  <x:mergeCells>
    <x:mergeCell ref="A1:AF1"/>
    <x:mergeCell ref="A2:AF2"/>
  </x:mergeCells>
  <x:conditionalFormatting sqref="A5:A104">
    <x:cfRule type="expression" dxfId="0" priority="1">
      <x:formula>A5="Yes"</x:formula>
    </x:cfRule>
  </x:conditionalFormatting>
  <x:dataValidations count="1">
    <x:dataValidation type="list" sqref="A5:A10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24" hidden="0" customWidth="1"/>
    <x:col min="4" max="4" width="16" hidden="0" customWidth="1"/>
    <x:col min="5" max="5" width="24" hidden="0" customWidth="1"/>
    <x:col min="6" max="6" width="58" hidden="0" customWidth="1"/>
    <x:col min="7" max="7" width="42" hidden="0" customWidth="1"/>
    <x:col min="8" max="8" width="34" hidden="0" customWidth="1"/>
    <x:col min="9" max="9" width="72" hidden="0" customWidth="1"/>
    <x:col min="10" max="10" width="50" hidden="0" customWidth="1"/>
    <x:col min="11" max="11" width="44" hidden="0" customWidth="1"/>
  </x:cols>
  <x:sheetData>
    <x:row r="1">
      <x:c r="A1" s="52" t="str">
        <x:v>Base Search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>
      <x:c r="A2" s="10" t="str">
        <x:v>Base searches are event-family collectors, not final panels. Every dashboard base automatically receives $site_scope$ and the dashboard time range. Keep the family narrow enough that a selected site/time does not push huge raw-event sets into chains. Do not create a new base if a new panel can safely reuse an existing family.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34" customHeight="1">
      <x:c r="A5" s="34" t="str">
        <x:v>Use?</x:v>
      </x:c>
      <x:c r="B5" s="34" t="str">
        <x:v>Base ID</x:v>
      </x:c>
      <x:c r="C5" s="34" t="str">
        <x:v>Base Name</x:v>
      </x:c>
      <x:c r="D5" s="34" t="str">
        <x:v>Category</x:v>
      </x:c>
      <x:c r="E5" s="34" t="str">
        <x:v>Data Source ID</x:v>
      </x:c>
      <x:c r="F5" s="34" t="str">
        <x:v>Event Filter</x:v>
      </x:c>
      <x:c r="G5" s="34" t="str">
        <x:v>Base Prep SPL</x:v>
      </x:c>
      <x:c r="H5" s="34" t="str">
        <x:v>Fields Kept</x:v>
      </x:c>
      <x:c r="I5" s="34" t="str">
        <x:v>Dashboard Query</x:v>
      </x:c>
      <x:c r="J5" s="34" t="str">
        <x:v>Volume / Design Note</x:v>
      </x:c>
      <x:c r="K5" s="34" t="str">
        <x:v>Notes</x:v>
      </x:c>
    </x:row>
    <x:row r="6">
      <x:c r="A6" s="42" t="str">
        <x:v>Yes</x:v>
      </x:c>
      <x:c r="B6" s="42" t="str">
        <x:v>B_INTERFACE</x:v>
      </x:c>
      <x:c r="C6" s="42" t="str">
        <x:v>Interface State</x:v>
      </x:c>
      <x:c r="D6" s="42" t="str">
        <x:v>Interfaces</x:v>
      </x:c>
      <x:c r="E6" s="42" t="str">
        <x:v>ds_base_interface</x:v>
      </x:c>
      <x:c r="F6" s="42" t="str">
        <x:v>("%LINK-3-UPDOWN" OR "%LINEPROTO-5-UPDOWN" OR "%PM-4-ERR_DISABLE")</x:v>
      </x:c>
      <x:c r="G6" s="42" t="str">
        <x:v>| fields _time host source sourcetype _raw</x:v>
      </x:c>
      <x:c r="H6" s="42" t="str">
        <x:v>_time host source sourcetype _raw</x:v>
      </x:c>
      <x:c r="I6" s="48" t="str">
        <x:f>IF(OR($A6&lt;&gt;"Yes",$B6=""),"",'Dashboard Config'!$B$5&amp;CHAR(10)&amp;"$"&amp;'Dashboard Config'!$B$8&amp;"$"&amp;IF($F6&lt;&gt;"",CHAR(10)&amp;$F6,"")&amp;IF($G6&lt;&gt;"",CHAR(10)&amp;$G6,""))</x:f>
        <x:v>index="network_eo" sourcetype="cisco:ios"
$site_scope$
("%LINK-3-UPDOWN" OR "%LINEPROTO-5-UPDOWN" OR "%PM-4-ERR_DISABLE")
| fields _time host source sourcetype _raw</x:v>
      </x:c>
      <x:c r="J6" s="10" t="str">
        <x:v>High-volume family. Keep site + dashboard time narrow; parsing is moved to a helper chain.</x:v>
      </x:c>
      <x:c r="K6" s="10" t="str">
        <x:v>Link/line-protocol/err-disable only.</x:v>
      </x:c>
    </x:row>
    <x:row r="7">
      <x:c r="A7" s="42" t="str">
        <x:v>Yes</x:v>
      </x:c>
      <x:c r="B7" s="42" t="str">
        <x:v>B_L2</x:v>
      </x:c>
      <x:c r="C7" s="42" t="str">
        <x:v>Layer 2 Control</x:v>
      </x:c>
      <x:c r="D7" s="42" t="str">
        <x:v>Layer 2</x:v>
      </x:c>
      <x:c r="E7" s="42" t="str">
        <x:v>ds_base_l2</x:v>
      </x:c>
      <x:c r="F7" s="42" t="str">
        <x:v>("%SW_MATM-4-MACFLAP_NOTIF" OR "%SPANTREE-" OR "%UDLD-" OR "%EC-" OR "%LACP-" OR "%PAGP-")</x:v>
      </x:c>
      <x:c r="G7" s="42" t="str">
        <x:v>| fields _time host source sourcetype _raw</x:v>
      </x:c>
      <x:c r="H7" s="42" t="str">
        <x:v>_time host source sourcetype _raw</x:v>
      </x:c>
      <x:c r="I7" s="48" t="str">
        <x:f>IF(OR($A7&lt;&gt;"Yes",$B7=""),"",'Dashboard Config'!$B$5&amp;CHAR(10)&amp;"$"&amp;'Dashboard Config'!$B$8&amp;"$"&amp;IF($F7&lt;&gt;"",CHAR(10)&amp;$F7,"")&amp;IF($G7&lt;&gt;"",CHAR(10)&amp;$G7,""))</x:f>
        <x:v>index="network_eo" sourcetype="cisco:ios"
$site_scope$
("%SW_MATM-4-MACFLAP_NOTIF" OR "%SPANTREE-" OR "%UDLD-" OR "%EC-" OR "%LACP-" OR "%PAGP-")
| fields _time host source sourcetype _raw</x:v>
      </x:c>
      <x:c r="J7" s="10" t="str">
        <x:v>Lumps related control-plane L2 events while avoiding general switch syslog.</x:v>
      </x:c>
      <x:c r="K7" s="10" t="str">
        <x:v>MAC movement, STP, UDLD, EtherChannel.</x:v>
      </x:c>
    </x:row>
    <x:row r="8">
      <x:c r="A8" s="42" t="str">
        <x:v>Yes</x:v>
      </x:c>
      <x:c r="B8" s="42" t="str">
        <x:v>B_L3</x:v>
      </x:c>
      <x:c r="C8" s="42" t="str">
        <x:v>Routing / Layer 3</x:v>
      </x:c>
      <x:c r="D8" s="42" t="str">
        <x:v>Routing</x:v>
      </x:c>
      <x:c r="E8" s="42" t="str">
        <x:v>ds_base_l3</x:v>
      </x:c>
      <x:c r="F8" s="42" t="str">
        <x:v>("%OSPF-" OR "%BGP-" OR "%HSRP-" OR "%GLBP-" OR "%BFD-" OR "Duplicate address" OR "%IP-4-DUPADDR")</x:v>
      </x:c>
      <x:c r="G8" s="42" t="str">
        <x:v>| fields _time host source sourcetype _raw</x:v>
      </x:c>
      <x:c r="H8" s="42" t="str">
        <x:v>_time host source sourcetype _raw</x:v>
      </x:c>
      <x:c r="I8" s="48" t="str">
        <x:f>IF(OR($A8&lt;&gt;"Yes",$B8=""),"",'Dashboard Config'!$B$5&amp;CHAR(10)&amp;"$"&amp;'Dashboard Config'!$B$8&amp;"$"&amp;IF($F8&lt;&gt;"",CHAR(10)&amp;$F8,"")&amp;IF($G8&lt;&gt;"",CHAR(10)&amp;$G8,""))</x:f>
        <x:v>index="network_eo" sourcetype="cisco:ios"
$site_scope$
("%OSPF-" OR "%BGP-" OR "%HSRP-" OR "%GLBP-" OR "%BFD-" OR "Duplicate address" OR "%IP-4-DUPADDR")
| fields _time host source sourcetype _raw</x:v>
      </x:c>
      <x:c r="J8" s="10" t="str">
        <x:v>Routing and duplicate-IP events are typically much lower volume than interface state.</x:v>
      </x:c>
      <x:c r="K8" s="10" t="str">
        <x:v>Add routing protocols here only when they share the same troubleshooting pages.</x:v>
      </x:c>
    </x:row>
    <x:row r="9">
      <x:c r="A9" s="42" t="str">
        <x:v>Yes</x:v>
      </x:c>
      <x:c r="B9" s="42" t="str">
        <x:v>B_PHYSICAL</x:v>
      </x:c>
      <x:c r="C9" s="42" t="str">
        <x:v>Physical / Hardware</x:v>
      </x:c>
      <x:c r="D9" s="42" t="str">
        <x:v>Physical</x:v>
      </x:c>
      <x:c r="E9" s="42" t="str">
        <x:v>ds_base_physical</x:v>
      </x:c>
      <x:c r="F9" s="42" t="str">
        <x:v>("%SFF8472-" OR "%PLATFORM_ENV-" OR "%ENVIRONMENT-" OR "%FAN-" OR "%POWER-" OR "%STACKMGR-" OR "%STACKWISE-")</x:v>
      </x:c>
      <x:c r="G9" s="42" t="str">
        <x:v>| fields _time host source sourcetype _raw</x:v>
      </x:c>
      <x:c r="H9" s="42" t="str">
        <x:v>_time host source sourcetype _raw</x:v>
      </x:c>
      <x:c r="I9" s="48" t="str">
        <x:f>IF(OR($A9&lt;&gt;"Yes",$B9=""),"",'Dashboard Config'!$B$5&amp;CHAR(10)&amp;"$"&amp;'Dashboard Config'!$B$8&amp;"$"&amp;IF($F9&lt;&gt;"",CHAR(10)&amp;$F9,"")&amp;IF($G9&lt;&gt;"",CHAR(10)&amp;$G9,""))</x:f>
        <x:v>index="network_eo" sourcetype="cisco:ios"
$site_scope$
("%SFF8472-" OR "%PLATFORM_ENV-" OR "%ENVIRONMENT-" OR "%FAN-" OR "%POWER-" OR "%STACKMGR-" OR "%STACKWISE-")
| fields _time host source sourcetype _raw</x:v>
      </x:c>
      <x:c r="J9" s="10" t="str">
        <x:v>Low/medium volume family; good for optics, stack and environment panels.</x:v>
      </x:c>
      <x:c r="K9" s="10" t="str">
        <x:v>Continuous DOM/CRC metrics still require telemetry/SNMP/CLI ingestion.</x:v>
      </x:c>
    </x:row>
    <x:row r="10">
      <x:c r="A10" s="42" t="str">
        <x:v>Yes</x:v>
      </x:c>
      <x:c r="B10" s="42" t="str">
        <x:v>B_ACCESS</x:v>
      </x:c>
      <x:c r="C10" s="42" t="str">
        <x:v>Access / Authentication</x:v>
      </x:c>
      <x:c r="D10" s="42" t="str">
        <x:v>Access</x:v>
      </x:c>
      <x:c r="E10" s="42" t="str">
        <x:v>ds_base_access</x:v>
      </x:c>
      <x:c r="F10" s="42" t="str">
        <x:v>("%DOT1X-" OR "%MAB-" OR "%SESSION_MGR-" OR "%AUTHMGR-" OR "%ILPOWER-")</x:v>
      </x:c>
      <x:c r="G10" s="42" t="str">
        <x:v>| fields _time host source sourcetype _raw</x:v>
      </x:c>
      <x:c r="H10" s="42" t="str">
        <x:v>_time host source sourcetype _raw</x:v>
      </x:c>
      <x:c r="I10" s="48" t="str">
        <x:f>IF(OR($A10&lt;&gt;"Yes",$B10=""),"",'Dashboard Config'!$B$5&amp;CHAR(10)&amp;"$"&amp;'Dashboard Config'!$B$8&amp;"$"&amp;IF($F10&lt;&gt;"",CHAR(10)&amp;$F10,"")&amp;IF($G10&lt;&gt;"",CHAR(10)&amp;$G10,""))</x:f>
        <x:v>index="network_eo" sourcetype="cisco:ios"
$site_scope$
("%DOT1X-" OR "%MAB-" OR "%SESSION_MGR-" OR "%AUTHMGR-" OR "%ILPOWER-")
| fields _time host source sourcetype _raw</x:v>
      </x:c>
      <x:c r="J10" s="10" t="str">
        <x:v>Can become noisy in access-heavy environments. Split authentication from PoE later only if volume warrants it.</x:v>
      </x:c>
      <x:c r="K10" s="10" t="str">
        <x:v>802.1X/MAB/session manager/inline power.</x:v>
      </x:c>
    </x:row>
    <x:row r="11">
      <x:c r="A11" s="42" t="str">
        <x:v>Yes</x:v>
      </x:c>
      <x:c r="B11" s="42" t="str">
        <x:v>B_OPERATIONS</x:v>
      </x:c>
      <x:c r="C11" s="42" t="str">
        <x:v>Operations</x:v>
      </x:c>
      <x:c r="D11" s="42" t="str">
        <x:v>Operations</x:v>
      </x:c>
      <x:c r="E11" s="42" t="str">
        <x:v>ds_base_operations</x:v>
      </x:c>
      <x:c r="F11" s="42" t="str">
        <x:v>("%SYS-5-CONFIG_I" OR "%SYS-5-RELOAD" OR "%SYS-5-RESTART" OR "%LOGIN-" OR "%SSH-" OR "%AAA-")</x:v>
      </x:c>
      <x:c r="G11" s="42" t="str">
        <x:v>| fields _time host source sourcetype _raw</x:v>
      </x:c>
      <x:c r="H11" s="42" t="str">
        <x:v>_time host source sourcetype _raw</x:v>
      </x:c>
      <x:c r="I11" s="48" t="str">
        <x:f>IF(OR($A11&lt;&gt;"Yes",$B11=""),"",'Dashboard Config'!$B$5&amp;CHAR(10)&amp;"$"&amp;'Dashboard Config'!$B$8&amp;"$"&amp;IF($F11&lt;&gt;"",CHAR(10)&amp;$F11,"")&amp;IF($G11&lt;&gt;"",CHAR(10)&amp;$G11,""))</x:f>
        <x:v>index="network_eo" sourcetype="cisco:ios"
$site_scope$
("%SYS-5-CONFIG_I" OR "%SYS-5-RELOAD" OR "%SYS-5-RESTART" OR "%LOGIN-" OR "%SSH-" OR "%AAA-")
| fields _time host source sourcetype _raw</x:v>
      </x:c>
      <x:c r="J11" s="10" t="str">
        <x:v>Keep broad auth noise out unless the operations tab actually needs it.</x:v>
      </x:c>
      <x:c r="K11" s="10" t="str">
        <x:v>Configuration, reload and administrative access events.</x:v>
      </x:c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8" t="str">
        <x:f>IF(OR($A12&lt;&gt;"Yes",$B12=""),"",'Dashboard Config'!$B$5&amp;CHAR(10)&amp;"$"&amp;'Dashboard Config'!$B$8&amp;"$"&amp;IF($F12&lt;&gt;"",CHAR(10)&amp;$F12,"")&amp;IF($G12&lt;&gt;"",CHAR(10)&amp;$G12,""))</x:f>
      </x:c>
      <x:c r="J12" s="10"/>
      <x:c r="K12" s="10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8" t="str">
        <x:f>IF(OR($A13&lt;&gt;"Yes",$B13=""),"",'Dashboard Config'!$B$5&amp;CHAR(10)&amp;"$"&amp;'Dashboard Config'!$B$8&amp;"$"&amp;IF($F13&lt;&gt;"",CHAR(10)&amp;$F13,"")&amp;IF($G13&lt;&gt;"",CHAR(10)&amp;$G13,""))</x:f>
      </x:c>
      <x:c r="J13" s="10"/>
      <x:c r="K13" s="10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8" t="str">
        <x:f>IF(OR($A14&lt;&gt;"Yes",$B14=""),"",'Dashboard Config'!$B$5&amp;CHAR(10)&amp;"$"&amp;'Dashboard Config'!$B$8&amp;"$"&amp;IF($F14&lt;&gt;"",CHAR(10)&amp;$F14,"")&amp;IF($G14&lt;&gt;"",CHAR(10)&amp;$G14,""))</x:f>
      </x:c>
      <x:c r="J14" s="10"/>
      <x:c r="K14" s="10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8" t="str">
        <x:f>IF(OR($A15&lt;&gt;"Yes",$B15=""),"",'Dashboard Config'!$B$5&amp;CHAR(10)&amp;"$"&amp;'Dashboard Config'!$B$8&amp;"$"&amp;IF($F15&lt;&gt;"",CHAR(10)&amp;$F15,"")&amp;IF($G15&lt;&gt;"",CHAR(10)&amp;$G15,""))</x:f>
      </x:c>
      <x:c r="J15" s="10"/>
      <x:c r="K15" s="10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8" t="str">
        <x:f>IF(OR($A16&lt;&gt;"Yes",$B16=""),"",'Dashboard Config'!$B$5&amp;CHAR(10)&amp;"$"&amp;'Dashboard Config'!$B$8&amp;"$"&amp;IF($F16&lt;&gt;"",CHAR(10)&amp;$F16,"")&amp;IF($G16&lt;&gt;"",CHAR(10)&amp;$G16,""))</x:f>
      </x:c>
      <x:c r="J16" s="10"/>
      <x:c r="K16" s="10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8" t="str">
        <x:f>IF(OR($A17&lt;&gt;"Yes",$B17=""),"",'Dashboard Config'!$B$5&amp;CHAR(10)&amp;"$"&amp;'Dashboard Config'!$B$8&amp;"$"&amp;IF($F17&lt;&gt;"",CHAR(10)&amp;$F17,"")&amp;IF($G17&lt;&gt;"",CHAR(10)&amp;$G17,""))</x:f>
      </x:c>
      <x:c r="J17" s="10"/>
      <x:c r="K17" s="10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8" t="str">
        <x:f>IF(OR($A18&lt;&gt;"Yes",$B18=""),"",'Dashboard Config'!$B$5&amp;CHAR(10)&amp;"$"&amp;'Dashboard Config'!$B$8&amp;"$"&amp;IF($F18&lt;&gt;"",CHAR(10)&amp;$F18,"")&amp;IF($G18&lt;&gt;"",CHAR(10)&amp;$G18,""))</x:f>
      </x:c>
      <x:c r="J18" s="10"/>
      <x:c r="K18" s="10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8" t="str">
        <x:f>IF(OR($A19&lt;&gt;"Yes",$B19=""),"",'Dashboard Config'!$B$5&amp;CHAR(10)&amp;"$"&amp;'Dashboard Config'!$B$8&amp;"$"&amp;IF($F19&lt;&gt;"",CHAR(10)&amp;$F19,"")&amp;IF($G19&lt;&gt;"",CHAR(10)&amp;$G19,""))</x:f>
      </x:c>
      <x:c r="J19" s="10"/>
      <x:c r="K19" s="10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8" t="str">
        <x:f>IF(OR($A20&lt;&gt;"Yes",$B20=""),"",'Dashboard Config'!$B$5&amp;CHAR(10)&amp;"$"&amp;'Dashboard Config'!$B$8&amp;"$"&amp;IF($F20&lt;&gt;"",CHAR(10)&amp;$F20,"")&amp;IF($G20&lt;&gt;"",CHAR(10)&amp;$G20,""))</x:f>
      </x:c>
      <x:c r="J20" s="10"/>
      <x:c r="K20" s="10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8" t="str">
        <x:f>IF(OR($A21&lt;&gt;"Yes",$B21=""),"",'Dashboard Config'!$B$5&amp;CHAR(10)&amp;"$"&amp;'Dashboard Config'!$B$8&amp;"$"&amp;IF($F21&lt;&gt;"",CHAR(10)&amp;$F21,"")&amp;IF($G21&lt;&gt;"",CHAR(10)&amp;$G21,""))</x:f>
      </x:c>
      <x:c r="J21" s="10"/>
      <x:c r="K21" s="10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8" t="str">
        <x:f>IF(OR($A22&lt;&gt;"Yes",$B22=""),"",'Dashboard Config'!$B$5&amp;CHAR(10)&amp;"$"&amp;'Dashboard Config'!$B$8&amp;"$"&amp;IF($F22&lt;&gt;"",CHAR(10)&amp;$F22,"")&amp;IF($G22&lt;&gt;"",CHAR(10)&amp;$G22,""))</x:f>
      </x:c>
      <x:c r="J22" s="10"/>
      <x:c r="K22" s="10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8" t="str">
        <x:f>IF(OR($A23&lt;&gt;"Yes",$B23=""),"",'Dashboard Config'!$B$5&amp;CHAR(10)&amp;"$"&amp;'Dashboard Config'!$B$8&amp;"$"&amp;IF($F23&lt;&gt;"",CHAR(10)&amp;$F23,"")&amp;IF($G23&lt;&gt;"",CHAR(10)&amp;$G23,""))</x:f>
      </x:c>
      <x:c r="J23" s="10"/>
      <x:c r="K23" s="10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8" t="str">
        <x:f>IF(OR($A24&lt;&gt;"Yes",$B24=""),"",'Dashboard Config'!$B$5&amp;CHAR(10)&amp;"$"&amp;'Dashboard Config'!$B$8&amp;"$"&amp;IF($F24&lt;&gt;"",CHAR(10)&amp;$F24,"")&amp;IF($G24&lt;&gt;"",CHAR(10)&amp;$G24,""))</x:f>
      </x:c>
      <x:c r="J24" s="10"/>
      <x:c r="K24" s="10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8" t="str">
        <x:f>IF(OR($A25&lt;&gt;"Yes",$B25=""),"",'Dashboard Config'!$B$5&amp;CHAR(10)&amp;"$"&amp;'Dashboard Config'!$B$8&amp;"$"&amp;IF($F25&lt;&gt;"",CHAR(10)&amp;$F25,"")&amp;IF($G25&lt;&gt;"",CHAR(10)&amp;$G25,""))</x:f>
      </x:c>
      <x:c r="J25" s="10"/>
      <x:c r="K25" s="10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8" t="str">
        <x:f>IF(OR($A26&lt;&gt;"Yes",$B26=""),"",'Dashboard Config'!$B$5&amp;CHAR(10)&amp;"$"&amp;'Dashboard Config'!$B$8&amp;"$"&amp;IF($F26&lt;&gt;"",CHAR(10)&amp;$F26,"")&amp;IF($G26&lt;&gt;"",CHAR(10)&amp;$G26,""))</x:f>
      </x:c>
      <x:c r="J26" s="10"/>
      <x:c r="K26" s="10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8" t="str">
        <x:f>IF(OR($A27&lt;&gt;"Yes",$B27=""),"",'Dashboard Config'!$B$5&amp;CHAR(10)&amp;"$"&amp;'Dashboard Config'!$B$8&amp;"$"&amp;IF($F27&lt;&gt;"",CHAR(10)&amp;$F27,"")&amp;IF($G27&lt;&gt;"",CHAR(10)&amp;$G27,""))</x:f>
      </x:c>
      <x:c r="J27" s="10"/>
      <x:c r="K27" s="10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8" t="str">
        <x:f>IF(OR($A28&lt;&gt;"Yes",$B28=""),"",'Dashboard Config'!$B$5&amp;CHAR(10)&amp;"$"&amp;'Dashboard Config'!$B$8&amp;"$"&amp;IF($F28&lt;&gt;"",CHAR(10)&amp;$F28,"")&amp;IF($G28&lt;&gt;"",CHAR(10)&amp;$G28,""))</x:f>
      </x:c>
      <x:c r="J28" s="10"/>
      <x:c r="K28" s="10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8" t="str">
        <x:f>IF(OR($A29&lt;&gt;"Yes",$B29=""),"",'Dashboard Config'!$B$5&amp;CHAR(10)&amp;"$"&amp;'Dashboard Config'!$B$8&amp;"$"&amp;IF($F29&lt;&gt;"",CHAR(10)&amp;$F29,"")&amp;IF($G29&lt;&gt;"",CHAR(10)&amp;$G29,""))</x:f>
      </x:c>
      <x:c r="J29" s="10"/>
      <x:c r="K29" s="10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8" t="str">
        <x:f>IF(OR($A30&lt;&gt;"Yes",$B30=""),"",'Dashboard Config'!$B$5&amp;CHAR(10)&amp;"$"&amp;'Dashboard Config'!$B$8&amp;"$"&amp;IF($F30&lt;&gt;"",CHAR(10)&amp;$F30,"")&amp;IF($G30&lt;&gt;"",CHAR(10)&amp;$G30,""))</x:f>
      </x:c>
      <x:c r="J30" s="10"/>
      <x:c r="K30" s="10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8" t="str">
        <x:f>IF(OR($A31&lt;&gt;"Yes",$B31=""),"",'Dashboard Config'!$B$5&amp;CHAR(10)&amp;"$"&amp;'Dashboard Config'!$B$8&amp;"$"&amp;IF($F31&lt;&gt;"",CHAR(10)&amp;$F31,"")&amp;IF($G31&lt;&gt;"",CHAR(10)&amp;$G31,""))</x:f>
      </x:c>
      <x:c r="J31" s="10"/>
      <x:c r="K31" s="10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8" t="str">
        <x:f>IF(OR($A32&lt;&gt;"Yes",$B32=""),"",'Dashboard Config'!$B$5&amp;CHAR(10)&amp;"$"&amp;'Dashboard Config'!$B$8&amp;"$"&amp;IF($F32&lt;&gt;"",CHAR(10)&amp;$F32,"")&amp;IF($G32&lt;&gt;"",CHAR(10)&amp;$G32,""))</x:f>
      </x:c>
      <x:c r="J32" s="10"/>
      <x:c r="K32" s="10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8" t="str">
        <x:f>IF(OR($A33&lt;&gt;"Yes",$B33=""),"",'Dashboard Config'!$B$5&amp;CHAR(10)&amp;"$"&amp;'Dashboard Config'!$B$8&amp;"$"&amp;IF($F33&lt;&gt;"",CHAR(10)&amp;$F33,"")&amp;IF($G33&lt;&gt;"",CHAR(10)&amp;$G33,""))</x:f>
      </x:c>
      <x:c r="J33" s="10"/>
      <x:c r="K33" s="10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8" t="str">
        <x:f>IF(OR($A34&lt;&gt;"Yes",$B34=""),"",'Dashboard Config'!$B$5&amp;CHAR(10)&amp;"$"&amp;'Dashboard Config'!$B$8&amp;"$"&amp;IF($F34&lt;&gt;"",CHAR(10)&amp;$F34,"")&amp;IF($G34&lt;&gt;"",CHAR(10)&amp;$G34,""))</x:f>
      </x:c>
      <x:c r="J34" s="10"/>
      <x:c r="K34" s="10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8" t="str">
        <x:f>IF(OR($A35&lt;&gt;"Yes",$B35=""),"",'Dashboard Config'!$B$5&amp;CHAR(10)&amp;"$"&amp;'Dashboard Config'!$B$8&amp;"$"&amp;IF($F35&lt;&gt;"",CHAR(10)&amp;$F35,"")&amp;IF($G35&lt;&gt;"",CHAR(10)&amp;$G35,""))</x:f>
      </x:c>
      <x:c r="J35" s="10"/>
      <x:c r="K35" s="10"/>
    </x:row>
  </x:sheetData>
  <x:mergeCells>
    <x:mergeCell ref="A1:K1"/>
    <x:mergeCell ref="A2:K3"/>
  </x:mergeCells>
  <x:conditionalFormatting sqref="A6:A35">
    <x:cfRule type="expression" dxfId="1" priority="1">
      <x:formula>A6="Yes"</x:formula>
    </x:cfRule>
  </x:conditionalFormatting>
  <x:dataValidations count="1">
    <x:dataValidation type="list" sqref="A6:A3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16" hidden="0" customWidth="1"/>
    <x:col min="6" max="6" width="16" hidden="0" customWidth="1"/>
    <x:col min="7" max="7" width="22" hidden="0" customWidth="1"/>
    <x:col min="8" max="8" width="44" hidden="0" customWidth="1"/>
    <x:col min="9" max="9" width="52" hidden="0" customWidth="1"/>
    <x:col min="10" max="10" width="62" hidden="0" customWidth="1"/>
    <x:col min="11" max="11" width="10" hidden="0" customWidth="1"/>
    <x:col min="12" max="12" width="24" hidden="0" customWidth="1"/>
    <x:col min="13" max="13" width="10" hidden="0" customWidth="1"/>
    <x:col min="14" max="14" width="22" hidden="0" customWidth="1"/>
    <x:col min="15" max="15" width="24" hidden="0" customWidth="1"/>
    <x:col min="16" max="16" width="26" hidden="0" customWidth="1"/>
    <x:col min="17" max="17" width="72" hidden="0" customWidth="1"/>
    <x:col min="18" max="18" width="72" hidden="0" customWidth="1"/>
  </x:cols>
  <x:sheetData>
    <x:row r="1">
      <x:c r="A1" s="52" t="str">
        <x:v>Search / Chain Library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0" t="str">
        <x:v>To add a panel/search: give it a stable Search ID, choose Parent Base, and enter the remaining SPL. Parent Search is optional and creates a second chain level for reusable parsing. Helper searches are data sources with no visualization. Count settings automatically create a count version without duplicating the search.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</x:row>
    <x:row r="5" ht="38" customHeight="1">
      <x:c r="A5" s="34" t="str">
        <x:v>Use?</x:v>
      </x:c>
      <x:c r="B5" s="34" t="str">
        <x:v>Search ID</x:v>
      </x:c>
      <x:c r="C5" s="34" t="str">
        <x:v>Search Name</x:v>
      </x:c>
      <x:c r="D5" s="34" t="str">
        <x:v>Role</x:v>
      </x:c>
      <x:c r="E5" s="34" t="str">
        <x:v>Category</x:v>
      </x:c>
      <x:c r="F5" s="34" t="str">
        <x:v>Parent Base</x:v>
      </x:c>
      <x:c r="G5" s="34" t="str">
        <x:v>Parent Search (optional)</x:v>
      </x:c>
      <x:c r="H5" s="34" t="str">
        <x:v>Filter Expression</x:v>
      </x:c>
      <x:c r="I5" s="34" t="str">
        <x:v>Prep SPL</x:v>
      </x:c>
      <x:c r="J5" s="34" t="str">
        <x:v>Detail SPL</x:v>
      </x:c>
      <x:c r="K5" s="34" t="str">
        <x:v>Count?</x:v>
      </x:c>
      <x:c r="L5" s="34" t="str">
        <x:v>Count By</x:v>
      </x:c>
      <x:c r="M5" s="34" t="str">
        <x:v>Count Min</x:v>
      </x:c>
      <x:c r="N5" s="34" t="str">
        <x:v>Suggested Viz</x:v>
      </x:c>
      <x:c r="O5" s="34" t="str">
        <x:v>Data Source ID</x:v>
      </x:c>
      <x:c r="P5" s="34" t="str">
        <x:v>Parent Data Source</x:v>
      </x:c>
      <x:c r="Q5" s="34" t="str">
        <x:v>Chain SPL</x:v>
      </x:c>
      <x:c r="R5" s="34" t="str">
        <x:v>Count Chain SPL</x:v>
      </x:c>
    </x:row>
    <x:row r="6">
      <x:c r="A6" s="42" t="str">
        <x:v>Yes</x:v>
      </x:c>
      <x:c r="B6" s="42" t="str">
        <x:v>S_IFACE_PARSE</x:v>
      </x:c>
      <x:c r="C6" s="42" t="str">
        <x:v>Interface Parsed Fields</x:v>
      </x:c>
      <x:c r="D6" s="42" t="str">
        <x:v>Helper</x:v>
      </x:c>
      <x:c r="E6" s="42" t="str">
        <x:v>Interfaces</x:v>
      </x:c>
      <x:c r="F6" s="42" t="str">
        <x:v>B_INTERFACE</x:v>
      </x:c>
      <x:c r="G6" s="42" t="str"/>
      <x:c r="H6" s="42" t="str"/>
      <x:c r="I6" s="42" t="str">
        <x:v>| rex field=_raw "(?i)(?:Interface|Line protocol on Interface)\s+(?&lt;interface&gt;[^,]+),\s+changed state to\s+(?&lt;state&gt;up|down)"</x:v>
      </x:c>
      <x:c r="J6" s="42" t="str"/>
      <x:c r="K6" s="42" t="str">
        <x:v>No</x:v>
      </x:c>
      <x:c r="L6" s="42" t="str"/>
      <x:c r="M6" s="42" t="str"/>
      <x:c r="N6" s="42" t="str">
        <x:v>Helper</x:v>
      </x:c>
      <x:c r="O6" s="42" t="str">
        <x:v>ds_iface_parse</x:v>
      </x:c>
      <x:c r="P6" s="48" t="str">
        <x:f>IF($A6&lt;&gt;"Yes","",IF($G6&lt;&gt;"",IFERROR(INDEX($O$6:$O$205,MATCH($G6,$B$6:$B$205,0)),"PARENT SEARCH NOT FOUND"),IFERROR(INDEX('Base Searches'!$E$6:$E$35,MATCH($F6,'Base Searches'!$B$6:$B$35,0)),"BASE NOT FOUND")))</x:f>
        <x:v>ds_base_interface</x:v>
      </x:c>
      <x:c r="Q6" s="48" t="str">
        <x:f>IF(OR($A6&lt;&gt;"Yes",$B6=""),"",IF($H6&lt;&gt;"","| search "&amp;$H6,"")&amp;IF($I6&lt;&gt;"",IF($H6&lt;&gt;"",CHAR(10),"")&amp;$I6,"")&amp;IF($J6&lt;&gt;"",IF(OR($H6&lt;&gt;"",$I6&lt;&gt;""),CHAR(10),"")&amp;$J6,""))</x:f>
        <x:v>| rex field=_raw "(?i)(?:Interface|Line protocol on Interface)\s+(?&lt;interface&gt;[^,]+),\s+changed state to\s+(?&lt;state&gt;up|down)"</x:v>
      </x:c>
      <x:c r="R6" s="48" t="str">
        <x:f>IF(OR($A6&lt;&gt;"Yes",$B6=""),"",IF($K6&lt;&gt;"Yes","Count disabled",IF($H6&lt;&gt;"","| search "&amp;$H6,"")&amp;IF($I6&lt;&gt;"",IF($H6&lt;&gt;"",CHAR(10),"")&amp;$I6,"")&amp;IF(OR($H6&lt;&gt;"",$I6&lt;&gt;""),CHAR(10),"")&amp;"| stats count as count"&amp;IF($L6&lt;&gt;""," by "&amp;$L6,"")&amp;IF($M6&lt;&gt;"",CHAR(10)&amp;"| where count &gt;= "&amp;$M6,"")&amp;CHAR(10)&amp;"| sort - count"))</x:f>
        <x:v>Count disabled</x:v>
      </x:c>
    </x:row>
    <x:row r="7">
      <x:c r="A7" s="42" t="str">
        <x:v>Yes</x:v>
      </x:c>
      <x:c r="B7" s="42" t="str">
        <x:v>S_IFACE_DETAIL</x:v>
      </x:c>
      <x:c r="C7" s="42" t="str">
        <x:v>Interface Up / Down</x:v>
      </x:c>
      <x:c r="D7" s="42" t="str">
        <x:v>Panel</x:v>
      </x:c>
      <x:c r="E7" s="42" t="str">
        <x:v>Interfaces</x:v>
      </x:c>
      <x:c r="F7" s="42" t="str">
        <x:v>B_INTERFACE</x:v>
      </x:c>
      <x:c r="G7" s="42" t="str">
        <x:v>S_IFACE_PARSE</x:v>
      </x:c>
      <x:c r="H7" s="42" t="str">
        <x:v>interface=*</x:v>
      </x:c>
      <x:c r="I7" s="42" t="str"/>
      <x:c r="J7" s="42" t="str">
        <x:v>| table _time host interface state _raw | sort - _time</x:v>
      </x:c>
      <x:c r="K7" s="42" t="str">
        <x:v>Yes</x:v>
      </x:c>
      <x:c r="L7" s="42" t="str">
        <x:v>host interface state</x:v>
      </x:c>
      <x:c r="M7" s="42" t="str">
        <x:v>1</x:v>
      </x:c>
      <x:c r="N7" s="42" t="str">
        <x:v>Table</x:v>
      </x:c>
      <x:c r="O7" s="42" t="str">
        <x:v>ds_iface_detail</x:v>
      </x:c>
      <x:c r="P7" s="48" t="str">
        <x:f>IF($A7&lt;&gt;"Yes","",IF($G7&lt;&gt;"",IFERROR(INDEX($O$6:$O$205,MATCH($G7,$B$6:$B$205,0)),"PARENT SEARCH NOT FOUND"),IFERROR(INDEX('Base Searches'!$E$6:$E$35,MATCH($F7,'Base Searches'!$B$6:$B$35,0)),"BASE NOT FOUND")))</x:f>
        <x:v>ds_iface_parse</x:v>
      </x:c>
      <x:c r="Q7" s="48" t="str">
        <x:f>IF(OR($A7&lt;&gt;"Yes",$B7=""),"",IF($H7&lt;&gt;"","| search "&amp;$H7,"")&amp;IF($I7&lt;&gt;"",IF($H7&lt;&gt;"",CHAR(10),"")&amp;$I7,"")&amp;IF($J7&lt;&gt;"",IF(OR($H7&lt;&gt;"",$I7&lt;&gt;""),CHAR(10),"")&amp;$J7,""))</x:f>
        <x:v>| search interface=*
| table _time host interface state _raw | sort - _time</x:v>
      </x:c>
      <x:c r="R7" s="48" t="str">
        <x:f>IF(OR($A7&lt;&gt;"Yes",$B7=""),"",IF($K7&lt;&gt;"Yes","Count disabled",IF($H7&lt;&gt;"","| search "&amp;$H7,"")&amp;IF($I7&lt;&gt;"",IF($H7&lt;&gt;"",CHAR(10),"")&amp;$I7,"")&amp;IF(OR($H7&lt;&gt;"",$I7&lt;&gt;""),CHAR(10),"")&amp;"| stats count as count"&amp;IF($L7&lt;&gt;""," by "&amp;$L7,"")&amp;IF($M7&lt;&gt;"",CHAR(10)&amp;"| where count &gt;= "&amp;$M7,"")&amp;CHAR(10)&amp;"| sort - count"))</x:f>
        <x:v>| search interface=*
| stats count as count by host interface state
| where count &gt;= 1
| sort - count</x:v>
      </x:c>
    </x:row>
    <x:row r="8">
      <x:c r="A8" s="42" t="str">
        <x:v>Yes</x:v>
      </x:c>
      <x:c r="B8" s="42" t="str">
        <x:v>S_IFACE_DOWN</x:v>
      </x:c>
      <x:c r="C8" s="42" t="str">
        <x:v>Interfaces Down</x:v>
      </x:c>
      <x:c r="D8" s="42" t="str">
        <x:v>Panel</x:v>
      </x:c>
      <x:c r="E8" s="42" t="str">
        <x:v>Interfaces</x:v>
      </x:c>
      <x:c r="F8" s="42" t="str">
        <x:v>B_INTERFACE</x:v>
      </x:c>
      <x:c r="G8" s="42" t="str">
        <x:v>S_IFACE_PARSE</x:v>
      </x:c>
      <x:c r="H8" s="42" t="str">
        <x:v>state="down"</x:v>
      </x:c>
      <x:c r="I8" s="42" t="str"/>
      <x:c r="J8" s="42" t="str">
        <x:v>| table _time host interface state _raw | sort - _time</x:v>
      </x:c>
      <x:c r="K8" s="42" t="str">
        <x:v>Yes</x:v>
      </x:c>
      <x:c r="L8" s="42" t="str">
        <x:v>host interface</x:v>
      </x:c>
      <x:c r="M8" s="42" t="str">
        <x:v>1</x:v>
      </x:c>
      <x:c r="N8" s="42" t="str">
        <x:v>Table / Single Value</x:v>
      </x:c>
      <x:c r="O8" s="42" t="str">
        <x:v>ds_iface_down</x:v>
      </x:c>
      <x:c r="P8" s="48" t="str">
        <x:f>IF($A8&lt;&gt;"Yes","",IF($G8&lt;&gt;"",IFERROR(INDEX($O$6:$O$205,MATCH($G8,$B$6:$B$205,0)),"PARENT SEARCH NOT FOUND"),IFERROR(INDEX('Base Searches'!$E$6:$E$35,MATCH($F8,'Base Searches'!$B$6:$B$35,0)),"BASE NOT FOUND")))</x:f>
        <x:v>ds_iface_parse</x:v>
      </x:c>
      <x:c r="Q8" s="48" t="str">
        <x:f>IF(OR($A8&lt;&gt;"Yes",$B8=""),"",IF($H8&lt;&gt;"","| search "&amp;$H8,"")&amp;IF($I8&lt;&gt;"",IF($H8&lt;&gt;"",CHAR(10),"")&amp;$I8,"")&amp;IF($J8&lt;&gt;"",IF(OR($H8&lt;&gt;"",$I8&lt;&gt;""),CHAR(10),"")&amp;$J8,""))</x:f>
        <x:v>| search state="down"
| table _time host interface state _raw | sort - _time</x:v>
      </x:c>
      <x:c r="R8" s="48" t="str">
        <x:f>IF(OR($A8&lt;&gt;"Yes",$B8=""),"",IF($K8&lt;&gt;"Yes","Count disabled",IF($H8&lt;&gt;"","| search "&amp;$H8,"")&amp;IF($I8&lt;&gt;"",IF($H8&lt;&gt;"",CHAR(10),"")&amp;$I8,"")&amp;IF(OR($H8&lt;&gt;"",$I8&lt;&gt;""),CHAR(10),"")&amp;"| stats count as count"&amp;IF($L8&lt;&gt;""," by "&amp;$L8,"")&amp;IF($M8&lt;&gt;"",CHAR(10)&amp;"| where count &gt;= "&amp;$M8,"")&amp;CHAR(10)&amp;"| sort - count"))</x:f>
        <x:v>| search state="down"
| stats count as count by host interface
| where count &gt;= 1
| sort - count</x:v>
      </x:c>
    </x:row>
    <x:row r="9">
      <x:c r="A9" s="42" t="str">
        <x:v>Yes</x:v>
      </x:c>
      <x:c r="B9" s="42" t="str">
        <x:v>S_IFACE_FLAP</x:v>
      </x:c>
      <x:c r="C9" s="42" t="str">
        <x:v>Interface Flap Candidates</x:v>
      </x:c>
      <x:c r="D9" s="42" t="str">
        <x:v>Panel</x:v>
      </x:c>
      <x:c r="E9" s="42" t="str">
        <x:v>Interfaces</x:v>
      </x:c>
      <x:c r="F9" s="42" t="str">
        <x:v>B_INTERFACE</x:v>
      </x:c>
      <x:c r="G9" s="42" t="str">
        <x:v>S_IFACE_PARSE</x:v>
      </x:c>
      <x:c r="H9" s="42" t="str">
        <x:v>interface=*</x:v>
      </x:c>
      <x:c r="I9" s="42" t="str">
        <x:v>| bin _time span=15m</x:v>
      </x:c>
      <x:c r="J9" s="42" t="str">
        <x:v>| stats count by _time host interface | where count&gt;=4 | sort - count</x:v>
      </x:c>
      <x:c r="K9" s="42" t="str">
        <x:v>Yes</x:v>
      </x:c>
      <x:c r="L9" s="42" t="str">
        <x:v>_time host interface</x:v>
      </x:c>
      <x:c r="M9" s="42" t="str">
        <x:v>4</x:v>
      </x:c>
      <x:c r="N9" s="42" t="str">
        <x:v>Table</x:v>
      </x:c>
      <x:c r="O9" s="42" t="str">
        <x:v>ds_iface_flap</x:v>
      </x:c>
      <x:c r="P9" s="48" t="str">
        <x:f>IF($A9&lt;&gt;"Yes","",IF($G9&lt;&gt;"",IFERROR(INDEX($O$6:$O$205,MATCH($G9,$B$6:$B$205,0)),"PARENT SEARCH NOT FOUND"),IFERROR(INDEX('Base Searches'!$E$6:$E$35,MATCH($F9,'Base Searches'!$B$6:$B$35,0)),"BASE NOT FOUND")))</x:f>
        <x:v>ds_iface_parse</x:v>
      </x:c>
      <x:c r="Q9" s="48" t="str">
        <x:f>IF(OR($A9&lt;&gt;"Yes",$B9=""),"",IF($H9&lt;&gt;"","| search "&amp;$H9,"")&amp;IF($I9&lt;&gt;"",IF($H9&lt;&gt;"",CHAR(10),"")&amp;$I9,"")&amp;IF($J9&lt;&gt;"",IF(OR($H9&lt;&gt;"",$I9&lt;&gt;""),CHAR(10),"")&amp;$J9,""))</x:f>
        <x:v>| search interface=*
| bin _time span=15m
| stats count by _time host interface | where count&gt;=4 | sort - count</x:v>
      </x:c>
      <x:c r="R9" s="48" t="str">
        <x:f>IF(OR($A9&lt;&gt;"Yes",$B9=""),"",IF($K9&lt;&gt;"Yes","Count disabled",IF($H9&lt;&gt;"","| search "&amp;$H9,"")&amp;IF($I9&lt;&gt;"",IF($H9&lt;&gt;"",CHAR(10),"")&amp;$I9,"")&amp;IF(OR($H9&lt;&gt;"",$I9&lt;&gt;""),CHAR(10),"")&amp;"| stats count as count"&amp;IF($L9&lt;&gt;""," by "&amp;$L9,"")&amp;IF($M9&lt;&gt;"",CHAR(10)&amp;"| where count &gt;= "&amp;$M9,"")&amp;CHAR(10)&amp;"| sort - count"))</x:f>
        <x:v>| search interface=*
| bin _time span=15m
| stats count as count by _time host interface
| where count &gt;= 4
| sort - count</x:v>
      </x:c>
    </x:row>
    <x:row r="10">
      <x:c r="A10" s="42" t="str">
        <x:v>Yes</x:v>
      </x:c>
      <x:c r="B10" s="42" t="str">
        <x:v>S_ERRDISABLE</x:v>
      </x:c>
      <x:c r="C10" s="42" t="str">
        <x:v>Err-Disabled Ports</x:v>
      </x:c>
      <x:c r="D10" s="42" t="str">
        <x:v>Panel</x:v>
      </x:c>
      <x:c r="E10" s="42" t="str">
        <x:v>Interfaces</x:v>
      </x:c>
      <x:c r="F10" s="42" t="str">
        <x:v>B_INTERFACE</x:v>
      </x:c>
      <x:c r="G10" s="42" t="str"/>
      <x:c r="H10" s="42" t="str">
        <x:v>("%PM-4-ERR_DISABLE" OR "err-disabled" OR "err-disable")</x:v>
      </x:c>
      <x:c r="I10" s="42" t="str">
        <x:v>| rex field=_raw "(?&lt;reason&gt;[A-Za-z0-9_-]+) error detected on (?&lt;interface&gt;[^, ]+)"</x:v>
      </x:c>
      <x:c r="J10" s="42" t="str">
        <x:v>| stats count latest(_time) as last_seen values(reason) as reason values(_raw) as sample by host interface | eval last_seen=strftime(last_seen,"%Y-%m-%d %H:%M:%S") | sort - last_seen</x:v>
      </x:c>
      <x:c r="K10" s="42" t="str">
        <x:v>Yes</x:v>
      </x:c>
      <x:c r="L10" s="42" t="str">
        <x:v>host interface</x:v>
      </x:c>
      <x:c r="M10" s="42" t="str">
        <x:v>1</x:v>
      </x:c>
      <x:c r="N10" s="42" t="str">
        <x:v>Table / Single Value</x:v>
      </x:c>
      <x:c r="O10" s="42" t="str">
        <x:v>ds_errdisable</x:v>
      </x:c>
      <x:c r="P10" s="48" t="str">
        <x:f>IF($A10&lt;&gt;"Yes","",IF($G10&lt;&gt;"",IFERROR(INDEX($O$6:$O$205,MATCH($G10,$B$6:$B$205,0)),"PARENT SEARCH NOT FOUND"),IFERROR(INDEX('Base Searches'!$E$6:$E$35,MATCH($F10,'Base Searches'!$B$6:$B$35,0)),"BASE NOT FOUND")))</x:f>
        <x:v>ds_base_interface</x:v>
      </x:c>
      <x:c r="Q10" s="48" t="str">
        <x:f>IF(OR($A10&lt;&gt;"Yes",$B10=""),"",IF($H10&lt;&gt;"","| search "&amp;$H10,"")&amp;IF($I10&lt;&gt;"",IF($H10&lt;&gt;"",CHAR(10),"")&amp;$I10,"")&amp;IF($J10&lt;&gt;"",IF(OR($H10&lt;&gt;"",$I10&lt;&gt;""),CHAR(10),"")&amp;$J10,""))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R10" s="48" t="str">
        <x:f>IF(OR($A10&lt;&gt;"Yes",$B10=""),"",IF($K10&lt;&gt;"Yes","Count disabled",IF($H10&lt;&gt;"","| search "&amp;$H10,"")&amp;IF($I10&lt;&gt;"",IF($H10&lt;&gt;"",CHAR(10),"")&amp;$I10,"")&amp;IF(OR($H10&lt;&gt;"",$I10&lt;&gt;""),CHAR(10),"")&amp;"| stats count as count"&amp;IF($L10&lt;&gt;""," by "&amp;$L10,"")&amp;IF($M10&lt;&gt;"",CHAR(10)&amp;"| where count &gt;= "&amp;$M10,"")&amp;CHAR(10)&amp;"| sort - count"))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</x:row>
    <x:row r="11">
      <x:c r="A11" s="42" t="str">
        <x:v>Yes</x:v>
      </x:c>
      <x:c r="B11" s="42" t="str">
        <x:v>S_MACFLAP</x:v>
      </x:c>
      <x:c r="C11" s="42" t="str">
        <x:v>MAC Flaps / Duplicate MAC Movement</x:v>
      </x:c>
      <x:c r="D11" s="42" t="str">
        <x:v>Panel</x:v>
      </x:c>
      <x:c r="E11" s="42" t="str">
        <x:v>Layer 2</x:v>
      </x:c>
      <x:c r="F11" s="42" t="str">
        <x:v>B_L2</x:v>
      </x:c>
      <x:c r="G11" s="42" t="str"/>
      <x:c r="H11" s="42" t="str">
        <x:v>"%SW_MATM-4-MACFLAP_NOTIF"</x:v>
      </x:c>
      <x:c r="I11" s="42" t="str">
        <x:v>| rex field=_raw "(?i)Host\s+(?&lt;mac&gt;[0-9a-f.:-]+)\s+in\s+(?:vlan\s+)?(?&lt;vlan&gt;\d+)\s+is flapping between port\s+(?&lt;port1&gt;\S+)\s+and port\s+(?&lt;port2&gt;\S+)"</x:v>
      </x:c>
      <x:c r="J11" s="42" t="str">
        <x:v>| stats count latest(_time) as last_seen values(port1) as port1 values(port2) as port2 by host vlan mac | eval last_seen=strftime(last_seen,"%Y-%m-%d %H:%M:%S") | sort - count</x:v>
      </x:c>
      <x:c r="K11" s="42" t="str">
        <x:v>Yes</x:v>
      </x:c>
      <x:c r="L11" s="42" t="str"/>
      <x:c r="M11" s="42" t="str">
        <x:v>1</x:v>
      </x:c>
      <x:c r="N11" s="42" t="str">
        <x:v>Single Value / Table</x:v>
      </x:c>
      <x:c r="O11" s="42" t="str">
        <x:v>ds_macflap</x:v>
      </x:c>
      <x:c r="P11" s="48" t="str">
        <x:f>IF($A11&lt;&gt;"Yes","",IF($G11&lt;&gt;"",IFERROR(INDEX($O$6:$O$205,MATCH($G11,$B$6:$B$205,0)),"PARENT SEARCH NOT FOUND"),IFERROR(INDEX('Base Searches'!$E$6:$E$35,MATCH($F11,'Base Searches'!$B$6:$B$35,0)),"BASE NOT FOUND")))</x:f>
        <x:v>ds_base_l2</x:v>
      </x:c>
      <x:c r="Q11" s="48" t="str">
        <x:f>IF(OR($A11&lt;&gt;"Yes",$B11=""),"",IF($H11&lt;&gt;"","| search "&amp;$H11,"")&amp;IF($I11&lt;&gt;"",IF($H11&lt;&gt;"",CHAR(10),"")&amp;$I11,"")&amp;IF($J11&lt;&gt;"",IF(OR($H11&lt;&gt;"",$I11&lt;&gt;""),CHAR(10),"")&amp;$J11,""))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R11" s="48" t="str">
        <x:f>IF(OR($A11&lt;&gt;"Yes",$B11=""),"",IF($K11&lt;&gt;"Yes","Count disabled",IF($H11&lt;&gt;"","| search "&amp;$H11,"")&amp;IF($I11&lt;&gt;"",IF($H11&lt;&gt;"",CHAR(10),"")&amp;$I11,"")&amp;IF(OR($H11&lt;&gt;"",$I11&lt;&gt;""),CHAR(10),"")&amp;"| stats count as count"&amp;IF($L11&lt;&gt;""," by "&amp;$L11,"")&amp;IF($M11&lt;&gt;"",CHAR(10)&amp;"| where count &gt;= "&amp;$M11,"")&amp;CHAR(10)&amp;"| sort - count"))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</x:row>
    <x:row r="12">
      <x:c r="A12" s="42" t="str">
        <x:v>Yes</x:v>
      </x:c>
      <x:c r="B12" s="42" t="str">
        <x:v>S_STP</x:v>
      </x:c>
      <x:c r="C12" s="42" t="str">
        <x:v>STP / Guard Events</x:v>
      </x:c>
      <x:c r="D12" s="42" t="str">
        <x:v>Panel</x:v>
      </x:c>
      <x:c r="E12" s="42" t="str">
        <x:v>Layer 2</x:v>
      </x:c>
      <x:c r="F12" s="42" t="str">
        <x:v>B_L2</x:v>
      </x:c>
      <x:c r="G12" s="42" t="str"/>
      <x:c r="H12" s="42" t="str">
        <x:v>("%SPANTREE-" OR "ROOTGUARD" OR "LOOPGUARD" OR "BPDU")</x:v>
      </x:c>
      <x:c r="I12" s="42" t="str">
        <x:v>| rex field=_raw "%(?&lt;facility&gt;[A-Z0-9_]+)-(?&lt;severity&gt;\d+)-(?&lt;mnemonic&gt;[A-Z0-9_]+):\s+(?&lt;message&gt;.*)"</x:v>
      </x:c>
      <x:c r="J12" s="42" t="str">
        <x:v>| table _time host facility severity mnemonic message | sort - _time</x:v>
      </x:c>
      <x:c r="K12" s="42" t="str">
        <x:v>Yes</x:v>
      </x:c>
      <x:c r="L12" s="42" t="str">
        <x:v>host mnemonic</x:v>
      </x:c>
      <x:c r="M12" s="42" t="str">
        <x:v>1</x:v>
      </x:c>
      <x:c r="N12" s="42" t="str">
        <x:v>Table</x:v>
      </x:c>
      <x:c r="O12" s="42" t="str">
        <x:v>ds_stp</x:v>
      </x:c>
      <x:c r="P12" s="48" t="str">
        <x:f>IF($A12&lt;&gt;"Yes","",IF($G12&lt;&gt;"",IFERROR(INDEX($O$6:$O$205,MATCH($G12,$B$6:$B$205,0)),"PARENT SEARCH NOT FOUND"),IFERROR(INDEX('Base Searches'!$E$6:$E$35,MATCH($F12,'Base Searches'!$B$6:$B$35,0)),"BASE NOT FOUND")))</x:f>
        <x:v>ds_base_l2</x:v>
      </x:c>
      <x:c r="Q12" s="48" t="str">
        <x:f>IF(OR($A12&lt;&gt;"Yes",$B12=""),"",IF($H12&lt;&gt;"","| search "&amp;$H12,"")&amp;IF($I12&lt;&gt;"",IF($H12&lt;&gt;"",CHAR(10),"")&amp;$I12,"")&amp;IF($J12&lt;&gt;"",IF(OR($H12&lt;&gt;"",$I12&lt;&gt;""),CHAR(10),"")&amp;$J12,""))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R12" s="48" t="str">
        <x:f>IF(OR($A12&lt;&gt;"Yes",$B12=""),"",IF($K12&lt;&gt;"Yes","Count disabled",IF($H12&lt;&gt;"","| search "&amp;$H12,"")&amp;IF($I12&lt;&gt;"",IF($H12&lt;&gt;"",CHAR(10),"")&amp;$I12,"")&amp;IF(OR($H12&lt;&gt;"",$I12&lt;&gt;""),CHAR(10),"")&amp;"| stats count as count"&amp;IF($L12&lt;&gt;""," by "&amp;$L12,"")&amp;IF($M12&lt;&gt;"",CHAR(10)&amp;"| where count &gt;= "&amp;$M12,"")&amp;CHAR(10)&amp;"| sort - count"))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</x:row>
    <x:row r="13">
      <x:c r="A13" s="42" t="str">
        <x:v>Yes</x:v>
      </x:c>
      <x:c r="B13" s="42" t="str">
        <x:v>S_UDLD</x:v>
      </x:c>
      <x:c r="C13" s="42" t="str">
        <x:v>UDLD Events</x:v>
      </x:c>
      <x:c r="D13" s="42" t="str">
        <x:v>Panel</x:v>
      </x:c>
      <x:c r="E13" s="42" t="str">
        <x:v>Layer 2</x:v>
      </x:c>
      <x:c r="F13" s="42" t="str">
        <x:v>B_L2</x:v>
      </x:c>
      <x:c r="G13" s="42" t="str"/>
      <x:c r="H13" s="42" t="str">
        <x:v>"%UDLD-"</x:v>
      </x:c>
      <x:c r="I13" s="42" t="str">
        <x:v>| rex field=_raw "%(?&lt;facility&gt;[A-Z0-9_]+)-(?&lt;severity&gt;\d+)-(?&lt;mnemonic&gt;[A-Z0-9_]+):\s+(?&lt;message&gt;.*)"</x:v>
      </x:c>
      <x:c r="J13" s="42" t="str">
        <x:v>| table _time host facility severity mnemonic message | sort - _time</x:v>
      </x:c>
      <x:c r="K13" s="42" t="str">
        <x:v>Yes</x:v>
      </x:c>
      <x:c r="L13" s="42" t="str">
        <x:v>host mnemonic</x:v>
      </x:c>
      <x:c r="M13" s="42" t="str">
        <x:v>1</x:v>
      </x:c>
      <x:c r="N13" s="42" t="str">
        <x:v>Table</x:v>
      </x:c>
      <x:c r="O13" s="42" t="str">
        <x:v>ds_udld</x:v>
      </x:c>
      <x:c r="P13" s="48" t="str">
        <x:f>IF($A13&lt;&gt;"Yes","",IF($G13&lt;&gt;"",IFERROR(INDEX($O$6:$O$205,MATCH($G13,$B$6:$B$205,0)),"PARENT SEARCH NOT FOUND"),IFERROR(INDEX('Base Searches'!$E$6:$E$35,MATCH($F13,'Base Searches'!$B$6:$B$35,0)),"BASE NOT FOUND")))</x:f>
        <x:v>ds_base_l2</x:v>
      </x:c>
      <x:c r="Q13" s="48" t="str">
        <x:f>IF(OR($A13&lt;&gt;"Yes",$B13=""),"",IF($H13&lt;&gt;"","| search "&amp;$H13,"")&amp;IF($I13&lt;&gt;"",IF($H13&lt;&gt;"",CHAR(10),"")&amp;$I13,"")&amp;IF($J13&lt;&gt;"",IF(OR($H13&lt;&gt;"",$I13&lt;&gt;""),CHAR(10),"")&amp;$J13,""))</x:f>
        <x:v>| search "%UDLD-"
| rex field=_raw "%(?&lt;facility&gt;[A-Z0-9_]+)-(?&lt;severity&gt;\d+)-(?&lt;mnemonic&gt;[A-Z0-9_]+):\s+(?&lt;message&gt;.*)"
| table _time host facility severity mnemonic message | sort - _time</x:v>
      </x:c>
      <x:c r="R13" s="48" t="str">
        <x:f>IF(OR($A13&lt;&gt;"Yes",$B13=""),"",IF($K13&lt;&gt;"Yes","Count disabled",IF($H13&lt;&gt;"","| search "&amp;$H13,"")&amp;IF($I13&lt;&gt;"",IF($H13&lt;&gt;"",CHAR(10),"")&amp;$I13,"")&amp;IF(OR($H13&lt;&gt;"",$I13&lt;&gt;""),CHAR(10),"")&amp;"| stats count as count"&amp;IF($L13&lt;&gt;""," by "&amp;$L13,"")&amp;IF($M13&lt;&gt;"",CHAR(10)&amp;"| where count &gt;= "&amp;$M13,"")&amp;CHAR(10)&amp;"| sort - count"))</x:f>
        <x:v>| search "%UDLD-"
| rex field=_raw "%(?&lt;facility&gt;[A-Z0-9_]+)-(?&lt;severity&gt;\d+)-(?&lt;mnemonic&gt;[A-Z0-9_]+):\s+(?&lt;message&gt;.*)"
| stats count as count by host mnemonic
| where count &gt;= 1
| sort - count</x:v>
      </x:c>
    </x:row>
    <x:row r="14">
      <x:c r="A14" s="42" t="str">
        <x:v>Yes</x:v>
      </x:c>
      <x:c r="B14" s="42" t="str">
        <x:v>S_CHANNEL</x:v>
      </x:c>
      <x:c r="C14" s="42" t="str">
        <x:v>EtherChannel / LACP / PAgP</x:v>
      </x:c>
      <x:c r="D14" s="42" t="str">
        <x:v>Panel</x:v>
      </x:c>
      <x:c r="E14" s="42" t="str">
        <x:v>Layer 2</x:v>
      </x:c>
      <x:c r="F14" s="42" t="str">
        <x:v>B_L2</x:v>
      </x:c>
      <x:c r="G14" s="42" t="str"/>
      <x:c r="H14" s="42" t="str">
        <x:v>("%EC-" OR "%LACP-" OR "%PAGP-")</x:v>
      </x:c>
      <x:c r="I14" s="42" t="str">
        <x:v>| rex field=_raw "%(?&lt;facility&gt;[A-Z0-9_]+)-(?&lt;severity&gt;\d+)-(?&lt;mnemonic&gt;[A-Z0-9_]+):\s+(?&lt;message&gt;.*)"</x:v>
      </x:c>
      <x:c r="J14" s="42" t="str">
        <x:v>| table _time host facility severity mnemonic message | sort - _time</x:v>
      </x:c>
      <x:c r="K14" s="42" t="str">
        <x:v>Yes</x:v>
      </x:c>
      <x:c r="L14" s="42" t="str">
        <x:v>host mnemonic</x:v>
      </x:c>
      <x:c r="M14" s="42" t="str">
        <x:v>1</x:v>
      </x:c>
      <x:c r="N14" s="42" t="str">
        <x:v>Table</x:v>
      </x:c>
      <x:c r="O14" s="42" t="str">
        <x:v>ds_channel</x:v>
      </x:c>
      <x:c r="P14" s="48" t="str">
        <x:f>IF($A14&lt;&gt;"Yes","",IF($G14&lt;&gt;"",IFERROR(INDEX($O$6:$O$205,MATCH($G14,$B$6:$B$205,0)),"PARENT SEARCH NOT FOUND"),IFERROR(INDEX('Base Searches'!$E$6:$E$35,MATCH($F14,'Base Searches'!$B$6:$B$35,0)),"BASE NOT FOUND")))</x:f>
        <x:v>ds_base_l2</x:v>
      </x:c>
      <x:c r="Q14" s="48" t="str">
        <x:f>IF(OR($A14&lt;&gt;"Yes",$B14=""),"",IF($H14&lt;&gt;"","| search "&amp;$H14,"")&amp;IF($I14&lt;&gt;"",IF($H14&lt;&gt;"",CHAR(10),"")&amp;$I14,"")&amp;IF($J14&lt;&gt;"",IF(OR($H14&lt;&gt;"",$I14&lt;&gt;""),CHAR(10),"")&amp;$J14,""))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R14" s="48" t="str">
        <x:f>IF(OR($A14&lt;&gt;"Yes",$B14=""),"",IF($K14&lt;&gt;"Yes","Count disabled",IF($H14&lt;&gt;"","| search "&amp;$H14,"")&amp;IF($I14&lt;&gt;"",IF($H14&lt;&gt;"",CHAR(10),"")&amp;$I14,"")&amp;IF(OR($H14&lt;&gt;"",$I14&lt;&gt;""),CHAR(10),"")&amp;"| stats count as count"&amp;IF($L14&lt;&gt;""," by "&amp;$L14,"")&amp;IF($M14&lt;&gt;"",CHAR(10)&amp;"| where count &gt;= "&amp;$M14,"")&amp;CHAR(10)&amp;"| sort - count"))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</x:row>
    <x:row r="15">
      <x:c r="A15" s="42" t="str">
        <x:v>Yes</x:v>
      </x:c>
      <x:c r="B15" s="42" t="str">
        <x:v>S_OSPF</x:v>
      </x:c>
      <x:c r="C15" s="42" t="str">
        <x:v>OSPF Adjacency Changes</x:v>
      </x:c>
      <x:c r="D15" s="42" t="str">
        <x:v>Panel</x:v>
      </x:c>
      <x:c r="E15" s="42" t="str">
        <x:v>Routing</x:v>
      </x:c>
      <x:c r="F15" s="42" t="str">
        <x:v>B_L3</x:v>
      </x:c>
      <x:c r="G15" s="42" t="str"/>
      <x:c r="H15" s="42" t="str">
        <x:v>"%OSPF-5-ADJCHG"</x:v>
      </x:c>
      <x:c r="I15" s="42" t="str">
        <x:v>| rex field=_raw "Nbr\s+(?&lt;neighbor&gt;\S+)\s+on\s+(?&lt;interface&gt;\S+)\s+from\s+(?&lt;from_state&gt;\S+)\s+to\s+(?&lt;to_state&gt;\S+)"</x:v>
      </x:c>
      <x:c r="J15" s="42" t="str">
        <x:v>| table _time host neighbor interface from_state to_state _raw | sort - _time</x:v>
      </x:c>
      <x:c r="K15" s="42" t="str">
        <x:v>Yes</x:v>
      </x:c>
      <x:c r="L15" s="42" t="str">
        <x:v>host neighbor interface</x:v>
      </x:c>
      <x:c r="M15" s="42" t="str">
        <x:v>1</x:v>
      </x:c>
      <x:c r="N15" s="42" t="str">
        <x:v>Table / Single Value</x:v>
      </x:c>
      <x:c r="O15" s="42" t="str">
        <x:v>ds_ospf</x:v>
      </x:c>
      <x:c r="P15" s="48" t="str">
        <x:f>IF($A15&lt;&gt;"Yes","",IF($G15&lt;&gt;"",IFERROR(INDEX($O$6:$O$205,MATCH($G15,$B$6:$B$205,0)),"PARENT SEARCH NOT FOUND"),IFERROR(INDEX('Base Searches'!$E$6:$E$35,MATCH($F15,'Base Searches'!$B$6:$B$35,0)),"BASE NOT FOUND")))</x:f>
        <x:v>ds_base_l3</x:v>
      </x:c>
      <x:c r="Q15" s="48" t="str">
        <x:f>IF(OR($A15&lt;&gt;"Yes",$B15=""),"",IF($H15&lt;&gt;"","| search "&amp;$H15,"")&amp;IF($I15&lt;&gt;"",IF($H15&lt;&gt;"",CHAR(10),"")&amp;$I15,"")&amp;IF($J15&lt;&gt;"",IF(OR($H15&lt;&gt;"",$I15&lt;&gt;""),CHAR(10),"")&amp;$J15,""))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R15" s="48" t="str">
        <x:f>IF(OR($A15&lt;&gt;"Yes",$B15=""),"",IF($K15&lt;&gt;"Yes","Count disabled",IF($H15&lt;&gt;"","| search "&amp;$H15,"")&amp;IF($I15&lt;&gt;"",IF($H15&lt;&gt;"",CHAR(10),"")&amp;$I15,"")&amp;IF(OR($H15&lt;&gt;"",$I15&lt;&gt;""),CHAR(10),"")&amp;"| stats count as count"&amp;IF($L15&lt;&gt;""," by "&amp;$L15,"")&amp;IF($M15&lt;&gt;"",CHAR(10)&amp;"| where count &gt;= "&amp;$M15,"")&amp;CHAR(10)&amp;"| sort - count"))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</x:row>
    <x:row r="16">
      <x:c r="A16" s="42" t="str">
        <x:v>Yes</x:v>
      </x:c>
      <x:c r="B16" s="42" t="str">
        <x:v>S_BGP</x:v>
      </x:c>
      <x:c r="C16" s="42" t="str">
        <x:v>BGP Neighbor Events</x:v>
      </x:c>
      <x:c r="D16" s="42" t="str">
        <x:v>Panel</x:v>
      </x:c>
      <x:c r="E16" s="42" t="str">
        <x:v>Routing</x:v>
      </x:c>
      <x:c r="F16" s="42" t="str">
        <x:v>B_L3</x:v>
      </x:c>
      <x:c r="G16" s="42" t="str"/>
      <x:c r="H16" s="42" t="str">
        <x:v>"%BGP-"</x:v>
      </x:c>
      <x:c r="I16" s="42" t="str">
        <x:v>| rex field=_raw "%(?&lt;facility&gt;[A-Z0-9_]+)-(?&lt;severity&gt;\d+)-(?&lt;mnemonic&gt;[A-Z0-9_]+):\s+(?&lt;message&gt;.*)"</x:v>
      </x:c>
      <x:c r="J16" s="42" t="str">
        <x:v>| table _time host severity mnemonic message | sort - _time</x:v>
      </x:c>
      <x:c r="K16" s="42" t="str">
        <x:v>Yes</x:v>
      </x:c>
      <x:c r="L16" s="42" t="str">
        <x:v>host mnemonic</x:v>
      </x:c>
      <x:c r="M16" s="42" t="str">
        <x:v>1</x:v>
      </x:c>
      <x:c r="N16" s="42" t="str">
        <x:v>Table</x:v>
      </x:c>
      <x:c r="O16" s="42" t="str">
        <x:v>ds_bgp</x:v>
      </x:c>
      <x:c r="P16" s="48" t="str">
        <x:f>IF($A16&lt;&gt;"Yes","",IF($G16&lt;&gt;"",IFERROR(INDEX($O$6:$O$205,MATCH($G16,$B$6:$B$205,0)),"PARENT SEARCH NOT FOUND"),IFERROR(INDEX('Base Searches'!$E$6:$E$35,MATCH($F16,'Base Searches'!$B$6:$B$35,0)),"BASE NOT FOUND")))</x:f>
        <x:v>ds_base_l3</x:v>
      </x:c>
      <x:c r="Q16" s="48" t="str">
        <x:f>IF(OR($A16&lt;&gt;"Yes",$B16=""),"",IF($H16&lt;&gt;"","| search "&amp;$H16,"")&amp;IF($I16&lt;&gt;"",IF($H16&lt;&gt;"",CHAR(10),"")&amp;$I16,"")&amp;IF($J16&lt;&gt;"",IF(OR($H16&lt;&gt;"",$I16&lt;&gt;""),CHAR(10),"")&amp;$J16,""))</x:f>
        <x:v>| search "%BGP-"
| rex field=_raw "%(?&lt;facility&gt;[A-Z0-9_]+)-(?&lt;severity&gt;\d+)-(?&lt;mnemonic&gt;[A-Z0-9_]+):\s+(?&lt;message&gt;.*)"
| table _time host severity mnemonic message | sort - _time</x:v>
      </x:c>
      <x:c r="R16" s="48" t="str">
        <x:f>IF(OR($A16&lt;&gt;"Yes",$B16=""),"",IF($K16&lt;&gt;"Yes","Count disabled",IF($H16&lt;&gt;"","| search "&amp;$H16,"")&amp;IF($I16&lt;&gt;"",IF($H16&lt;&gt;"",CHAR(10),"")&amp;$I16,"")&amp;IF(OR($H16&lt;&gt;"",$I16&lt;&gt;""),CHAR(10),"")&amp;"| stats count as count"&amp;IF($L16&lt;&gt;""," by "&amp;$L16,"")&amp;IF($M16&lt;&gt;"",CHAR(10)&amp;"| where count &gt;= "&amp;$M16,"")&amp;CHAR(10)&amp;"| sort - count"))</x:f>
        <x:v>| search "%BGP-"
| rex field=_raw "%(?&lt;facility&gt;[A-Z0-9_]+)-(?&lt;severity&gt;\d+)-(?&lt;mnemonic&gt;[A-Z0-9_]+):\s+(?&lt;message&gt;.*)"
| stats count as count by host mnemonic
| where count &gt;= 1
| sort - count</x:v>
      </x:c>
    </x:row>
    <x:row r="17">
      <x:c r="A17" s="42" t="str">
        <x:v>Yes</x:v>
      </x:c>
      <x:c r="B17" s="42" t="str">
        <x:v>S_DUPIP</x:v>
      </x:c>
      <x:c r="C17" s="42" t="str">
        <x:v>Duplicate IP Address</x:v>
      </x:c>
      <x:c r="D17" s="42" t="str">
        <x:v>Panel</x:v>
      </x:c>
      <x:c r="E17" s="42" t="str">
        <x:v>Routing</x:v>
      </x:c>
      <x:c r="F17" s="42" t="str">
        <x:v>B_L3</x:v>
      </x:c>
      <x:c r="G17" s="42" t="str"/>
      <x:c r="H17" s="42" t="str">
        <x:v>("Duplicate address" OR "%IP-4-DUPADDR")</x:v>
      </x:c>
      <x:c r="I17" s="42" t="str">
        <x:v>| rex field=_raw "Duplicate address (?&lt;duplicate_ip&gt;\d{1,3}\.\d{1,3}\.\d{1,3}\.\d{1,3}) on (?&lt;interface&gt;[^,]+), sourced by (?&lt;conflicting_mac&gt;[a-fA-F0-9.:-]+)"</x:v>
      </x:c>
      <x:c r="J17" s="42" t="str">
        <x:v>| stats count values(conflicting_mac) as conflicting_macs latest(_time) as last_seen by host interface duplicate_ip | eval last_seen=strftime(last_seen,"%Y-%m-%d %H:%M:%S") | sort - count</x:v>
      </x:c>
      <x:c r="K17" s="42" t="str">
        <x:v>Yes</x:v>
      </x:c>
      <x:c r="L17" s="42" t="str">
        <x:v>host interface duplicate_ip</x:v>
      </x:c>
      <x:c r="M17" s="42" t="str">
        <x:v>1</x:v>
      </x:c>
      <x:c r="N17" s="42" t="str">
        <x:v>Table / Single Value</x:v>
      </x:c>
      <x:c r="O17" s="42" t="str">
        <x:v>ds_dupip</x:v>
      </x:c>
      <x:c r="P17" s="48" t="str">
        <x:f>IF($A17&lt;&gt;"Yes","",IF($G17&lt;&gt;"",IFERROR(INDEX($O$6:$O$205,MATCH($G17,$B$6:$B$205,0)),"PARENT SEARCH NOT FOUND"),IFERROR(INDEX('Base Searches'!$E$6:$E$35,MATCH($F17,'Base Searches'!$B$6:$B$35,0)),"BASE NOT FOUND")))</x:f>
        <x:v>ds_base_l3</x:v>
      </x:c>
      <x:c r="Q17" s="48" t="str">
        <x:f>IF(OR($A17&lt;&gt;"Yes",$B17=""),"",IF($H17&lt;&gt;"","| search "&amp;$H17,"")&amp;IF($I17&lt;&gt;"",IF($H17&lt;&gt;"",CHAR(10),"")&amp;$I17,"")&amp;IF($J17&lt;&gt;"",IF(OR($H17&lt;&gt;"",$I17&lt;&gt;""),CHAR(10),"")&amp;$J17,""))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R17" s="48" t="str">
        <x:f>IF(OR($A17&lt;&gt;"Yes",$B17=""),"",IF($K17&lt;&gt;"Yes","Count disabled",IF($H17&lt;&gt;"","| search "&amp;$H17,"")&amp;IF($I17&lt;&gt;"",IF($H17&lt;&gt;"",CHAR(10),"")&amp;$I17,"")&amp;IF(OR($H17&lt;&gt;"",$I17&lt;&gt;""),CHAR(10),"")&amp;"| stats count as count"&amp;IF($L17&lt;&gt;""," by "&amp;$L17,"")&amp;IF($M17&lt;&gt;"",CHAR(10)&amp;"| where count &gt;= "&amp;$M17,"")&amp;CHAR(10)&amp;"| sort - count"))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</x:row>
    <x:row r="18">
      <x:c r="A18" s="42" t="str">
        <x:v>Yes</x:v>
      </x:c>
      <x:c r="B18" s="42" t="str">
        <x:v>S_SFP</x:v>
      </x:c>
      <x:c r="C18" s="42" t="str">
        <x:v>Fiber / SFP Threshold Alarms</x:v>
      </x:c>
      <x:c r="D18" s="42" t="str">
        <x:v>Panel</x:v>
      </x:c>
      <x:c r="E18" s="42" t="str">
        <x:v>Physical</x:v>
      </x:c>
      <x:c r="F18" s="42" t="str">
        <x:v>B_PHYSICAL</x:v>
      </x:c>
      <x:c r="G18" s="42" t="str"/>
      <x:c r="H18" s="42" t="str">
        <x:v>("%SFF8472-" OR "THRESHOLD_VIOLATION")</x:v>
      </x:c>
      <x:c r="I18" s="42" t="str">
        <x:v>| rex field=_raw "%(?&lt;facility&gt;[A-Z0-9_]+)-(?&lt;severity&gt;\d+)-(?&lt;mnemonic&gt;[A-Z0-9_]+):\s+(?&lt;message&gt;.*)"</x:v>
      </x:c>
      <x:c r="J18" s="42" t="str">
        <x:v>| table _time host facility severity mnemonic message | sort - _time</x:v>
      </x:c>
      <x:c r="K18" s="42" t="str">
        <x:v>Yes</x:v>
      </x:c>
      <x:c r="L18" s="42" t="str">
        <x:v>host severity mnemonic</x:v>
      </x:c>
      <x:c r="M18" s="42" t="str">
        <x:v>1</x:v>
      </x:c>
      <x:c r="N18" s="42" t="str">
        <x:v>Table / Single Value</x:v>
      </x:c>
      <x:c r="O18" s="42" t="str">
        <x:v>ds_sfp</x:v>
      </x:c>
      <x:c r="P18" s="48" t="str">
        <x:f>IF($A18&lt;&gt;"Yes","",IF($G18&lt;&gt;"",IFERROR(INDEX($O$6:$O$205,MATCH($G18,$B$6:$B$205,0)),"PARENT SEARCH NOT FOUND"),IFERROR(INDEX('Base Searches'!$E$6:$E$35,MATCH($F18,'Base Searches'!$B$6:$B$35,0)),"BASE NOT FOUND")))</x:f>
        <x:v>ds_base_physical</x:v>
      </x:c>
      <x:c r="Q18" s="48" t="str">
        <x:f>IF(OR($A18&lt;&gt;"Yes",$B18=""),"",IF($H18&lt;&gt;"","| search "&amp;$H18,"")&amp;IF($I18&lt;&gt;"",IF($H18&lt;&gt;"",CHAR(10),"")&amp;$I18,"")&amp;IF($J18&lt;&gt;"",IF(OR($H18&lt;&gt;"",$I18&lt;&gt;""),CHAR(10),"")&amp;$J18,""))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R18" s="48" t="str">
        <x:f>IF(OR($A18&lt;&gt;"Yes",$B18=""),"",IF($K18&lt;&gt;"Yes","Count disabled",IF($H18&lt;&gt;"","| search "&amp;$H18,"")&amp;IF($I18&lt;&gt;"",IF($H18&lt;&gt;"",CHAR(10),"")&amp;$I18,"")&amp;IF(OR($H18&lt;&gt;"",$I18&lt;&gt;""),CHAR(10),"")&amp;"| stats count as count"&amp;IF($L18&lt;&gt;""," by "&amp;$L18,"")&amp;IF($M18&lt;&gt;"",CHAR(10)&amp;"| where count &gt;= "&amp;$M18,"")&amp;CHAR(10)&amp;"| sort - count"))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</x:row>
    <x:row r="19">
      <x:c r="A19" s="42" t="str">
        <x:v>Yes</x:v>
      </x:c>
      <x:c r="B19" s="42" t="str">
        <x:v>S_ENV</x:v>
      </x:c>
      <x:c r="C19" s="42" t="str">
        <x:v>Power / Fan / Environment</x:v>
      </x:c>
      <x:c r="D19" s="42" t="str">
        <x:v>Panel</x:v>
      </x:c>
      <x:c r="E19" s="42" t="str">
        <x:v>Physical</x:v>
      </x:c>
      <x:c r="F19" s="42" t="str">
        <x:v>B_PHYSICAL</x:v>
      </x:c>
      <x:c r="G19" s="42" t="str"/>
      <x:c r="H19" s="42" t="str">
        <x:v>("%PLATFORM_ENV-" OR "%ENVIRONMENT-" OR "%FAN-" OR "%POWER-")</x:v>
      </x:c>
      <x:c r="I19" s="42" t="str">
        <x:v>| rex field=_raw "%(?&lt;facility&gt;[A-Z0-9_]+)-(?&lt;severity&gt;\d+)-(?&lt;mnemonic&gt;[A-Z0-9_]+):\s+(?&lt;message&gt;.*)"</x:v>
      </x:c>
      <x:c r="J19" s="42" t="str">
        <x:v>| table _time host facility severity mnemonic message | sort - _time</x:v>
      </x:c>
      <x:c r="K19" s="42" t="str">
        <x:v>Yes</x:v>
      </x:c>
      <x:c r="L19" s="42" t="str">
        <x:v>host mnemonic</x:v>
      </x:c>
      <x:c r="M19" s="42" t="str">
        <x:v>1</x:v>
      </x:c>
      <x:c r="N19" s="42" t="str">
        <x:v>Table</x:v>
      </x:c>
      <x:c r="O19" s="42" t="str">
        <x:v>ds_environment</x:v>
      </x:c>
      <x:c r="P19" s="48" t="str">
        <x:f>IF($A19&lt;&gt;"Yes","",IF($G19&lt;&gt;"",IFERROR(INDEX($O$6:$O$205,MATCH($G19,$B$6:$B$205,0)),"PARENT SEARCH NOT FOUND"),IFERROR(INDEX('Base Searches'!$E$6:$E$35,MATCH($F19,'Base Searches'!$B$6:$B$35,0)),"BASE NOT FOUND")))</x:f>
        <x:v>ds_base_physical</x:v>
      </x:c>
      <x:c r="Q19" s="48" t="str">
        <x:f>IF(OR($A19&lt;&gt;"Yes",$B19=""),"",IF($H19&lt;&gt;"","| search "&amp;$H19,"")&amp;IF($I19&lt;&gt;"",IF($H19&lt;&gt;"",CHAR(10),"")&amp;$I19,"")&amp;IF($J19&lt;&gt;"",IF(OR($H19&lt;&gt;"",$I19&lt;&gt;""),CHAR(10),"")&amp;$J19,""))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R19" s="48" t="str">
        <x:f>IF(OR($A19&lt;&gt;"Yes",$B19=""),"",IF($K19&lt;&gt;"Yes","Count disabled",IF($H19&lt;&gt;"","| search "&amp;$H19,"")&amp;IF($I19&lt;&gt;"",IF($H19&lt;&gt;"",CHAR(10),"")&amp;$I19,"")&amp;IF(OR($H19&lt;&gt;"",$I19&lt;&gt;""),CHAR(10),"")&amp;"| stats count as count"&amp;IF($L19&lt;&gt;""," by "&amp;$L19,"")&amp;IF($M19&lt;&gt;"",CHAR(10)&amp;"| where count &gt;= "&amp;$M19,"")&amp;CHAR(10)&amp;"| sort - count"))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</x:row>
    <x:row r="20">
      <x:c r="A20" s="42" t="str">
        <x:v>Yes</x:v>
      </x:c>
      <x:c r="B20" s="42" t="str">
        <x:v>S_STACK</x:v>
      </x:c>
      <x:c r="C20" s="42" t="str">
        <x:v>Stack / StackWise Events</x:v>
      </x:c>
      <x:c r="D20" s="42" t="str">
        <x:v>Panel</x:v>
      </x:c>
      <x:c r="E20" s="42" t="str">
        <x:v>Physical</x:v>
      </x:c>
      <x:c r="F20" s="42" t="str">
        <x:v>B_PHYSICAL</x:v>
      </x:c>
      <x:c r="G20" s="42" t="str"/>
      <x:c r="H20" s="42" t="str">
        <x:v>("%STACKMGR-" OR "%STACKWISE-")</x:v>
      </x:c>
      <x:c r="I20" s="42" t="str">
        <x:v>| rex field=_raw "%(?&lt;facility&gt;[A-Z0-9_]+)-(?&lt;severity&gt;\d+)-(?&lt;mnemonic&gt;[A-Z0-9_]+):\s+(?&lt;message&gt;.*)"</x:v>
      </x:c>
      <x:c r="J20" s="42" t="str">
        <x:v>| table _time host facility severity mnemonic message | sort - _time</x:v>
      </x:c>
      <x:c r="K20" s="42" t="str">
        <x:v>Yes</x:v>
      </x:c>
      <x:c r="L20" s="42" t="str">
        <x:v>host mnemonic</x:v>
      </x:c>
      <x:c r="M20" s="42" t="str">
        <x:v>1</x:v>
      </x:c>
      <x:c r="N20" s="42" t="str">
        <x:v>Table</x:v>
      </x:c>
      <x:c r="O20" s="42" t="str">
        <x:v>ds_stack</x:v>
      </x:c>
      <x:c r="P20" s="48" t="str">
        <x:f>IF($A20&lt;&gt;"Yes","",IF($G20&lt;&gt;"",IFERROR(INDEX($O$6:$O$205,MATCH($G20,$B$6:$B$205,0)),"PARENT SEARCH NOT FOUND"),IFERROR(INDEX('Base Searches'!$E$6:$E$35,MATCH($F20,'Base Searches'!$B$6:$B$35,0)),"BASE NOT FOUND")))</x:f>
        <x:v>ds_base_physical</x:v>
      </x:c>
      <x:c r="Q20" s="48" t="str">
        <x:f>IF(OR($A20&lt;&gt;"Yes",$B20=""),"",IF($H20&lt;&gt;"","| search "&amp;$H20,"")&amp;IF($I20&lt;&gt;"",IF($H20&lt;&gt;"",CHAR(10),"")&amp;$I20,"")&amp;IF($J20&lt;&gt;"",IF(OR($H20&lt;&gt;"",$I20&lt;&gt;""),CHAR(10),"")&amp;$J20,""))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R20" s="48" t="str">
        <x:f>IF(OR($A20&lt;&gt;"Yes",$B20=""),"",IF($K20&lt;&gt;"Yes","Count disabled",IF($H20&lt;&gt;"","| search "&amp;$H20,"")&amp;IF($I20&lt;&gt;"",IF($H20&lt;&gt;"",CHAR(10),"")&amp;$I20,"")&amp;IF(OR($H20&lt;&gt;"",$I20&lt;&gt;""),CHAR(10),"")&amp;"| stats count as count"&amp;IF($L20&lt;&gt;""," by "&amp;$L20,"")&amp;IF($M20&lt;&gt;"",CHAR(10)&amp;"| where count &gt;= "&amp;$M20,"")&amp;CHAR(10)&amp;"| sort - count"))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</x:row>
    <x:row r="21">
      <x:c r="A21" s="42" t="str">
        <x:v>Yes</x:v>
      </x:c>
      <x:c r="B21" s="42" t="str">
        <x:v>S_AUTHFAIL</x:v>
      </x:c>
      <x:c r="C21" s="42" t="str">
        <x:v>802.1X / MAB Failures</x:v>
      </x:c>
      <x:c r="D21" s="42" t="str">
        <x:v>Panel</x:v>
      </x:c>
      <x:c r="E21" s="42" t="str">
        <x:v>Access</x:v>
      </x:c>
      <x:c r="F21" s="42" t="str">
        <x:v>B_ACCESS</x:v>
      </x:c>
      <x:c r="G21" s="42" t="str"/>
      <x:c r="H21" s="42" t="str">
        <x:v>("%DOT1X-5-FAIL" OR "%MAB-5-FAIL" OR "%SESSION_MGR-5-FAIL" OR "%AUTHMGR-")</x:v>
      </x:c>
      <x:c r="I21" s="42" t="str">
        <x:v>| rex field=_raw "%(?&lt;facility&gt;[A-Z0-9_]+)-(?&lt;severity&gt;\d+)-(?&lt;mnemonic&gt;[A-Z0-9_]+):\s+(?&lt;message&gt;.*)"</x:v>
      </x:c>
      <x:c r="J21" s="42" t="str">
        <x:v>| table _time host facility severity mnemonic message | sort - _time</x:v>
      </x:c>
      <x:c r="K21" s="42" t="str">
        <x:v>Yes</x:v>
      </x:c>
      <x:c r="L21" s="42" t="str">
        <x:v>host mnemonic</x:v>
      </x:c>
      <x:c r="M21" s="42" t="str">
        <x:v>1</x:v>
      </x:c>
      <x:c r="N21" s="42" t="str">
        <x:v>Table / Single Value</x:v>
      </x:c>
      <x:c r="O21" s="42" t="str">
        <x:v>ds_authfail</x:v>
      </x:c>
      <x:c r="P21" s="48" t="str">
        <x:f>IF($A21&lt;&gt;"Yes","",IF($G21&lt;&gt;"",IFERROR(INDEX($O$6:$O$205,MATCH($G21,$B$6:$B$205,0)),"PARENT SEARCH NOT FOUND"),IFERROR(INDEX('Base Searches'!$E$6:$E$35,MATCH($F21,'Base Searches'!$B$6:$B$35,0)),"BASE NOT FOUND")))</x:f>
        <x:v>ds_base_access</x:v>
      </x:c>
      <x:c r="Q21" s="48" t="str">
        <x:f>IF(OR($A21&lt;&gt;"Yes",$B21=""),"",IF($H21&lt;&gt;"","| search "&amp;$H21,"")&amp;IF($I21&lt;&gt;"",IF($H21&lt;&gt;"",CHAR(10),"")&amp;$I21,"")&amp;IF($J21&lt;&gt;"",IF(OR($H21&lt;&gt;"",$I21&lt;&gt;""),CHAR(10),"")&amp;$J21,""))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R21" s="48" t="str">
        <x:f>IF(OR($A21&lt;&gt;"Yes",$B21=""),"",IF($K21&lt;&gt;"Yes","Count disabled",IF($H21&lt;&gt;"","| search "&amp;$H21,"")&amp;IF($I21&lt;&gt;"",IF($H21&lt;&gt;"",CHAR(10),"")&amp;$I21,"")&amp;IF(OR($H21&lt;&gt;"",$I21&lt;&gt;""),CHAR(10),"")&amp;"| stats count as count"&amp;IF($L21&lt;&gt;""," by "&amp;$L21,"")&amp;IF($M21&lt;&gt;"",CHAR(10)&amp;"| where count &gt;= "&amp;$M21,"")&amp;CHAR(10)&amp;"| sort - count"))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</x:row>
    <x:row r="22">
      <x:c r="A22" s="42" t="str">
        <x:v>Yes</x:v>
      </x:c>
      <x:c r="B22" s="42" t="str">
        <x:v>S_POE</x:v>
      </x:c>
      <x:c r="C22" s="42" t="str">
        <x:v>PoE / Inline Power</x:v>
      </x:c>
      <x:c r="D22" s="42" t="str">
        <x:v>Panel</x:v>
      </x:c>
      <x:c r="E22" s="42" t="str">
        <x:v>Access</x:v>
      </x:c>
      <x:c r="F22" s="42" t="str">
        <x:v>B_ACCESS</x:v>
      </x:c>
      <x:c r="G22" s="42" t="str"/>
      <x:c r="H22" s="42" t="str">
        <x:v>"%ILPOWER-"</x:v>
      </x:c>
      <x:c r="I22" s="42" t="str">
        <x:v>| rex field=_raw "%(?&lt;facility&gt;[A-Z0-9_]+)-(?&lt;severity&gt;\d+)-(?&lt;mnemonic&gt;[A-Z0-9_]+):\s+(?&lt;message&gt;.*)"</x:v>
      </x:c>
      <x:c r="J22" s="42" t="str">
        <x:v>| table _time host facility severity mnemonic message | sort - _time</x:v>
      </x:c>
      <x:c r="K22" s="42" t="str">
        <x:v>Yes</x:v>
      </x:c>
      <x:c r="L22" s="42" t="str">
        <x:v>host mnemonic</x:v>
      </x:c>
      <x:c r="M22" s="42" t="str">
        <x:v>1</x:v>
      </x:c>
      <x:c r="N22" s="42" t="str">
        <x:v>Table</x:v>
      </x:c>
      <x:c r="O22" s="42" t="str">
        <x:v>ds_poe</x:v>
      </x:c>
      <x:c r="P22" s="48" t="str">
        <x:f>IF($A22&lt;&gt;"Yes","",IF($G22&lt;&gt;"",IFERROR(INDEX($O$6:$O$205,MATCH($G22,$B$6:$B$205,0)),"PARENT SEARCH NOT FOUND"),IFERROR(INDEX('Base Searches'!$E$6:$E$35,MATCH($F22,'Base Searches'!$B$6:$B$35,0)),"BASE NOT FOUND")))</x:f>
        <x:v>ds_base_access</x:v>
      </x:c>
      <x:c r="Q22" s="48" t="str">
        <x:f>IF(OR($A22&lt;&gt;"Yes",$B22=""),"",IF($H22&lt;&gt;"","| search "&amp;$H22,"")&amp;IF($I22&lt;&gt;"",IF($H22&lt;&gt;"",CHAR(10),"")&amp;$I22,"")&amp;IF($J22&lt;&gt;"",IF(OR($H22&lt;&gt;"",$I22&lt;&gt;""),CHAR(10),"")&amp;$J22,""))</x:f>
        <x:v>| search "%ILPOWER-"
| rex field=_raw "%(?&lt;facility&gt;[A-Z0-9_]+)-(?&lt;severity&gt;\d+)-(?&lt;mnemonic&gt;[A-Z0-9_]+):\s+(?&lt;message&gt;.*)"
| table _time host facility severity mnemonic message | sort - _time</x:v>
      </x:c>
      <x:c r="R22" s="48" t="str">
        <x:f>IF(OR($A22&lt;&gt;"Yes",$B22=""),"",IF($K22&lt;&gt;"Yes","Count disabled",IF($H22&lt;&gt;"","| search "&amp;$H22,"")&amp;IF($I22&lt;&gt;"",IF($H22&lt;&gt;"",CHAR(10),"")&amp;$I22,"")&amp;IF(OR($H22&lt;&gt;"",$I22&lt;&gt;""),CHAR(10),"")&amp;"| stats count as count"&amp;IF($L22&lt;&gt;""," by "&amp;$L22,"")&amp;IF($M22&lt;&gt;"",CHAR(10)&amp;"| where count &gt;= "&amp;$M22,"")&amp;CHAR(10)&amp;"| sort - count"))</x:f>
        <x:v>| search "%ILPOWER-"
| rex field=_raw "%(?&lt;facility&gt;[A-Z0-9_]+)-(?&lt;severity&gt;\d+)-(?&lt;mnemonic&gt;[A-Z0-9_]+):\s+(?&lt;message&gt;.*)"
| stats count as count by host mnemonic
| where count &gt;= 1
| sort - count</x:v>
      </x:c>
    </x:row>
    <x:row r="23">
      <x:c r="A23" s="42" t="str">
        <x:v>Yes</x:v>
      </x:c>
      <x:c r="B23" s="42" t="str">
        <x:v>S_CONFIG</x:v>
      </x:c>
      <x:c r="C23" s="42" t="str">
        <x:v>Configuration Changes</x:v>
      </x:c>
      <x:c r="D23" s="42" t="str">
        <x:v>Panel</x:v>
      </x:c>
      <x:c r="E23" s="42" t="str">
        <x:v>Operations</x:v>
      </x:c>
      <x:c r="F23" s="42" t="str">
        <x:v>B_OPERATIONS</x:v>
      </x:c>
      <x:c r="G23" s="42" t="str"/>
      <x:c r="H23" s="42" t="str">
        <x:v>"%SYS-5-CONFIG_I"</x:v>
      </x:c>
      <x:c r="I23" s="42" t="str"/>
      <x:c r="J23" s="42" t="str">
        <x:v>| stats count latest(_time) as last_seen values(_raw) as change_messages by host | eval last_seen=strftime(last_seen,"%Y-%m-%d %H:%M:%S") | sort - last_seen</x:v>
      </x:c>
      <x:c r="K23" s="42" t="str">
        <x:v>Yes</x:v>
      </x:c>
      <x:c r="L23" s="42" t="str">
        <x:v>host</x:v>
      </x:c>
      <x:c r="M23" s="42" t="str">
        <x:v>1</x:v>
      </x:c>
      <x:c r="N23" s="42" t="str">
        <x:v>Table / Single Value</x:v>
      </x:c>
      <x:c r="O23" s="42" t="str">
        <x:v>ds_config</x:v>
      </x:c>
      <x:c r="P23" s="48" t="str">
        <x:f>IF($A23&lt;&gt;"Yes","",IF($G23&lt;&gt;"",IFERROR(INDEX($O$6:$O$205,MATCH($G23,$B$6:$B$205,0)),"PARENT SEARCH NOT FOUND"),IFERROR(INDEX('Base Searches'!$E$6:$E$35,MATCH($F23,'Base Searches'!$B$6:$B$35,0)),"BASE NOT FOUND")))</x:f>
        <x:v>ds_base_operations</x:v>
      </x:c>
      <x:c r="Q23" s="48" t="str">
        <x:f>IF(OR($A23&lt;&gt;"Yes",$B23=""),"",IF($H23&lt;&gt;"","| search "&amp;$H23,"")&amp;IF($I23&lt;&gt;"",IF($H23&lt;&gt;"",CHAR(10),"")&amp;$I23,"")&amp;IF($J23&lt;&gt;"",IF(OR($H23&lt;&gt;"",$I23&lt;&gt;""),CHAR(10),"")&amp;$J23,""))</x:f>
        <x:v>| search "%SYS-5-CONFIG_I"
| stats count latest(_time) as last_seen values(_raw) as change_messages by host | eval last_seen=strftime(last_seen,"%Y-%m-%d %H:%M:%S") | sort - last_seen</x:v>
      </x:c>
      <x:c r="R23" s="48" t="str">
        <x:f>IF(OR($A23&lt;&gt;"Yes",$B23=""),"",IF($K23&lt;&gt;"Yes","Count disabled",IF($H23&lt;&gt;"","| search "&amp;$H23,"")&amp;IF($I23&lt;&gt;"",IF($H23&lt;&gt;"",CHAR(10),"")&amp;$I23,"")&amp;IF(OR($H23&lt;&gt;"",$I23&lt;&gt;""),CHAR(10),"")&amp;"| stats count as count"&amp;IF($L23&lt;&gt;""," by "&amp;$L23,"")&amp;IF($M23&lt;&gt;"",CHAR(10)&amp;"| where count &gt;= "&amp;$M23,"")&amp;CHAR(10)&amp;"| sort - count"))</x:f>
        <x:v>| search "%SYS-5-CONFIG_I"
| stats count as count by host
| where count &gt;= 1
| sort - count</x:v>
      </x:c>
    </x:row>
    <x:row r="24">
      <x:c r="A24" s="42" t="str">
        <x:v>Yes</x:v>
      </x:c>
      <x:c r="B24" s="42" t="str">
        <x:v>S_RELOAD</x:v>
      </x:c>
      <x:c r="C24" s="42" t="str">
        <x:v>Device Reload / Restart</x:v>
      </x:c>
      <x:c r="D24" s="42" t="str">
        <x:v>Panel</x:v>
      </x:c>
      <x:c r="E24" s="42" t="str">
        <x:v>Operations</x:v>
      </x:c>
      <x:c r="F24" s="42" t="str">
        <x:v>B_OPERATIONS</x:v>
      </x:c>
      <x:c r="G24" s="42" t="str"/>
      <x:c r="H24" s="42" t="str">
        <x:v>("%SYS-5-RELOAD" OR "%SYS-5-RESTART")</x:v>
      </x:c>
      <x:c r="I24" s="42" t="str"/>
      <x:c r="J24" s="42" t="str">
        <x:v>| stats count latest(_time) as last_seen values(_raw) as sample by host | eval last_seen=strftime(last_seen,"%Y-%m-%d %H:%M:%S") | sort - last_seen</x:v>
      </x:c>
      <x:c r="K24" s="42" t="str">
        <x:v>Yes</x:v>
      </x:c>
      <x:c r="L24" s="42" t="str">
        <x:v>host</x:v>
      </x:c>
      <x:c r="M24" s="42" t="str">
        <x:v>1</x:v>
      </x:c>
      <x:c r="N24" s="42" t="str">
        <x:v>Table / Single Value</x:v>
      </x:c>
      <x:c r="O24" s="42" t="str">
        <x:v>ds_reload</x:v>
      </x:c>
      <x:c r="P24" s="48" t="str">
        <x:f>IF($A24&lt;&gt;"Yes","",IF($G24&lt;&gt;"",IFERROR(INDEX($O$6:$O$205,MATCH($G24,$B$6:$B$205,0)),"PARENT SEARCH NOT FOUND"),IFERROR(INDEX('Base Searches'!$E$6:$E$35,MATCH($F24,'Base Searches'!$B$6:$B$35,0)),"BASE NOT FOUND")))</x:f>
        <x:v>ds_base_operations</x:v>
      </x:c>
      <x:c r="Q24" s="48" t="str">
        <x:f>IF(OR($A24&lt;&gt;"Yes",$B24=""),"",IF($H24&lt;&gt;"","| search "&amp;$H24,"")&amp;IF($I24&lt;&gt;"",IF($H24&lt;&gt;"",CHAR(10),"")&amp;$I24,"")&amp;IF($J24&lt;&gt;"",IF(OR($H24&lt;&gt;"",$I24&lt;&gt;""),CHAR(10),"")&amp;$J24,""))</x:f>
        <x:v>| search ("%SYS-5-RELOAD" OR "%SYS-5-RESTART")
| stats count latest(_time) as last_seen values(_raw) as sample by host | eval last_seen=strftime(last_seen,"%Y-%m-%d %H:%M:%S") | sort - last_seen</x:v>
      </x:c>
      <x:c r="R24" s="48" t="str">
        <x:f>IF(OR($A24&lt;&gt;"Yes",$B24=""),"",IF($K24&lt;&gt;"Yes","Count disabled",IF($H24&lt;&gt;"","| search "&amp;$H24,"")&amp;IF($I24&lt;&gt;"",IF($H24&lt;&gt;"",CHAR(10),"")&amp;$I24,"")&amp;IF(OR($H24&lt;&gt;"",$I24&lt;&gt;""),CHAR(10),"")&amp;"| stats count as count"&amp;IF($L24&lt;&gt;""," by "&amp;$L24,"")&amp;IF($M24&lt;&gt;"",CHAR(10)&amp;"| where count &gt;= "&amp;$M24,"")&amp;CHAR(10)&amp;"| sort - count"))</x:f>
        <x:v>| search ("%SYS-5-RELOAD" OR "%SYS-5-RESTART")
| stats count as count by host
| where count &gt;= 1
| sort - count</x:v>
      </x:c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8" t="str">
        <x:f>IF($A25&lt;&gt;"Yes","",IF($G25&lt;&gt;"",IFERROR(INDEX($O$6:$O$205,MATCH($G25,$B$6:$B$205,0)),"PARENT SEARCH NOT FOUND"),IFERROR(INDEX('Base Searches'!$E$6:$E$35,MATCH($F25,'Base Searches'!$B$6:$B$35,0)),"BASE NOT FOUND")))</x:f>
      </x:c>
      <x:c r="Q25" s="48" t="str">
        <x:f>IF(OR($A25&lt;&gt;"Yes",$B25=""),"",IF($H25&lt;&gt;"","| search "&amp;$H25,"")&amp;IF($I25&lt;&gt;"",IF($H25&lt;&gt;"",CHAR(10),"")&amp;$I25,"")&amp;IF($J25&lt;&gt;"",IF(OR($H25&lt;&gt;"",$I25&lt;&gt;""),CHAR(10),"")&amp;$J25,""))</x:f>
      </x:c>
      <x:c r="R25" s="48" t="str">
        <x:f>IF(OR($A25&lt;&gt;"Yes",$B25=""),"",IF($K25&lt;&gt;"Yes","Count disabled",IF($H25&lt;&gt;"","| search "&amp;$H25,"")&amp;IF($I25&lt;&gt;"",IF($H25&lt;&gt;"",CHAR(10),"")&amp;$I25,"")&amp;IF(OR($H25&lt;&gt;"",$I25&lt;&gt;""),CHAR(10),"")&amp;"| stats count as count"&amp;IF($L25&lt;&gt;""," by "&amp;$L25,"")&amp;IF($M25&lt;&gt;"",CHAR(10)&amp;"| where count &gt;= "&amp;$M25,"")&amp;CHAR(10)&amp;"| sort - count"))</x:f>
      </x:c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8" t="str">
        <x:f>IF($A26&lt;&gt;"Yes","",IF($G26&lt;&gt;"",IFERROR(INDEX($O$6:$O$205,MATCH($G26,$B$6:$B$205,0)),"PARENT SEARCH NOT FOUND"),IFERROR(INDEX('Base Searches'!$E$6:$E$35,MATCH($F26,'Base Searches'!$B$6:$B$35,0)),"BASE NOT FOUND")))</x:f>
      </x:c>
      <x:c r="Q26" s="48" t="str">
        <x:f>IF(OR($A26&lt;&gt;"Yes",$B26=""),"",IF($H26&lt;&gt;"","| search "&amp;$H26,"")&amp;IF($I26&lt;&gt;"",IF($H26&lt;&gt;"",CHAR(10),"")&amp;$I26,"")&amp;IF($J26&lt;&gt;"",IF(OR($H26&lt;&gt;"",$I26&lt;&gt;""),CHAR(10),"")&amp;$J26,""))</x:f>
      </x:c>
      <x:c r="R26" s="48" t="str">
        <x:f>IF(OR($A26&lt;&gt;"Yes",$B26=""),"",IF($K26&lt;&gt;"Yes","Count disabled",IF($H26&lt;&gt;"","| search "&amp;$H26,"")&amp;IF($I26&lt;&gt;"",IF($H26&lt;&gt;"",CHAR(10),"")&amp;$I26,"")&amp;IF(OR($H26&lt;&gt;"",$I26&lt;&gt;""),CHAR(10),"")&amp;"| stats count as count"&amp;IF($L26&lt;&gt;""," by "&amp;$L26,"")&amp;IF($M26&lt;&gt;"",CHAR(10)&amp;"| where count &gt;= "&amp;$M26,"")&amp;CHAR(10)&amp;"| sort - count"))</x:f>
      </x:c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8" t="str">
        <x:f>IF($A27&lt;&gt;"Yes","",IF($G27&lt;&gt;"",IFERROR(INDEX($O$6:$O$205,MATCH($G27,$B$6:$B$205,0)),"PARENT SEARCH NOT FOUND"),IFERROR(INDEX('Base Searches'!$E$6:$E$35,MATCH($F27,'Base Searches'!$B$6:$B$35,0)),"BASE NOT FOUND")))</x:f>
      </x:c>
      <x:c r="Q27" s="48" t="str">
        <x:f>IF(OR($A27&lt;&gt;"Yes",$B27=""),"",IF($H27&lt;&gt;"","| search "&amp;$H27,"")&amp;IF($I27&lt;&gt;"",IF($H27&lt;&gt;"",CHAR(10),"")&amp;$I27,"")&amp;IF($J27&lt;&gt;"",IF(OR($H27&lt;&gt;"",$I27&lt;&gt;""),CHAR(10),"")&amp;$J27,""))</x:f>
      </x:c>
      <x:c r="R27" s="48" t="str">
        <x:f>IF(OR($A27&lt;&gt;"Yes",$B27=""),"",IF($K27&lt;&gt;"Yes","Count disabled",IF($H27&lt;&gt;"","| search "&amp;$H27,"")&amp;IF($I27&lt;&gt;"",IF($H27&lt;&gt;"",CHAR(10),"")&amp;$I27,"")&amp;IF(OR($H27&lt;&gt;"",$I27&lt;&gt;""),CHAR(10),"")&amp;"| stats count as count"&amp;IF($L27&lt;&gt;""," by "&amp;$L27,"")&amp;IF($M27&lt;&gt;"",CHAR(10)&amp;"| where count &gt;= "&amp;$M27,"")&amp;CHAR(10)&amp;"| sort - count"))</x:f>
      </x:c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8" t="str">
        <x:f>IF($A28&lt;&gt;"Yes","",IF($G28&lt;&gt;"",IFERROR(INDEX($O$6:$O$205,MATCH($G28,$B$6:$B$205,0)),"PARENT SEARCH NOT FOUND"),IFERROR(INDEX('Base Searches'!$E$6:$E$35,MATCH($F28,'Base Searches'!$B$6:$B$35,0)),"BASE NOT FOUND")))</x:f>
      </x:c>
      <x:c r="Q28" s="48" t="str">
        <x:f>IF(OR($A28&lt;&gt;"Yes",$B28=""),"",IF($H28&lt;&gt;"","| search "&amp;$H28,"")&amp;IF($I28&lt;&gt;"",IF($H28&lt;&gt;"",CHAR(10),"")&amp;$I28,"")&amp;IF($J28&lt;&gt;"",IF(OR($H28&lt;&gt;"",$I28&lt;&gt;""),CHAR(10),"")&amp;$J28,""))</x:f>
      </x:c>
      <x:c r="R28" s="48" t="str">
        <x:f>IF(OR($A28&lt;&gt;"Yes",$B28=""),"",IF($K28&lt;&gt;"Yes","Count disabled",IF($H28&lt;&gt;"","| search "&amp;$H28,"")&amp;IF($I28&lt;&gt;"",IF($H28&lt;&gt;"",CHAR(10),"")&amp;$I28,"")&amp;IF(OR($H28&lt;&gt;"",$I28&lt;&gt;""),CHAR(10),"")&amp;"| stats count as count"&amp;IF($L28&lt;&gt;""," by "&amp;$L28,"")&amp;IF($M28&lt;&gt;"",CHAR(10)&amp;"| where count &gt;= "&amp;$M28,"")&amp;CHAR(10)&amp;"| sort - count"))</x:f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8" t="str">
        <x:f>IF($A29&lt;&gt;"Yes","",IF($G29&lt;&gt;"",IFERROR(INDEX($O$6:$O$205,MATCH($G29,$B$6:$B$205,0)),"PARENT SEARCH NOT FOUND"),IFERROR(INDEX('Base Searches'!$E$6:$E$35,MATCH($F29,'Base Searches'!$B$6:$B$35,0)),"BASE NOT FOUND")))</x:f>
      </x:c>
      <x:c r="Q29" s="48" t="str">
        <x:f>IF(OR($A29&lt;&gt;"Yes",$B29=""),"",IF($H29&lt;&gt;"","| search "&amp;$H29,"")&amp;IF($I29&lt;&gt;"",IF($H29&lt;&gt;"",CHAR(10),"")&amp;$I29,"")&amp;IF($J29&lt;&gt;"",IF(OR($H29&lt;&gt;"",$I29&lt;&gt;""),CHAR(10),"")&amp;$J29,""))</x:f>
      </x:c>
      <x:c r="R29" s="48" t="str">
        <x:f>IF(OR($A29&lt;&gt;"Yes",$B29=""),"",IF($K29&lt;&gt;"Yes","Count disabled",IF($H29&lt;&gt;"","| search "&amp;$H29,"")&amp;IF($I29&lt;&gt;"",IF($H29&lt;&gt;"",CHAR(10),"")&amp;$I29,"")&amp;IF(OR($H29&lt;&gt;"",$I29&lt;&gt;""),CHAR(10),"")&amp;"| stats count as count"&amp;IF($L29&lt;&gt;""," by "&amp;$L29,"")&amp;IF($M29&lt;&gt;"",CHAR(10)&amp;"| where count &gt;= "&amp;$M29,"")&amp;CHAR(10)&amp;"| sort - count"))</x:f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8" t="str">
        <x:f>IF($A30&lt;&gt;"Yes","",IF($G30&lt;&gt;"",IFERROR(INDEX($O$6:$O$205,MATCH($G30,$B$6:$B$205,0)),"PARENT SEARCH NOT FOUND"),IFERROR(INDEX('Base Searches'!$E$6:$E$35,MATCH($F30,'Base Searches'!$B$6:$B$35,0)),"BASE NOT FOUND")))</x:f>
      </x:c>
      <x:c r="Q30" s="48" t="str">
        <x:f>IF(OR($A30&lt;&gt;"Yes",$B30=""),"",IF($H30&lt;&gt;"","| search "&amp;$H30,"")&amp;IF($I30&lt;&gt;"",IF($H30&lt;&gt;"",CHAR(10),"")&amp;$I30,"")&amp;IF($J30&lt;&gt;"",IF(OR($H30&lt;&gt;"",$I30&lt;&gt;""),CHAR(10),"")&amp;$J30,""))</x:f>
      </x:c>
      <x:c r="R30" s="48" t="str">
        <x:f>IF(OR($A30&lt;&gt;"Yes",$B30=""),"",IF($K30&lt;&gt;"Yes","Count disabled",IF($H30&lt;&gt;"","| search "&amp;$H30,"")&amp;IF($I30&lt;&gt;"",IF($H30&lt;&gt;"",CHAR(10),"")&amp;$I30,"")&amp;IF(OR($H30&lt;&gt;"",$I30&lt;&gt;""),CHAR(10),"")&amp;"| stats count as count"&amp;IF($L30&lt;&gt;""," by "&amp;$L30,"")&amp;IF($M30&lt;&gt;"",CHAR(10)&amp;"| where count &gt;= "&amp;$M30,"")&amp;CHAR(10)&amp;"| sort - count"))</x:f>
      </x:c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8" t="str">
        <x:f>IF($A31&lt;&gt;"Yes","",IF($G31&lt;&gt;"",IFERROR(INDEX($O$6:$O$205,MATCH($G31,$B$6:$B$205,0)),"PARENT SEARCH NOT FOUND"),IFERROR(INDEX('Base Searches'!$E$6:$E$35,MATCH($F31,'Base Searches'!$B$6:$B$35,0)),"BASE NOT FOUND")))</x:f>
      </x:c>
      <x:c r="Q31" s="48" t="str">
        <x:f>IF(OR($A31&lt;&gt;"Yes",$B31=""),"",IF($H31&lt;&gt;"","| search "&amp;$H31,"")&amp;IF($I31&lt;&gt;"",IF($H31&lt;&gt;"",CHAR(10),"")&amp;$I31,"")&amp;IF($J31&lt;&gt;"",IF(OR($H31&lt;&gt;"",$I31&lt;&gt;""),CHAR(10),"")&amp;$J31,""))</x:f>
      </x:c>
      <x:c r="R31" s="48" t="str">
        <x:f>IF(OR($A31&lt;&gt;"Yes",$B31=""),"",IF($K31&lt;&gt;"Yes","Count disabled",IF($H31&lt;&gt;"","| search "&amp;$H31,"")&amp;IF($I31&lt;&gt;"",IF($H31&lt;&gt;"",CHAR(10),"")&amp;$I31,"")&amp;IF(OR($H31&lt;&gt;"",$I31&lt;&gt;""),CHAR(10),"")&amp;"| stats count as count"&amp;IF($L31&lt;&gt;""," by "&amp;$L31,"")&amp;IF($M31&lt;&gt;"",CHAR(10)&amp;"| where count &gt;= "&amp;$M31,"")&amp;CHAR(10)&amp;"| sort - count"))</x:f>
      </x:c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8" t="str">
        <x:f>IF($A32&lt;&gt;"Yes","",IF($G32&lt;&gt;"",IFERROR(INDEX($O$6:$O$205,MATCH($G32,$B$6:$B$205,0)),"PARENT SEARCH NOT FOUND"),IFERROR(INDEX('Base Searches'!$E$6:$E$35,MATCH($F32,'Base Searches'!$B$6:$B$35,0)),"BASE NOT FOUND")))</x:f>
      </x:c>
      <x:c r="Q32" s="48" t="str">
        <x:f>IF(OR($A32&lt;&gt;"Yes",$B32=""),"",IF($H32&lt;&gt;"","| search "&amp;$H32,"")&amp;IF($I32&lt;&gt;"",IF($H32&lt;&gt;"",CHAR(10),"")&amp;$I32,"")&amp;IF($J32&lt;&gt;"",IF(OR($H32&lt;&gt;"",$I32&lt;&gt;""),CHAR(10),"")&amp;$J32,""))</x:f>
      </x:c>
      <x:c r="R32" s="48" t="str">
        <x:f>IF(OR($A32&lt;&gt;"Yes",$B32=""),"",IF($K32&lt;&gt;"Yes","Count disabled",IF($H32&lt;&gt;"","| search "&amp;$H32,"")&amp;IF($I32&lt;&gt;"",IF($H32&lt;&gt;"",CHAR(10),"")&amp;$I32,"")&amp;IF(OR($H32&lt;&gt;"",$I32&lt;&gt;""),CHAR(10),"")&amp;"| stats count as count"&amp;IF($L32&lt;&gt;""," by "&amp;$L32,"")&amp;IF($M32&lt;&gt;"",CHAR(10)&amp;"| where count &gt;= "&amp;$M32,"")&amp;CHAR(10)&amp;"| sort - count"))</x:f>
      </x:c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8" t="str">
        <x:f>IF($A33&lt;&gt;"Yes","",IF($G33&lt;&gt;"",IFERROR(INDEX($O$6:$O$205,MATCH($G33,$B$6:$B$205,0)),"PARENT SEARCH NOT FOUND"),IFERROR(INDEX('Base Searches'!$E$6:$E$35,MATCH($F33,'Base Searches'!$B$6:$B$35,0)),"BASE NOT FOUND")))</x:f>
      </x:c>
      <x:c r="Q33" s="48" t="str">
        <x:f>IF(OR($A33&lt;&gt;"Yes",$B33=""),"",IF($H33&lt;&gt;"","| search "&amp;$H33,"")&amp;IF($I33&lt;&gt;"",IF($H33&lt;&gt;"",CHAR(10),"")&amp;$I33,"")&amp;IF($J33&lt;&gt;"",IF(OR($H33&lt;&gt;"",$I33&lt;&gt;""),CHAR(10),"")&amp;$J33,""))</x:f>
      </x:c>
      <x:c r="R33" s="48" t="str">
        <x:f>IF(OR($A33&lt;&gt;"Yes",$B33=""),"",IF($K33&lt;&gt;"Yes","Count disabled",IF($H33&lt;&gt;"","| search "&amp;$H33,"")&amp;IF($I33&lt;&gt;"",IF($H33&lt;&gt;"",CHAR(10),"")&amp;$I33,"")&amp;IF(OR($H33&lt;&gt;"",$I33&lt;&gt;""),CHAR(10),"")&amp;"| stats count as count"&amp;IF($L33&lt;&gt;""," by "&amp;$L33,"")&amp;IF($M33&lt;&gt;"",CHAR(10)&amp;"| where count &gt;= "&amp;$M33,"")&amp;CHAR(10)&amp;"| sort - count"))</x:f>
      </x:c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8" t="str">
        <x:f>IF($A34&lt;&gt;"Yes","",IF($G34&lt;&gt;"",IFERROR(INDEX($O$6:$O$205,MATCH($G34,$B$6:$B$205,0)),"PARENT SEARCH NOT FOUND"),IFERROR(INDEX('Base Searches'!$E$6:$E$35,MATCH($F34,'Base Searches'!$B$6:$B$35,0)),"BASE NOT FOUND")))</x:f>
      </x:c>
      <x:c r="Q34" s="48" t="str">
        <x:f>IF(OR($A34&lt;&gt;"Yes",$B34=""),"",IF($H34&lt;&gt;"","| search "&amp;$H34,"")&amp;IF($I34&lt;&gt;"",IF($H34&lt;&gt;"",CHAR(10),"")&amp;$I34,"")&amp;IF($J34&lt;&gt;"",IF(OR($H34&lt;&gt;"",$I34&lt;&gt;""),CHAR(10),"")&amp;$J34,""))</x:f>
      </x:c>
      <x:c r="R34" s="48" t="str">
        <x:f>IF(OR($A34&lt;&gt;"Yes",$B34=""),"",IF($K34&lt;&gt;"Yes","Count disabled",IF($H34&lt;&gt;"","| search "&amp;$H34,"")&amp;IF($I34&lt;&gt;"",IF($H34&lt;&gt;"",CHAR(10),"")&amp;$I34,"")&amp;IF(OR($H34&lt;&gt;"",$I34&lt;&gt;""),CHAR(10),"")&amp;"| stats count as count"&amp;IF($L34&lt;&gt;""," by "&amp;$L34,"")&amp;IF($M34&lt;&gt;"",CHAR(10)&amp;"| where count &gt;= "&amp;$M34,"")&amp;CHAR(10)&amp;"| sort - count"))</x:f>
      </x:c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8" t="str">
        <x:f>IF($A35&lt;&gt;"Yes","",IF($G35&lt;&gt;"",IFERROR(INDEX($O$6:$O$205,MATCH($G35,$B$6:$B$205,0)),"PARENT SEARCH NOT FOUND"),IFERROR(INDEX('Base Searches'!$E$6:$E$35,MATCH($F35,'Base Searches'!$B$6:$B$35,0)),"BASE NOT FOUND")))</x:f>
      </x:c>
      <x:c r="Q35" s="48" t="str">
        <x:f>IF(OR($A35&lt;&gt;"Yes",$B35=""),"",IF($H35&lt;&gt;"","| search "&amp;$H35,"")&amp;IF($I35&lt;&gt;"",IF($H35&lt;&gt;"",CHAR(10),"")&amp;$I35,"")&amp;IF($J35&lt;&gt;"",IF(OR($H35&lt;&gt;"",$I35&lt;&gt;""),CHAR(10),"")&amp;$J35,""))</x:f>
      </x:c>
      <x:c r="R35" s="48" t="str">
        <x:f>IF(OR($A35&lt;&gt;"Yes",$B35=""),"",IF($K35&lt;&gt;"Yes","Count disabled",IF($H35&lt;&gt;"","| search "&amp;$H35,"")&amp;IF($I35&lt;&gt;"",IF($H35&lt;&gt;"",CHAR(10),"")&amp;$I35,"")&amp;IF(OR($H35&lt;&gt;"",$I35&lt;&gt;""),CHAR(10),"")&amp;"| stats count as count"&amp;IF($L35&lt;&gt;""," by "&amp;$L35,"")&amp;IF($M35&lt;&gt;"",CHAR(10)&amp;"| where count &gt;= "&amp;$M35,"")&amp;CHAR(10)&amp;"| sort - count"))</x:f>
      </x:c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8" t="str">
        <x:f>IF($A36&lt;&gt;"Yes","",IF($G36&lt;&gt;"",IFERROR(INDEX($O$6:$O$205,MATCH($G36,$B$6:$B$205,0)),"PARENT SEARCH NOT FOUND"),IFERROR(INDEX('Base Searches'!$E$6:$E$35,MATCH($F36,'Base Searches'!$B$6:$B$35,0)),"BASE NOT FOUND")))</x:f>
      </x:c>
      <x:c r="Q36" s="48" t="str">
        <x:f>IF(OR($A36&lt;&gt;"Yes",$B36=""),"",IF($H36&lt;&gt;"","| search "&amp;$H36,"")&amp;IF($I36&lt;&gt;"",IF($H36&lt;&gt;"",CHAR(10),"")&amp;$I36,"")&amp;IF($J36&lt;&gt;"",IF(OR($H36&lt;&gt;"",$I36&lt;&gt;""),CHAR(10),"")&amp;$J36,""))</x:f>
      </x:c>
      <x:c r="R36" s="48" t="str">
        <x:f>IF(OR($A36&lt;&gt;"Yes",$B36=""),"",IF($K36&lt;&gt;"Yes","Count disabled",IF($H36&lt;&gt;"","| search "&amp;$H36,"")&amp;IF($I36&lt;&gt;"",IF($H36&lt;&gt;"",CHAR(10),"")&amp;$I36,"")&amp;IF(OR($H36&lt;&gt;"",$I36&lt;&gt;""),CHAR(10),"")&amp;"| stats count as count"&amp;IF($L36&lt;&gt;""," by "&amp;$L36,"")&amp;IF($M36&lt;&gt;"",CHAR(10)&amp;"| where count &gt;= "&amp;$M36,"")&amp;CHAR(10)&amp;"| sort - count"))</x:f>
      </x:c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8" t="str">
        <x:f>IF($A37&lt;&gt;"Yes","",IF($G37&lt;&gt;"",IFERROR(INDEX($O$6:$O$205,MATCH($G37,$B$6:$B$205,0)),"PARENT SEARCH NOT FOUND"),IFERROR(INDEX('Base Searches'!$E$6:$E$35,MATCH($F37,'Base Searches'!$B$6:$B$35,0)),"BASE NOT FOUND")))</x:f>
      </x:c>
      <x:c r="Q37" s="48" t="str">
        <x:f>IF(OR($A37&lt;&gt;"Yes",$B37=""),"",IF($H37&lt;&gt;"","| search "&amp;$H37,"")&amp;IF($I37&lt;&gt;"",IF($H37&lt;&gt;"",CHAR(10),"")&amp;$I37,"")&amp;IF($J37&lt;&gt;"",IF(OR($H37&lt;&gt;"",$I37&lt;&gt;""),CHAR(10),"")&amp;$J37,""))</x:f>
      </x:c>
      <x:c r="R37" s="48" t="str">
        <x:f>IF(OR($A37&lt;&gt;"Yes",$B37=""),"",IF($K37&lt;&gt;"Yes","Count disabled",IF($H37&lt;&gt;"","| search "&amp;$H37,"")&amp;IF($I37&lt;&gt;"",IF($H37&lt;&gt;"",CHAR(10),"")&amp;$I37,"")&amp;IF(OR($H37&lt;&gt;"",$I37&lt;&gt;""),CHAR(10),"")&amp;"| stats count as count"&amp;IF($L37&lt;&gt;""," by "&amp;$L37,"")&amp;IF($M37&lt;&gt;"",CHAR(10)&amp;"| where count &gt;= "&amp;$M37,"")&amp;CHAR(10)&amp;"| sort - count"))</x:f>
      </x:c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8" t="str">
        <x:f>IF($A38&lt;&gt;"Yes","",IF($G38&lt;&gt;"",IFERROR(INDEX($O$6:$O$205,MATCH($G38,$B$6:$B$205,0)),"PARENT SEARCH NOT FOUND"),IFERROR(INDEX('Base Searches'!$E$6:$E$35,MATCH($F38,'Base Searches'!$B$6:$B$35,0)),"BASE NOT FOUND")))</x:f>
      </x:c>
      <x:c r="Q38" s="48" t="str">
        <x:f>IF(OR($A38&lt;&gt;"Yes",$B38=""),"",IF($H38&lt;&gt;"","| search "&amp;$H38,"")&amp;IF($I38&lt;&gt;"",IF($H38&lt;&gt;"",CHAR(10),"")&amp;$I38,"")&amp;IF($J38&lt;&gt;"",IF(OR($H38&lt;&gt;"",$I38&lt;&gt;""),CHAR(10),"")&amp;$J38,""))</x:f>
      </x:c>
      <x:c r="R38" s="48" t="str">
        <x:f>IF(OR($A38&lt;&gt;"Yes",$B38=""),"",IF($K38&lt;&gt;"Yes","Count disabled",IF($H38&lt;&gt;"","| search "&amp;$H38,"")&amp;IF($I38&lt;&gt;"",IF($H38&lt;&gt;"",CHAR(10),"")&amp;$I38,"")&amp;IF(OR($H38&lt;&gt;"",$I38&lt;&gt;""),CHAR(10),"")&amp;"| stats count as count"&amp;IF($L38&lt;&gt;""," by "&amp;$L38,"")&amp;IF($M38&lt;&gt;"",CHAR(10)&amp;"| where count &gt;= "&amp;$M38,"")&amp;CHAR(10)&amp;"| sort - count"))</x:f>
      </x:c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8" t="str">
        <x:f>IF($A39&lt;&gt;"Yes","",IF($G39&lt;&gt;"",IFERROR(INDEX($O$6:$O$205,MATCH($G39,$B$6:$B$205,0)),"PARENT SEARCH NOT FOUND"),IFERROR(INDEX('Base Searches'!$E$6:$E$35,MATCH($F39,'Base Searches'!$B$6:$B$35,0)),"BASE NOT FOUND")))</x:f>
      </x:c>
      <x:c r="Q39" s="48" t="str">
        <x:f>IF(OR($A39&lt;&gt;"Yes",$B39=""),"",IF($H39&lt;&gt;"","| search "&amp;$H39,"")&amp;IF($I39&lt;&gt;"",IF($H39&lt;&gt;"",CHAR(10),"")&amp;$I39,"")&amp;IF($J39&lt;&gt;"",IF(OR($H39&lt;&gt;"",$I39&lt;&gt;""),CHAR(10),"")&amp;$J39,""))</x:f>
      </x:c>
      <x:c r="R39" s="48" t="str">
        <x:f>IF(OR($A39&lt;&gt;"Yes",$B39=""),"",IF($K39&lt;&gt;"Yes","Count disabled",IF($H39&lt;&gt;"","| search "&amp;$H39,"")&amp;IF($I39&lt;&gt;"",IF($H39&lt;&gt;"",CHAR(10),"")&amp;$I39,"")&amp;IF(OR($H39&lt;&gt;"",$I39&lt;&gt;""),CHAR(10),"")&amp;"| stats count as count"&amp;IF($L39&lt;&gt;""," by "&amp;$L39,"")&amp;IF($M39&lt;&gt;"",CHAR(10)&amp;"| where count &gt;= "&amp;$M39,"")&amp;CHAR(10)&amp;"| sort - count"))</x:f>
      </x:c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8" t="str">
        <x:f>IF($A40&lt;&gt;"Yes","",IF($G40&lt;&gt;"",IFERROR(INDEX($O$6:$O$205,MATCH($G40,$B$6:$B$205,0)),"PARENT SEARCH NOT FOUND"),IFERROR(INDEX('Base Searches'!$E$6:$E$35,MATCH($F40,'Base Searches'!$B$6:$B$35,0)),"BASE NOT FOUND")))</x:f>
      </x:c>
      <x:c r="Q40" s="48" t="str">
        <x:f>IF(OR($A40&lt;&gt;"Yes",$B40=""),"",IF($H40&lt;&gt;"","| search "&amp;$H40,"")&amp;IF($I40&lt;&gt;"",IF($H40&lt;&gt;"",CHAR(10),"")&amp;$I40,"")&amp;IF($J40&lt;&gt;"",IF(OR($H40&lt;&gt;"",$I40&lt;&gt;""),CHAR(10),"")&amp;$J40,""))</x:f>
      </x:c>
      <x:c r="R40" s="48" t="str">
        <x:f>IF(OR($A40&lt;&gt;"Yes",$B40=""),"",IF($K40&lt;&gt;"Yes","Count disabled",IF($H40&lt;&gt;"","| search "&amp;$H40,"")&amp;IF($I40&lt;&gt;"",IF($H40&lt;&gt;"",CHAR(10),"")&amp;$I40,"")&amp;IF(OR($H40&lt;&gt;"",$I40&lt;&gt;""),CHAR(10),"")&amp;"| stats count as count"&amp;IF($L40&lt;&gt;""," by "&amp;$L40,"")&amp;IF($M40&lt;&gt;"",CHAR(10)&amp;"| where count &gt;= "&amp;$M40,"")&amp;CHAR(10)&amp;"| sort - count"))</x:f>
      </x:c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8" t="str">
        <x:f>IF($A41&lt;&gt;"Yes","",IF($G41&lt;&gt;"",IFERROR(INDEX($O$6:$O$205,MATCH($G41,$B$6:$B$205,0)),"PARENT SEARCH NOT FOUND"),IFERROR(INDEX('Base Searches'!$E$6:$E$35,MATCH($F41,'Base Searches'!$B$6:$B$35,0)),"BASE NOT FOUND")))</x:f>
      </x:c>
      <x:c r="Q41" s="48" t="str">
        <x:f>IF(OR($A41&lt;&gt;"Yes",$B41=""),"",IF($H41&lt;&gt;"","| search "&amp;$H41,"")&amp;IF($I41&lt;&gt;"",IF($H41&lt;&gt;"",CHAR(10),"")&amp;$I41,"")&amp;IF($J41&lt;&gt;"",IF(OR($H41&lt;&gt;"",$I41&lt;&gt;""),CHAR(10),"")&amp;$J41,""))</x:f>
      </x:c>
      <x:c r="R41" s="48" t="str">
        <x:f>IF(OR($A41&lt;&gt;"Yes",$B41=""),"",IF($K41&lt;&gt;"Yes","Count disabled",IF($H41&lt;&gt;"","| search "&amp;$H41,"")&amp;IF($I41&lt;&gt;"",IF($H41&lt;&gt;"",CHAR(10),"")&amp;$I41,"")&amp;IF(OR($H41&lt;&gt;"",$I41&lt;&gt;""),CHAR(10),"")&amp;"| stats count as count"&amp;IF($L41&lt;&gt;""," by "&amp;$L41,"")&amp;IF($M41&lt;&gt;"",CHAR(10)&amp;"| where count &gt;= "&amp;$M41,"")&amp;CHAR(10)&amp;"| sort - count"))</x:f>
      </x:c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8" t="str">
        <x:f>IF($A42&lt;&gt;"Yes","",IF($G42&lt;&gt;"",IFERROR(INDEX($O$6:$O$205,MATCH($G42,$B$6:$B$205,0)),"PARENT SEARCH NOT FOUND"),IFERROR(INDEX('Base Searches'!$E$6:$E$35,MATCH($F42,'Base Searches'!$B$6:$B$35,0)),"BASE NOT FOUND")))</x:f>
      </x:c>
      <x:c r="Q42" s="48" t="str">
        <x:f>IF(OR($A42&lt;&gt;"Yes",$B42=""),"",IF($H42&lt;&gt;"","| search "&amp;$H42,"")&amp;IF($I42&lt;&gt;"",IF($H42&lt;&gt;"",CHAR(10),"")&amp;$I42,"")&amp;IF($J42&lt;&gt;"",IF(OR($H42&lt;&gt;"",$I42&lt;&gt;""),CHAR(10),"")&amp;$J42,""))</x:f>
      </x:c>
      <x:c r="R42" s="48" t="str">
        <x:f>IF(OR($A42&lt;&gt;"Yes",$B42=""),"",IF($K42&lt;&gt;"Yes","Count disabled",IF($H42&lt;&gt;"","| search "&amp;$H42,"")&amp;IF($I42&lt;&gt;"",IF($H42&lt;&gt;"",CHAR(10),"")&amp;$I42,"")&amp;IF(OR($H42&lt;&gt;"",$I42&lt;&gt;""),CHAR(10),"")&amp;"| stats count as count"&amp;IF($L42&lt;&gt;""," by "&amp;$L42,"")&amp;IF($M42&lt;&gt;"",CHAR(10)&amp;"| where count &gt;= "&amp;$M42,"")&amp;CHAR(10)&amp;"| sort - count"))</x:f>
      </x:c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8" t="str">
        <x:f>IF($A43&lt;&gt;"Yes","",IF($G43&lt;&gt;"",IFERROR(INDEX($O$6:$O$205,MATCH($G43,$B$6:$B$205,0)),"PARENT SEARCH NOT FOUND"),IFERROR(INDEX('Base Searches'!$E$6:$E$35,MATCH($F43,'Base Searches'!$B$6:$B$35,0)),"BASE NOT FOUND")))</x:f>
      </x:c>
      <x:c r="Q43" s="48" t="str">
        <x:f>IF(OR($A43&lt;&gt;"Yes",$B43=""),"",IF($H43&lt;&gt;"","| search "&amp;$H43,"")&amp;IF($I43&lt;&gt;"",IF($H43&lt;&gt;"",CHAR(10),"")&amp;$I43,"")&amp;IF($J43&lt;&gt;"",IF(OR($H43&lt;&gt;"",$I43&lt;&gt;""),CHAR(10),"")&amp;$J43,""))</x:f>
      </x:c>
      <x:c r="R43" s="48" t="str">
        <x:f>IF(OR($A43&lt;&gt;"Yes",$B43=""),"",IF($K43&lt;&gt;"Yes","Count disabled",IF($H43&lt;&gt;"","| search "&amp;$H43,"")&amp;IF($I43&lt;&gt;"",IF($H43&lt;&gt;"",CHAR(10),"")&amp;$I43,"")&amp;IF(OR($H43&lt;&gt;"",$I43&lt;&gt;""),CHAR(10),"")&amp;"| stats count as count"&amp;IF($L43&lt;&gt;""," by "&amp;$L43,"")&amp;IF($M43&lt;&gt;"",CHAR(10)&amp;"| where count &gt;= "&amp;$M43,"")&amp;CHAR(10)&amp;"| sort - count"))</x:f>
      </x:c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8" t="str">
        <x:f>IF($A44&lt;&gt;"Yes","",IF($G44&lt;&gt;"",IFERROR(INDEX($O$6:$O$205,MATCH($G44,$B$6:$B$205,0)),"PARENT SEARCH NOT FOUND"),IFERROR(INDEX('Base Searches'!$E$6:$E$35,MATCH($F44,'Base Searches'!$B$6:$B$35,0)),"BASE NOT FOUND")))</x:f>
      </x:c>
      <x:c r="Q44" s="48" t="str">
        <x:f>IF(OR($A44&lt;&gt;"Yes",$B44=""),"",IF($H44&lt;&gt;"","| search "&amp;$H44,"")&amp;IF($I44&lt;&gt;"",IF($H44&lt;&gt;"",CHAR(10),"")&amp;$I44,"")&amp;IF($J44&lt;&gt;"",IF(OR($H44&lt;&gt;"",$I44&lt;&gt;""),CHAR(10),"")&amp;$J44,""))</x:f>
      </x:c>
      <x:c r="R44" s="48" t="str">
        <x:f>IF(OR($A44&lt;&gt;"Yes",$B44=""),"",IF($K44&lt;&gt;"Yes","Count disabled",IF($H44&lt;&gt;"","| search "&amp;$H44,"")&amp;IF($I44&lt;&gt;"",IF($H44&lt;&gt;"",CHAR(10),"")&amp;$I44,"")&amp;IF(OR($H44&lt;&gt;"",$I44&lt;&gt;""),CHAR(10),"")&amp;"| stats count as count"&amp;IF($L44&lt;&gt;""," by "&amp;$L44,"")&amp;IF($M44&lt;&gt;"",CHAR(10)&amp;"| where count &gt;= "&amp;$M44,"")&amp;CHAR(10)&amp;"| sort - count"))</x:f>
      </x:c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8" t="str">
        <x:f>IF($A45&lt;&gt;"Yes","",IF($G45&lt;&gt;"",IFERROR(INDEX($O$6:$O$205,MATCH($G45,$B$6:$B$205,0)),"PARENT SEARCH NOT FOUND"),IFERROR(INDEX('Base Searches'!$E$6:$E$35,MATCH($F45,'Base Searches'!$B$6:$B$35,0)),"BASE NOT FOUND")))</x:f>
      </x:c>
      <x:c r="Q45" s="48" t="str">
        <x:f>IF(OR($A45&lt;&gt;"Yes",$B45=""),"",IF($H45&lt;&gt;"","| search "&amp;$H45,"")&amp;IF($I45&lt;&gt;"",IF($H45&lt;&gt;"",CHAR(10),"")&amp;$I45,"")&amp;IF($J45&lt;&gt;"",IF(OR($H45&lt;&gt;"",$I45&lt;&gt;""),CHAR(10),"")&amp;$J45,""))</x:f>
      </x:c>
      <x:c r="R45" s="48" t="str">
        <x:f>IF(OR($A45&lt;&gt;"Yes",$B45=""),"",IF($K45&lt;&gt;"Yes","Count disabled",IF($H45&lt;&gt;"","| search "&amp;$H45,"")&amp;IF($I45&lt;&gt;"",IF($H45&lt;&gt;"",CHAR(10),"")&amp;$I45,"")&amp;IF(OR($H45&lt;&gt;"",$I45&lt;&gt;""),CHAR(10),"")&amp;"| stats count as count"&amp;IF($L45&lt;&gt;""," by "&amp;$L45,"")&amp;IF($M45&lt;&gt;"",CHAR(10)&amp;"| where count &gt;= "&amp;$M45,"")&amp;CHAR(10)&amp;"| sort - count"))</x:f>
      </x:c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8" t="str">
        <x:f>IF($A46&lt;&gt;"Yes","",IF($G46&lt;&gt;"",IFERROR(INDEX($O$6:$O$205,MATCH($G46,$B$6:$B$205,0)),"PARENT SEARCH NOT FOUND"),IFERROR(INDEX('Base Searches'!$E$6:$E$35,MATCH($F46,'Base Searches'!$B$6:$B$35,0)),"BASE NOT FOUND")))</x:f>
      </x:c>
      <x:c r="Q46" s="48" t="str">
        <x:f>IF(OR($A46&lt;&gt;"Yes",$B46=""),"",IF($H46&lt;&gt;"","| search "&amp;$H46,"")&amp;IF($I46&lt;&gt;"",IF($H46&lt;&gt;"",CHAR(10),"")&amp;$I46,"")&amp;IF($J46&lt;&gt;"",IF(OR($H46&lt;&gt;"",$I46&lt;&gt;""),CHAR(10),"")&amp;$J46,""))</x:f>
      </x:c>
      <x:c r="R46" s="48" t="str">
        <x:f>IF(OR($A46&lt;&gt;"Yes",$B46=""),"",IF($K46&lt;&gt;"Yes","Count disabled",IF($H46&lt;&gt;"","| search "&amp;$H46,"")&amp;IF($I46&lt;&gt;"",IF($H46&lt;&gt;"",CHAR(10),"")&amp;$I46,"")&amp;IF(OR($H46&lt;&gt;"",$I46&lt;&gt;""),CHAR(10),"")&amp;"| stats count as count"&amp;IF($L46&lt;&gt;""," by "&amp;$L46,"")&amp;IF($M46&lt;&gt;"",CHAR(10)&amp;"| where count &gt;= "&amp;$M46,"")&amp;CHAR(10)&amp;"| sort - count"))</x:f>
      </x:c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8" t="str">
        <x:f>IF($A47&lt;&gt;"Yes","",IF($G47&lt;&gt;"",IFERROR(INDEX($O$6:$O$205,MATCH($G47,$B$6:$B$205,0)),"PARENT SEARCH NOT FOUND"),IFERROR(INDEX('Base Searches'!$E$6:$E$35,MATCH($F47,'Base Searches'!$B$6:$B$35,0)),"BASE NOT FOUND")))</x:f>
      </x:c>
      <x:c r="Q47" s="48" t="str">
        <x:f>IF(OR($A47&lt;&gt;"Yes",$B47=""),"",IF($H47&lt;&gt;"","| search "&amp;$H47,"")&amp;IF($I47&lt;&gt;"",IF($H47&lt;&gt;"",CHAR(10),"")&amp;$I47,"")&amp;IF($J47&lt;&gt;"",IF(OR($H47&lt;&gt;"",$I47&lt;&gt;""),CHAR(10),"")&amp;$J47,""))</x:f>
      </x:c>
      <x:c r="R47" s="48" t="str">
        <x:f>IF(OR($A47&lt;&gt;"Yes",$B47=""),"",IF($K47&lt;&gt;"Yes","Count disabled",IF($H47&lt;&gt;"","| search "&amp;$H47,"")&amp;IF($I47&lt;&gt;"",IF($H47&lt;&gt;"",CHAR(10),"")&amp;$I47,"")&amp;IF(OR($H47&lt;&gt;"",$I47&lt;&gt;""),CHAR(10),"")&amp;"| stats count as count"&amp;IF($L47&lt;&gt;""," by "&amp;$L47,"")&amp;IF($M47&lt;&gt;"",CHAR(10)&amp;"| where count &gt;= "&amp;$M47,"")&amp;CHAR(10)&amp;"| sort - count"))</x:f>
      </x:c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8" t="str">
        <x:f>IF($A48&lt;&gt;"Yes","",IF($G48&lt;&gt;"",IFERROR(INDEX($O$6:$O$205,MATCH($G48,$B$6:$B$205,0)),"PARENT SEARCH NOT FOUND"),IFERROR(INDEX('Base Searches'!$E$6:$E$35,MATCH($F48,'Base Searches'!$B$6:$B$35,0)),"BASE NOT FOUND")))</x:f>
      </x:c>
      <x:c r="Q48" s="48" t="str">
        <x:f>IF(OR($A48&lt;&gt;"Yes",$B48=""),"",IF($H48&lt;&gt;"","| search "&amp;$H48,"")&amp;IF($I48&lt;&gt;"",IF($H48&lt;&gt;"",CHAR(10),"")&amp;$I48,"")&amp;IF($J48&lt;&gt;"",IF(OR($H48&lt;&gt;"",$I48&lt;&gt;""),CHAR(10),"")&amp;$J48,""))</x:f>
      </x:c>
      <x:c r="R48" s="48" t="str">
        <x:f>IF(OR($A48&lt;&gt;"Yes",$B48=""),"",IF($K48&lt;&gt;"Yes","Count disabled",IF($H48&lt;&gt;"","| search "&amp;$H48,"")&amp;IF($I48&lt;&gt;"",IF($H48&lt;&gt;"",CHAR(10),"")&amp;$I48,"")&amp;IF(OR($H48&lt;&gt;"",$I48&lt;&gt;""),CHAR(10),"")&amp;"| stats count as count"&amp;IF($L48&lt;&gt;""," by "&amp;$L48,"")&amp;IF($M48&lt;&gt;"",CHAR(10)&amp;"| where count &gt;= "&amp;$M48,"")&amp;CHAR(10)&amp;"| sort - count"))</x:f>
      </x:c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8" t="str">
        <x:f>IF($A49&lt;&gt;"Yes","",IF($G49&lt;&gt;"",IFERROR(INDEX($O$6:$O$205,MATCH($G49,$B$6:$B$205,0)),"PARENT SEARCH NOT FOUND"),IFERROR(INDEX('Base Searches'!$E$6:$E$35,MATCH($F49,'Base Searches'!$B$6:$B$35,0)),"BASE NOT FOUND")))</x:f>
      </x:c>
      <x:c r="Q49" s="48" t="str">
        <x:f>IF(OR($A49&lt;&gt;"Yes",$B49=""),"",IF($H49&lt;&gt;"","| search "&amp;$H49,"")&amp;IF($I49&lt;&gt;"",IF($H49&lt;&gt;"",CHAR(10),"")&amp;$I49,"")&amp;IF($J49&lt;&gt;"",IF(OR($H49&lt;&gt;"",$I49&lt;&gt;""),CHAR(10),"")&amp;$J49,""))</x:f>
      </x:c>
      <x:c r="R49" s="48" t="str">
        <x:f>IF(OR($A49&lt;&gt;"Yes",$B49=""),"",IF($K49&lt;&gt;"Yes","Count disabled",IF($H49&lt;&gt;"","| search "&amp;$H49,"")&amp;IF($I49&lt;&gt;"",IF($H49&lt;&gt;"",CHAR(10),"")&amp;$I49,"")&amp;IF(OR($H49&lt;&gt;"",$I49&lt;&gt;""),CHAR(10),"")&amp;"| stats count as count"&amp;IF($L49&lt;&gt;""," by "&amp;$L49,"")&amp;IF($M49&lt;&gt;"",CHAR(10)&amp;"| where count &gt;= "&amp;$M49,"")&amp;CHAR(10)&amp;"| sort - count"))</x:f>
      </x:c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8" t="str">
        <x:f>IF($A50&lt;&gt;"Yes","",IF($G50&lt;&gt;"",IFERROR(INDEX($O$6:$O$205,MATCH($G50,$B$6:$B$205,0)),"PARENT SEARCH NOT FOUND"),IFERROR(INDEX('Base Searches'!$E$6:$E$35,MATCH($F50,'Base Searches'!$B$6:$B$35,0)),"BASE NOT FOUND")))</x:f>
      </x:c>
      <x:c r="Q50" s="48" t="str">
        <x:f>IF(OR($A50&lt;&gt;"Yes",$B50=""),"",IF($H50&lt;&gt;"","| search "&amp;$H50,"")&amp;IF($I50&lt;&gt;"",IF($H50&lt;&gt;"",CHAR(10),"")&amp;$I50,"")&amp;IF($J50&lt;&gt;"",IF(OR($H50&lt;&gt;"",$I50&lt;&gt;""),CHAR(10),"")&amp;$J50,""))</x:f>
      </x:c>
      <x:c r="R50" s="48" t="str">
        <x:f>IF(OR($A50&lt;&gt;"Yes",$B50=""),"",IF($K50&lt;&gt;"Yes","Count disabled",IF($H50&lt;&gt;"","| search "&amp;$H50,"")&amp;IF($I50&lt;&gt;"",IF($H50&lt;&gt;"",CHAR(10),"")&amp;$I50,"")&amp;IF(OR($H50&lt;&gt;"",$I50&lt;&gt;""),CHAR(10),"")&amp;"| stats count as count"&amp;IF($L50&lt;&gt;""," by "&amp;$L50,"")&amp;IF($M50&lt;&gt;"",CHAR(10)&amp;"| where count &gt;= "&amp;$M50,"")&amp;CHAR(10)&amp;"| sort - count"))</x:f>
      </x:c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8" t="str">
        <x:f>IF($A51&lt;&gt;"Yes","",IF($G51&lt;&gt;"",IFERROR(INDEX($O$6:$O$205,MATCH($G51,$B$6:$B$205,0)),"PARENT SEARCH NOT FOUND"),IFERROR(INDEX('Base Searches'!$E$6:$E$35,MATCH($F51,'Base Searches'!$B$6:$B$35,0)),"BASE NOT FOUND")))</x:f>
      </x:c>
      <x:c r="Q51" s="48" t="str">
        <x:f>IF(OR($A51&lt;&gt;"Yes",$B51=""),"",IF($H51&lt;&gt;"","| search "&amp;$H51,"")&amp;IF($I51&lt;&gt;"",IF($H51&lt;&gt;"",CHAR(10),"")&amp;$I51,"")&amp;IF($J51&lt;&gt;"",IF(OR($H51&lt;&gt;"",$I51&lt;&gt;""),CHAR(10),"")&amp;$J51,""))</x:f>
      </x:c>
      <x:c r="R51" s="48" t="str">
        <x:f>IF(OR($A51&lt;&gt;"Yes",$B51=""),"",IF($K51&lt;&gt;"Yes","Count disabled",IF($H51&lt;&gt;"","| search "&amp;$H51,"")&amp;IF($I51&lt;&gt;"",IF($H51&lt;&gt;"",CHAR(10),"")&amp;$I51,"")&amp;IF(OR($H51&lt;&gt;"",$I51&lt;&gt;""),CHAR(10),"")&amp;"| stats count as count"&amp;IF($L51&lt;&gt;""," by "&amp;$L51,"")&amp;IF($M51&lt;&gt;"",CHAR(10)&amp;"| where count &gt;= "&amp;$M51,"")&amp;CHAR(10)&amp;"| sort - count"))</x:f>
      </x:c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8" t="str">
        <x:f>IF($A52&lt;&gt;"Yes","",IF($G52&lt;&gt;"",IFERROR(INDEX($O$6:$O$205,MATCH($G52,$B$6:$B$205,0)),"PARENT SEARCH NOT FOUND"),IFERROR(INDEX('Base Searches'!$E$6:$E$35,MATCH($F52,'Base Searches'!$B$6:$B$35,0)),"BASE NOT FOUND")))</x:f>
      </x:c>
      <x:c r="Q52" s="48" t="str">
        <x:f>IF(OR($A52&lt;&gt;"Yes",$B52=""),"",IF($H52&lt;&gt;"","| search "&amp;$H52,"")&amp;IF($I52&lt;&gt;"",IF($H52&lt;&gt;"",CHAR(10),"")&amp;$I52,"")&amp;IF($J52&lt;&gt;"",IF(OR($H52&lt;&gt;"",$I52&lt;&gt;""),CHAR(10),"")&amp;$J52,""))</x:f>
      </x:c>
      <x:c r="R52" s="48" t="str">
        <x:f>IF(OR($A52&lt;&gt;"Yes",$B52=""),"",IF($K52&lt;&gt;"Yes","Count disabled",IF($H52&lt;&gt;"","| search "&amp;$H52,"")&amp;IF($I52&lt;&gt;"",IF($H52&lt;&gt;"",CHAR(10),"")&amp;$I52,"")&amp;IF(OR($H52&lt;&gt;"",$I52&lt;&gt;""),CHAR(10),"")&amp;"| stats count as count"&amp;IF($L52&lt;&gt;""," by "&amp;$L52,"")&amp;IF($M52&lt;&gt;"",CHAR(10)&amp;"| where count &gt;= "&amp;$M52,"")&amp;CHAR(10)&amp;"| sort - count"))</x:f>
      </x:c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8" t="str">
        <x:f>IF($A53&lt;&gt;"Yes","",IF($G53&lt;&gt;"",IFERROR(INDEX($O$6:$O$205,MATCH($G53,$B$6:$B$205,0)),"PARENT SEARCH NOT FOUND"),IFERROR(INDEX('Base Searches'!$E$6:$E$35,MATCH($F53,'Base Searches'!$B$6:$B$35,0)),"BASE NOT FOUND")))</x:f>
      </x:c>
      <x:c r="Q53" s="48" t="str">
        <x:f>IF(OR($A53&lt;&gt;"Yes",$B53=""),"",IF($H53&lt;&gt;"","| search "&amp;$H53,"")&amp;IF($I53&lt;&gt;"",IF($H53&lt;&gt;"",CHAR(10),"")&amp;$I53,"")&amp;IF($J53&lt;&gt;"",IF(OR($H53&lt;&gt;"",$I53&lt;&gt;""),CHAR(10),"")&amp;$J53,""))</x:f>
      </x:c>
      <x:c r="R53" s="48" t="str">
        <x:f>IF(OR($A53&lt;&gt;"Yes",$B53=""),"",IF($K53&lt;&gt;"Yes","Count disabled",IF($H53&lt;&gt;"","| search "&amp;$H53,"")&amp;IF($I53&lt;&gt;"",IF($H53&lt;&gt;"",CHAR(10),"")&amp;$I53,"")&amp;IF(OR($H53&lt;&gt;"",$I53&lt;&gt;""),CHAR(10),"")&amp;"| stats count as count"&amp;IF($L53&lt;&gt;""," by "&amp;$L53,"")&amp;IF($M53&lt;&gt;"",CHAR(10)&amp;"| where count &gt;= "&amp;$M53,"")&amp;CHAR(10)&amp;"| sort - count"))</x:f>
      </x:c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8" t="str">
        <x:f>IF($A54&lt;&gt;"Yes","",IF($G54&lt;&gt;"",IFERROR(INDEX($O$6:$O$205,MATCH($G54,$B$6:$B$205,0)),"PARENT SEARCH NOT FOUND"),IFERROR(INDEX('Base Searches'!$E$6:$E$35,MATCH($F54,'Base Searches'!$B$6:$B$35,0)),"BASE NOT FOUND")))</x:f>
      </x:c>
      <x:c r="Q54" s="48" t="str">
        <x:f>IF(OR($A54&lt;&gt;"Yes",$B54=""),"",IF($H54&lt;&gt;"","| search "&amp;$H54,"")&amp;IF($I54&lt;&gt;"",IF($H54&lt;&gt;"",CHAR(10),"")&amp;$I54,"")&amp;IF($J54&lt;&gt;"",IF(OR($H54&lt;&gt;"",$I54&lt;&gt;""),CHAR(10),"")&amp;$J54,""))</x:f>
      </x:c>
      <x:c r="R54" s="48" t="str">
        <x:f>IF(OR($A54&lt;&gt;"Yes",$B54=""),"",IF($K54&lt;&gt;"Yes","Count disabled",IF($H54&lt;&gt;"","| search "&amp;$H54,"")&amp;IF($I54&lt;&gt;"",IF($H54&lt;&gt;"",CHAR(10),"")&amp;$I54,"")&amp;IF(OR($H54&lt;&gt;"",$I54&lt;&gt;""),CHAR(10),"")&amp;"| stats count as count"&amp;IF($L54&lt;&gt;""," by "&amp;$L54,"")&amp;IF($M54&lt;&gt;"",CHAR(10)&amp;"| where count &gt;= "&amp;$M54,"")&amp;CHAR(10)&amp;"| sort - count"))</x:f>
      </x:c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8" t="str">
        <x:f>IF($A55&lt;&gt;"Yes","",IF($G55&lt;&gt;"",IFERROR(INDEX($O$6:$O$205,MATCH($G55,$B$6:$B$205,0)),"PARENT SEARCH NOT FOUND"),IFERROR(INDEX('Base Searches'!$E$6:$E$35,MATCH($F55,'Base Searches'!$B$6:$B$35,0)),"BASE NOT FOUND")))</x:f>
      </x:c>
      <x:c r="Q55" s="48" t="str">
        <x:f>IF(OR($A55&lt;&gt;"Yes",$B55=""),"",IF($H55&lt;&gt;"","| search "&amp;$H55,"")&amp;IF($I55&lt;&gt;"",IF($H55&lt;&gt;"",CHAR(10),"")&amp;$I55,"")&amp;IF($J55&lt;&gt;"",IF(OR($H55&lt;&gt;"",$I55&lt;&gt;""),CHAR(10),"")&amp;$J55,""))</x:f>
      </x:c>
      <x:c r="R55" s="48" t="str">
        <x:f>IF(OR($A55&lt;&gt;"Yes",$B55=""),"",IF($K55&lt;&gt;"Yes","Count disabled",IF($H55&lt;&gt;"","| search "&amp;$H55,"")&amp;IF($I55&lt;&gt;"",IF($H55&lt;&gt;"",CHAR(10),"")&amp;$I55,"")&amp;IF(OR($H55&lt;&gt;"",$I55&lt;&gt;""),CHAR(10),"")&amp;"| stats count as count"&amp;IF($L55&lt;&gt;""," by "&amp;$L55,"")&amp;IF($M55&lt;&gt;"",CHAR(10)&amp;"| where count &gt;= "&amp;$M55,"")&amp;CHAR(10)&amp;"| sort - count"))</x:f>
      </x:c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8" t="str">
        <x:f>IF($A56&lt;&gt;"Yes","",IF($G56&lt;&gt;"",IFERROR(INDEX($O$6:$O$205,MATCH($G56,$B$6:$B$205,0)),"PARENT SEARCH NOT FOUND"),IFERROR(INDEX('Base Searches'!$E$6:$E$35,MATCH($F56,'Base Searches'!$B$6:$B$35,0)),"BASE NOT FOUND")))</x:f>
      </x:c>
      <x:c r="Q56" s="48" t="str">
        <x:f>IF(OR($A56&lt;&gt;"Yes",$B56=""),"",IF($H56&lt;&gt;"","| search "&amp;$H56,"")&amp;IF($I56&lt;&gt;"",IF($H56&lt;&gt;"",CHAR(10),"")&amp;$I56,"")&amp;IF($J56&lt;&gt;"",IF(OR($H56&lt;&gt;"",$I56&lt;&gt;""),CHAR(10),"")&amp;$J56,""))</x:f>
      </x:c>
      <x:c r="R56" s="48" t="str">
        <x:f>IF(OR($A56&lt;&gt;"Yes",$B56=""),"",IF($K56&lt;&gt;"Yes","Count disabled",IF($H56&lt;&gt;"","| search "&amp;$H56,"")&amp;IF($I56&lt;&gt;"",IF($H56&lt;&gt;"",CHAR(10),"")&amp;$I56,"")&amp;IF(OR($H56&lt;&gt;"",$I56&lt;&gt;""),CHAR(10),"")&amp;"| stats count as count"&amp;IF($L56&lt;&gt;""," by "&amp;$L56,"")&amp;IF($M56&lt;&gt;"",CHAR(10)&amp;"| where count &gt;= "&amp;$M56,"")&amp;CHAR(10)&amp;"| sort - count"))</x:f>
      </x:c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8" t="str">
        <x:f>IF($A57&lt;&gt;"Yes","",IF($G57&lt;&gt;"",IFERROR(INDEX($O$6:$O$205,MATCH($G57,$B$6:$B$205,0)),"PARENT SEARCH NOT FOUND"),IFERROR(INDEX('Base Searches'!$E$6:$E$35,MATCH($F57,'Base Searches'!$B$6:$B$35,0)),"BASE NOT FOUND")))</x:f>
      </x:c>
      <x:c r="Q57" s="48" t="str">
        <x:f>IF(OR($A57&lt;&gt;"Yes",$B57=""),"",IF($H57&lt;&gt;"","| search "&amp;$H57,"")&amp;IF($I57&lt;&gt;"",IF($H57&lt;&gt;"",CHAR(10),"")&amp;$I57,"")&amp;IF($J57&lt;&gt;"",IF(OR($H57&lt;&gt;"",$I57&lt;&gt;""),CHAR(10),"")&amp;$J57,""))</x:f>
      </x:c>
      <x:c r="R57" s="48" t="str">
        <x:f>IF(OR($A57&lt;&gt;"Yes",$B57=""),"",IF($K57&lt;&gt;"Yes","Count disabled",IF($H57&lt;&gt;"","| search "&amp;$H57,"")&amp;IF($I57&lt;&gt;"",IF($H57&lt;&gt;"",CHAR(10),"")&amp;$I57,"")&amp;IF(OR($H57&lt;&gt;"",$I57&lt;&gt;""),CHAR(10),"")&amp;"| stats count as count"&amp;IF($L57&lt;&gt;""," by "&amp;$L57,"")&amp;IF($M57&lt;&gt;"",CHAR(10)&amp;"| where count &gt;= "&amp;$M57,"")&amp;CHAR(10)&amp;"| sort - count"))</x:f>
      </x:c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8" t="str">
        <x:f>IF($A58&lt;&gt;"Yes","",IF($G58&lt;&gt;"",IFERROR(INDEX($O$6:$O$205,MATCH($G58,$B$6:$B$205,0)),"PARENT SEARCH NOT FOUND"),IFERROR(INDEX('Base Searches'!$E$6:$E$35,MATCH($F58,'Base Searches'!$B$6:$B$35,0)),"BASE NOT FOUND")))</x:f>
      </x:c>
      <x:c r="Q58" s="48" t="str">
        <x:f>IF(OR($A58&lt;&gt;"Yes",$B58=""),"",IF($H58&lt;&gt;"","| search "&amp;$H58,"")&amp;IF($I58&lt;&gt;"",IF($H58&lt;&gt;"",CHAR(10),"")&amp;$I58,"")&amp;IF($J58&lt;&gt;"",IF(OR($H58&lt;&gt;"",$I58&lt;&gt;""),CHAR(10),"")&amp;$J58,""))</x:f>
      </x:c>
      <x:c r="R58" s="48" t="str">
        <x:f>IF(OR($A58&lt;&gt;"Yes",$B58=""),"",IF($K58&lt;&gt;"Yes","Count disabled",IF($H58&lt;&gt;"","| search "&amp;$H58,"")&amp;IF($I58&lt;&gt;"",IF($H58&lt;&gt;"",CHAR(10),"")&amp;$I58,"")&amp;IF(OR($H58&lt;&gt;"",$I58&lt;&gt;""),CHAR(10),"")&amp;"| stats count as count"&amp;IF($L58&lt;&gt;""," by "&amp;$L58,"")&amp;IF($M58&lt;&gt;"",CHAR(10)&amp;"| where count &gt;= "&amp;$M58,"")&amp;CHAR(10)&amp;"| sort - count"))</x:f>
      </x:c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8" t="str">
        <x:f>IF($A59&lt;&gt;"Yes","",IF($G59&lt;&gt;"",IFERROR(INDEX($O$6:$O$205,MATCH($G59,$B$6:$B$205,0)),"PARENT SEARCH NOT FOUND"),IFERROR(INDEX('Base Searches'!$E$6:$E$35,MATCH($F59,'Base Searches'!$B$6:$B$35,0)),"BASE NOT FOUND")))</x:f>
      </x:c>
      <x:c r="Q59" s="48" t="str">
        <x:f>IF(OR($A59&lt;&gt;"Yes",$B59=""),"",IF($H59&lt;&gt;"","| search "&amp;$H59,"")&amp;IF($I59&lt;&gt;"",IF($H59&lt;&gt;"",CHAR(10),"")&amp;$I59,"")&amp;IF($J59&lt;&gt;"",IF(OR($H59&lt;&gt;"",$I59&lt;&gt;""),CHAR(10),"")&amp;$J59,""))</x:f>
      </x:c>
      <x:c r="R59" s="48" t="str">
        <x:f>IF(OR($A59&lt;&gt;"Yes",$B59=""),"",IF($K59&lt;&gt;"Yes","Count disabled",IF($H59&lt;&gt;"","| search "&amp;$H59,"")&amp;IF($I59&lt;&gt;"",IF($H59&lt;&gt;"",CHAR(10),"")&amp;$I59,"")&amp;IF(OR($H59&lt;&gt;"",$I59&lt;&gt;""),CHAR(10),"")&amp;"| stats count as count"&amp;IF($L59&lt;&gt;""," by "&amp;$L59,"")&amp;IF($M59&lt;&gt;"",CHAR(10)&amp;"| where count &gt;= "&amp;$M59,"")&amp;CHAR(10)&amp;"| sort - count"))</x:f>
      </x:c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8" t="str">
        <x:f>IF($A60&lt;&gt;"Yes","",IF($G60&lt;&gt;"",IFERROR(INDEX($O$6:$O$205,MATCH($G60,$B$6:$B$205,0)),"PARENT SEARCH NOT FOUND"),IFERROR(INDEX('Base Searches'!$E$6:$E$35,MATCH($F60,'Base Searches'!$B$6:$B$35,0)),"BASE NOT FOUND")))</x:f>
      </x:c>
      <x:c r="Q60" s="48" t="str">
        <x:f>IF(OR($A60&lt;&gt;"Yes",$B60=""),"",IF($H60&lt;&gt;"","| search "&amp;$H60,"")&amp;IF($I60&lt;&gt;"",IF($H60&lt;&gt;"",CHAR(10),"")&amp;$I60,"")&amp;IF($J60&lt;&gt;"",IF(OR($H60&lt;&gt;"",$I60&lt;&gt;""),CHAR(10),"")&amp;$J60,""))</x:f>
      </x:c>
      <x:c r="R60" s="48" t="str">
        <x:f>IF(OR($A60&lt;&gt;"Yes",$B60=""),"",IF($K60&lt;&gt;"Yes","Count disabled",IF($H60&lt;&gt;"","| search "&amp;$H60,"")&amp;IF($I60&lt;&gt;"",IF($H60&lt;&gt;"",CHAR(10),"")&amp;$I60,"")&amp;IF(OR($H60&lt;&gt;"",$I60&lt;&gt;""),CHAR(10),"")&amp;"| stats count as count"&amp;IF($L60&lt;&gt;""," by "&amp;$L60,"")&amp;IF($M60&lt;&gt;"",CHAR(10)&amp;"| where count &gt;= "&amp;$M60,"")&amp;CHAR(10)&amp;"| sort - count"))</x:f>
      </x:c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8" t="str">
        <x:f>IF($A61&lt;&gt;"Yes","",IF($G61&lt;&gt;"",IFERROR(INDEX($O$6:$O$205,MATCH($G61,$B$6:$B$205,0)),"PARENT SEARCH NOT FOUND"),IFERROR(INDEX('Base Searches'!$E$6:$E$35,MATCH($F61,'Base Searches'!$B$6:$B$35,0)),"BASE NOT FOUND")))</x:f>
      </x:c>
      <x:c r="Q61" s="48" t="str">
        <x:f>IF(OR($A61&lt;&gt;"Yes",$B61=""),"",IF($H61&lt;&gt;"","| search "&amp;$H61,"")&amp;IF($I61&lt;&gt;"",IF($H61&lt;&gt;"",CHAR(10),"")&amp;$I61,"")&amp;IF($J61&lt;&gt;"",IF(OR($H61&lt;&gt;"",$I61&lt;&gt;""),CHAR(10),"")&amp;$J61,""))</x:f>
      </x:c>
      <x:c r="R61" s="48" t="str">
        <x:f>IF(OR($A61&lt;&gt;"Yes",$B61=""),"",IF($K61&lt;&gt;"Yes","Count disabled",IF($H61&lt;&gt;"","| search "&amp;$H61,"")&amp;IF($I61&lt;&gt;"",IF($H61&lt;&gt;"",CHAR(10),"")&amp;$I61,"")&amp;IF(OR($H61&lt;&gt;"",$I61&lt;&gt;""),CHAR(10),"")&amp;"| stats count as count"&amp;IF($L61&lt;&gt;""," by "&amp;$L61,"")&amp;IF($M61&lt;&gt;"",CHAR(10)&amp;"| where count &gt;= "&amp;$M61,"")&amp;CHAR(10)&amp;"| sort - count"))</x:f>
      </x:c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8" t="str">
        <x:f>IF($A62&lt;&gt;"Yes","",IF($G62&lt;&gt;"",IFERROR(INDEX($O$6:$O$205,MATCH($G62,$B$6:$B$205,0)),"PARENT SEARCH NOT FOUND"),IFERROR(INDEX('Base Searches'!$E$6:$E$35,MATCH($F62,'Base Searches'!$B$6:$B$35,0)),"BASE NOT FOUND")))</x:f>
      </x:c>
      <x:c r="Q62" s="48" t="str">
        <x:f>IF(OR($A62&lt;&gt;"Yes",$B62=""),"",IF($H62&lt;&gt;"","| search "&amp;$H62,"")&amp;IF($I62&lt;&gt;"",IF($H62&lt;&gt;"",CHAR(10),"")&amp;$I62,"")&amp;IF($J62&lt;&gt;"",IF(OR($H62&lt;&gt;"",$I62&lt;&gt;""),CHAR(10),"")&amp;$J62,""))</x:f>
      </x:c>
      <x:c r="R62" s="48" t="str">
        <x:f>IF(OR($A62&lt;&gt;"Yes",$B62=""),"",IF($K62&lt;&gt;"Yes","Count disabled",IF($H62&lt;&gt;"","| search "&amp;$H62,"")&amp;IF($I62&lt;&gt;"",IF($H62&lt;&gt;"",CHAR(10),"")&amp;$I62,"")&amp;IF(OR($H62&lt;&gt;"",$I62&lt;&gt;""),CHAR(10),"")&amp;"| stats count as count"&amp;IF($L62&lt;&gt;""," by "&amp;$L62,"")&amp;IF($M62&lt;&gt;"",CHAR(10)&amp;"| where count &gt;= "&amp;$M62,"")&amp;CHAR(10)&amp;"| sort - count"))</x:f>
      </x:c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8" t="str">
        <x:f>IF($A63&lt;&gt;"Yes","",IF($G63&lt;&gt;"",IFERROR(INDEX($O$6:$O$205,MATCH($G63,$B$6:$B$205,0)),"PARENT SEARCH NOT FOUND"),IFERROR(INDEX('Base Searches'!$E$6:$E$35,MATCH($F63,'Base Searches'!$B$6:$B$35,0)),"BASE NOT FOUND")))</x:f>
      </x:c>
      <x:c r="Q63" s="48" t="str">
        <x:f>IF(OR($A63&lt;&gt;"Yes",$B63=""),"",IF($H63&lt;&gt;"","| search "&amp;$H63,"")&amp;IF($I63&lt;&gt;"",IF($H63&lt;&gt;"",CHAR(10),"")&amp;$I63,"")&amp;IF($J63&lt;&gt;"",IF(OR($H63&lt;&gt;"",$I63&lt;&gt;""),CHAR(10),"")&amp;$J63,""))</x:f>
      </x:c>
      <x:c r="R63" s="48" t="str">
        <x:f>IF(OR($A63&lt;&gt;"Yes",$B63=""),"",IF($K63&lt;&gt;"Yes","Count disabled",IF($H63&lt;&gt;"","| search "&amp;$H63,"")&amp;IF($I63&lt;&gt;"",IF($H63&lt;&gt;"",CHAR(10),"")&amp;$I63,"")&amp;IF(OR($H63&lt;&gt;"",$I63&lt;&gt;""),CHAR(10),"")&amp;"| stats count as count"&amp;IF($L63&lt;&gt;""," by "&amp;$L63,"")&amp;IF($M63&lt;&gt;"",CHAR(10)&amp;"| where count &gt;= "&amp;$M63,"")&amp;CHAR(10)&amp;"| sort - count"))</x:f>
      </x:c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8" t="str">
        <x:f>IF($A64&lt;&gt;"Yes","",IF($G64&lt;&gt;"",IFERROR(INDEX($O$6:$O$205,MATCH($G64,$B$6:$B$205,0)),"PARENT SEARCH NOT FOUND"),IFERROR(INDEX('Base Searches'!$E$6:$E$35,MATCH($F64,'Base Searches'!$B$6:$B$35,0)),"BASE NOT FOUND")))</x:f>
      </x:c>
      <x:c r="Q64" s="48" t="str">
        <x:f>IF(OR($A64&lt;&gt;"Yes",$B64=""),"",IF($H64&lt;&gt;"","| search "&amp;$H64,"")&amp;IF($I64&lt;&gt;"",IF($H64&lt;&gt;"",CHAR(10),"")&amp;$I64,"")&amp;IF($J64&lt;&gt;"",IF(OR($H64&lt;&gt;"",$I64&lt;&gt;""),CHAR(10),"")&amp;$J64,""))</x:f>
      </x:c>
      <x:c r="R64" s="48" t="str">
        <x:f>IF(OR($A64&lt;&gt;"Yes",$B64=""),"",IF($K64&lt;&gt;"Yes","Count disabled",IF($H64&lt;&gt;"","| search "&amp;$H64,"")&amp;IF($I64&lt;&gt;"",IF($H64&lt;&gt;"",CHAR(10),"")&amp;$I64,"")&amp;IF(OR($H64&lt;&gt;"",$I64&lt;&gt;""),CHAR(10),"")&amp;"| stats count as count"&amp;IF($L64&lt;&gt;""," by "&amp;$L64,"")&amp;IF($M64&lt;&gt;"",CHAR(10)&amp;"| where count &gt;= "&amp;$M64,"")&amp;CHAR(10)&amp;"| sort - count"))</x:f>
      </x:c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8" t="str">
        <x:f>IF($A65&lt;&gt;"Yes","",IF($G65&lt;&gt;"",IFERROR(INDEX($O$6:$O$205,MATCH($G65,$B$6:$B$205,0)),"PARENT SEARCH NOT FOUND"),IFERROR(INDEX('Base Searches'!$E$6:$E$35,MATCH($F65,'Base Searches'!$B$6:$B$35,0)),"BASE NOT FOUND")))</x:f>
      </x:c>
      <x:c r="Q65" s="48" t="str">
        <x:f>IF(OR($A65&lt;&gt;"Yes",$B65=""),"",IF($H65&lt;&gt;"","| search "&amp;$H65,"")&amp;IF($I65&lt;&gt;"",IF($H65&lt;&gt;"",CHAR(10),"")&amp;$I65,"")&amp;IF($J65&lt;&gt;"",IF(OR($H65&lt;&gt;"",$I65&lt;&gt;""),CHAR(10),"")&amp;$J65,""))</x:f>
      </x:c>
      <x:c r="R65" s="48" t="str">
        <x:f>IF(OR($A65&lt;&gt;"Yes",$B65=""),"",IF($K65&lt;&gt;"Yes","Count disabled",IF($H65&lt;&gt;"","| search "&amp;$H65,"")&amp;IF($I65&lt;&gt;"",IF($H65&lt;&gt;"",CHAR(10),"")&amp;$I65,"")&amp;IF(OR($H65&lt;&gt;"",$I65&lt;&gt;""),CHAR(10),"")&amp;"| stats count as count"&amp;IF($L65&lt;&gt;""," by "&amp;$L65,"")&amp;IF($M65&lt;&gt;"",CHAR(10)&amp;"| where count &gt;= "&amp;$M65,"")&amp;CHAR(10)&amp;"| sort - count"))</x:f>
      </x:c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8" t="str">
        <x:f>IF($A66&lt;&gt;"Yes","",IF($G66&lt;&gt;"",IFERROR(INDEX($O$6:$O$205,MATCH($G66,$B$6:$B$205,0)),"PARENT SEARCH NOT FOUND"),IFERROR(INDEX('Base Searches'!$E$6:$E$35,MATCH($F66,'Base Searches'!$B$6:$B$35,0)),"BASE NOT FOUND")))</x:f>
      </x:c>
      <x:c r="Q66" s="48" t="str">
        <x:f>IF(OR($A66&lt;&gt;"Yes",$B66=""),"",IF($H66&lt;&gt;"","| search "&amp;$H66,"")&amp;IF($I66&lt;&gt;"",IF($H66&lt;&gt;"",CHAR(10),"")&amp;$I66,"")&amp;IF($J66&lt;&gt;"",IF(OR($H66&lt;&gt;"",$I66&lt;&gt;""),CHAR(10),"")&amp;$J66,""))</x:f>
      </x:c>
      <x:c r="R66" s="48" t="str">
        <x:f>IF(OR($A66&lt;&gt;"Yes",$B66=""),"",IF($K66&lt;&gt;"Yes","Count disabled",IF($H66&lt;&gt;"","| search "&amp;$H66,"")&amp;IF($I66&lt;&gt;"",IF($H66&lt;&gt;"",CHAR(10),"")&amp;$I66,"")&amp;IF(OR($H66&lt;&gt;"",$I66&lt;&gt;""),CHAR(10),"")&amp;"| stats count as count"&amp;IF($L66&lt;&gt;""," by "&amp;$L66,"")&amp;IF($M66&lt;&gt;"",CHAR(10)&amp;"| where count &gt;= "&amp;$M66,"")&amp;CHAR(10)&amp;"| sort - count"))</x:f>
      </x:c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8" t="str">
        <x:f>IF($A67&lt;&gt;"Yes","",IF($G67&lt;&gt;"",IFERROR(INDEX($O$6:$O$205,MATCH($G67,$B$6:$B$205,0)),"PARENT SEARCH NOT FOUND"),IFERROR(INDEX('Base Searches'!$E$6:$E$35,MATCH($F67,'Base Searches'!$B$6:$B$35,0)),"BASE NOT FOUND")))</x:f>
      </x:c>
      <x:c r="Q67" s="48" t="str">
        <x:f>IF(OR($A67&lt;&gt;"Yes",$B67=""),"",IF($H67&lt;&gt;"","| search "&amp;$H67,"")&amp;IF($I67&lt;&gt;"",IF($H67&lt;&gt;"",CHAR(10),"")&amp;$I67,"")&amp;IF($J67&lt;&gt;"",IF(OR($H67&lt;&gt;"",$I67&lt;&gt;""),CHAR(10),"")&amp;$J67,""))</x:f>
      </x:c>
      <x:c r="R67" s="48" t="str">
        <x:f>IF(OR($A67&lt;&gt;"Yes",$B67=""),"",IF($K67&lt;&gt;"Yes","Count disabled",IF($H67&lt;&gt;"","| search "&amp;$H67,"")&amp;IF($I67&lt;&gt;"",IF($H67&lt;&gt;"",CHAR(10),"")&amp;$I67,"")&amp;IF(OR($H67&lt;&gt;"",$I67&lt;&gt;""),CHAR(10),"")&amp;"| stats count as count"&amp;IF($L67&lt;&gt;""," by "&amp;$L67,"")&amp;IF($M67&lt;&gt;"",CHAR(10)&amp;"| where count &gt;= "&amp;$M67,"")&amp;CHAR(10)&amp;"| sort - count"))</x:f>
      </x:c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8" t="str">
        <x:f>IF($A68&lt;&gt;"Yes","",IF($G68&lt;&gt;"",IFERROR(INDEX($O$6:$O$205,MATCH($G68,$B$6:$B$205,0)),"PARENT SEARCH NOT FOUND"),IFERROR(INDEX('Base Searches'!$E$6:$E$35,MATCH($F68,'Base Searches'!$B$6:$B$35,0)),"BASE NOT FOUND")))</x:f>
      </x:c>
      <x:c r="Q68" s="48" t="str">
        <x:f>IF(OR($A68&lt;&gt;"Yes",$B68=""),"",IF($H68&lt;&gt;"","| search "&amp;$H68,"")&amp;IF($I68&lt;&gt;"",IF($H68&lt;&gt;"",CHAR(10),"")&amp;$I68,"")&amp;IF($J68&lt;&gt;"",IF(OR($H68&lt;&gt;"",$I68&lt;&gt;""),CHAR(10),"")&amp;$J68,""))</x:f>
      </x:c>
      <x:c r="R68" s="48" t="str">
        <x:f>IF(OR($A68&lt;&gt;"Yes",$B68=""),"",IF($K68&lt;&gt;"Yes","Count disabled",IF($H68&lt;&gt;"","| search "&amp;$H68,"")&amp;IF($I68&lt;&gt;"",IF($H68&lt;&gt;"",CHAR(10),"")&amp;$I68,"")&amp;IF(OR($H68&lt;&gt;"",$I68&lt;&gt;""),CHAR(10),"")&amp;"| stats count as count"&amp;IF($L68&lt;&gt;""," by "&amp;$L68,"")&amp;IF($M68&lt;&gt;"",CHAR(10)&amp;"| where count &gt;= "&amp;$M68,"")&amp;CHAR(10)&amp;"| sort - count"))</x:f>
      </x:c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8" t="str">
        <x:f>IF($A69&lt;&gt;"Yes","",IF($G69&lt;&gt;"",IFERROR(INDEX($O$6:$O$205,MATCH($G69,$B$6:$B$205,0)),"PARENT SEARCH NOT FOUND"),IFERROR(INDEX('Base Searches'!$E$6:$E$35,MATCH($F69,'Base Searches'!$B$6:$B$35,0)),"BASE NOT FOUND")))</x:f>
      </x:c>
      <x:c r="Q69" s="48" t="str">
        <x:f>IF(OR($A69&lt;&gt;"Yes",$B69=""),"",IF($H69&lt;&gt;"","| search "&amp;$H69,"")&amp;IF($I69&lt;&gt;"",IF($H69&lt;&gt;"",CHAR(10),"")&amp;$I69,"")&amp;IF($J69&lt;&gt;"",IF(OR($H69&lt;&gt;"",$I69&lt;&gt;""),CHAR(10),"")&amp;$J69,""))</x:f>
      </x:c>
      <x:c r="R69" s="48" t="str">
        <x:f>IF(OR($A69&lt;&gt;"Yes",$B69=""),"",IF($K69&lt;&gt;"Yes","Count disabled",IF($H69&lt;&gt;"","| search "&amp;$H69,"")&amp;IF($I69&lt;&gt;"",IF($H69&lt;&gt;"",CHAR(10),"")&amp;$I69,"")&amp;IF(OR($H69&lt;&gt;"",$I69&lt;&gt;""),CHAR(10),"")&amp;"| stats count as count"&amp;IF($L69&lt;&gt;""," by "&amp;$L69,"")&amp;IF($M69&lt;&gt;"",CHAR(10)&amp;"| where count &gt;= "&amp;$M69,"")&amp;CHAR(10)&amp;"| sort - count"))</x:f>
      </x:c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8" t="str">
        <x:f>IF($A70&lt;&gt;"Yes","",IF($G70&lt;&gt;"",IFERROR(INDEX($O$6:$O$205,MATCH($G70,$B$6:$B$205,0)),"PARENT SEARCH NOT FOUND"),IFERROR(INDEX('Base Searches'!$E$6:$E$35,MATCH($F70,'Base Searches'!$B$6:$B$35,0)),"BASE NOT FOUND")))</x:f>
      </x:c>
      <x:c r="Q70" s="48" t="str">
        <x:f>IF(OR($A70&lt;&gt;"Yes",$B70=""),"",IF($H70&lt;&gt;"","| search "&amp;$H70,"")&amp;IF($I70&lt;&gt;"",IF($H70&lt;&gt;"",CHAR(10),"")&amp;$I70,"")&amp;IF($J70&lt;&gt;"",IF(OR($H70&lt;&gt;"",$I70&lt;&gt;""),CHAR(10),"")&amp;$J70,""))</x:f>
      </x:c>
      <x:c r="R70" s="48" t="str">
        <x:f>IF(OR($A70&lt;&gt;"Yes",$B70=""),"",IF($K70&lt;&gt;"Yes","Count disabled",IF($H70&lt;&gt;"","| search "&amp;$H70,"")&amp;IF($I70&lt;&gt;"",IF($H70&lt;&gt;"",CHAR(10),"")&amp;$I70,"")&amp;IF(OR($H70&lt;&gt;"",$I70&lt;&gt;""),CHAR(10),"")&amp;"| stats count as count"&amp;IF($L70&lt;&gt;""," by "&amp;$L70,"")&amp;IF($M70&lt;&gt;"",CHAR(10)&amp;"| where count &gt;= "&amp;$M70,"")&amp;CHAR(10)&amp;"| sort - count"))</x:f>
      </x:c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8" t="str">
        <x:f>IF($A71&lt;&gt;"Yes","",IF($G71&lt;&gt;"",IFERROR(INDEX($O$6:$O$205,MATCH($G71,$B$6:$B$205,0)),"PARENT SEARCH NOT FOUND"),IFERROR(INDEX('Base Searches'!$E$6:$E$35,MATCH($F71,'Base Searches'!$B$6:$B$35,0)),"BASE NOT FOUND")))</x:f>
      </x:c>
      <x:c r="Q71" s="48" t="str">
        <x:f>IF(OR($A71&lt;&gt;"Yes",$B71=""),"",IF($H71&lt;&gt;"","| search "&amp;$H71,"")&amp;IF($I71&lt;&gt;"",IF($H71&lt;&gt;"",CHAR(10),"")&amp;$I71,"")&amp;IF($J71&lt;&gt;"",IF(OR($H71&lt;&gt;"",$I71&lt;&gt;""),CHAR(10),"")&amp;$J71,""))</x:f>
      </x:c>
      <x:c r="R71" s="48" t="str">
        <x:f>IF(OR($A71&lt;&gt;"Yes",$B71=""),"",IF($K71&lt;&gt;"Yes","Count disabled",IF($H71&lt;&gt;"","| search "&amp;$H71,"")&amp;IF($I71&lt;&gt;"",IF($H71&lt;&gt;"",CHAR(10),"")&amp;$I71,"")&amp;IF(OR($H71&lt;&gt;"",$I71&lt;&gt;""),CHAR(10),"")&amp;"| stats count as count"&amp;IF($L71&lt;&gt;""," by "&amp;$L71,"")&amp;IF($M71&lt;&gt;"",CHAR(10)&amp;"| where count &gt;= "&amp;$M71,"")&amp;CHAR(10)&amp;"| sort - count"))</x:f>
      </x:c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8" t="str">
        <x:f>IF($A72&lt;&gt;"Yes","",IF($G72&lt;&gt;"",IFERROR(INDEX($O$6:$O$205,MATCH($G72,$B$6:$B$205,0)),"PARENT SEARCH NOT FOUND"),IFERROR(INDEX('Base Searches'!$E$6:$E$35,MATCH($F72,'Base Searches'!$B$6:$B$35,0)),"BASE NOT FOUND")))</x:f>
      </x:c>
      <x:c r="Q72" s="48" t="str">
        <x:f>IF(OR($A72&lt;&gt;"Yes",$B72=""),"",IF($H72&lt;&gt;"","| search "&amp;$H72,"")&amp;IF($I72&lt;&gt;"",IF($H72&lt;&gt;"",CHAR(10),"")&amp;$I72,"")&amp;IF($J72&lt;&gt;"",IF(OR($H72&lt;&gt;"",$I72&lt;&gt;""),CHAR(10),"")&amp;$J72,""))</x:f>
      </x:c>
      <x:c r="R72" s="48" t="str">
        <x:f>IF(OR($A72&lt;&gt;"Yes",$B72=""),"",IF($K72&lt;&gt;"Yes","Count disabled",IF($H72&lt;&gt;"","| search "&amp;$H72,"")&amp;IF($I72&lt;&gt;"",IF($H72&lt;&gt;"",CHAR(10),"")&amp;$I72,"")&amp;IF(OR($H72&lt;&gt;"",$I72&lt;&gt;""),CHAR(10),"")&amp;"| stats count as count"&amp;IF($L72&lt;&gt;""," by "&amp;$L72,"")&amp;IF($M72&lt;&gt;"",CHAR(10)&amp;"| where count &gt;= "&amp;$M72,"")&amp;CHAR(10)&amp;"| sort - count"))</x:f>
      </x:c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8" t="str">
        <x:f>IF($A73&lt;&gt;"Yes","",IF($G73&lt;&gt;"",IFERROR(INDEX($O$6:$O$205,MATCH($G73,$B$6:$B$205,0)),"PARENT SEARCH NOT FOUND"),IFERROR(INDEX('Base Searches'!$E$6:$E$35,MATCH($F73,'Base Searches'!$B$6:$B$35,0)),"BASE NOT FOUND")))</x:f>
      </x:c>
      <x:c r="Q73" s="48" t="str">
        <x:f>IF(OR($A73&lt;&gt;"Yes",$B73=""),"",IF($H73&lt;&gt;"","| search "&amp;$H73,"")&amp;IF($I73&lt;&gt;"",IF($H73&lt;&gt;"",CHAR(10),"")&amp;$I73,"")&amp;IF($J73&lt;&gt;"",IF(OR($H73&lt;&gt;"",$I73&lt;&gt;""),CHAR(10),"")&amp;$J73,""))</x:f>
      </x:c>
      <x:c r="R73" s="48" t="str">
        <x:f>IF(OR($A73&lt;&gt;"Yes",$B73=""),"",IF($K73&lt;&gt;"Yes","Count disabled",IF($H73&lt;&gt;"","| search "&amp;$H73,"")&amp;IF($I73&lt;&gt;"",IF($H73&lt;&gt;"",CHAR(10),"")&amp;$I73,"")&amp;IF(OR($H73&lt;&gt;"",$I73&lt;&gt;""),CHAR(10),"")&amp;"| stats count as count"&amp;IF($L73&lt;&gt;""," by "&amp;$L73,"")&amp;IF($M73&lt;&gt;"",CHAR(10)&amp;"| where count &gt;= "&amp;$M73,"")&amp;CHAR(10)&amp;"| sort - count"))</x:f>
      </x:c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8" t="str">
        <x:f>IF($A74&lt;&gt;"Yes","",IF($G74&lt;&gt;"",IFERROR(INDEX($O$6:$O$205,MATCH($G74,$B$6:$B$205,0)),"PARENT SEARCH NOT FOUND"),IFERROR(INDEX('Base Searches'!$E$6:$E$35,MATCH($F74,'Base Searches'!$B$6:$B$35,0)),"BASE NOT FOUND")))</x:f>
      </x:c>
      <x:c r="Q74" s="48" t="str">
        <x:f>IF(OR($A74&lt;&gt;"Yes",$B74=""),"",IF($H74&lt;&gt;"","| search "&amp;$H74,"")&amp;IF($I74&lt;&gt;"",IF($H74&lt;&gt;"",CHAR(10),"")&amp;$I74,"")&amp;IF($J74&lt;&gt;"",IF(OR($H74&lt;&gt;"",$I74&lt;&gt;""),CHAR(10),"")&amp;$J74,""))</x:f>
      </x:c>
      <x:c r="R74" s="48" t="str">
        <x:f>IF(OR($A74&lt;&gt;"Yes",$B74=""),"",IF($K74&lt;&gt;"Yes","Count disabled",IF($H74&lt;&gt;"","| search "&amp;$H74,"")&amp;IF($I74&lt;&gt;"",IF($H74&lt;&gt;"",CHAR(10),"")&amp;$I74,"")&amp;IF(OR($H74&lt;&gt;"",$I74&lt;&gt;""),CHAR(10),"")&amp;"| stats count as count"&amp;IF($L74&lt;&gt;""," by "&amp;$L74,"")&amp;IF($M74&lt;&gt;"",CHAR(10)&amp;"| where count &gt;= "&amp;$M74,"")&amp;CHAR(10)&amp;"| sort - count"))</x:f>
      </x:c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8" t="str">
        <x:f>IF($A75&lt;&gt;"Yes","",IF($G75&lt;&gt;"",IFERROR(INDEX($O$6:$O$205,MATCH($G75,$B$6:$B$205,0)),"PARENT SEARCH NOT FOUND"),IFERROR(INDEX('Base Searches'!$E$6:$E$35,MATCH($F75,'Base Searches'!$B$6:$B$35,0)),"BASE NOT FOUND")))</x:f>
      </x:c>
      <x:c r="Q75" s="48" t="str">
        <x:f>IF(OR($A75&lt;&gt;"Yes",$B75=""),"",IF($H75&lt;&gt;"","| search "&amp;$H75,"")&amp;IF($I75&lt;&gt;"",IF($H75&lt;&gt;"",CHAR(10),"")&amp;$I75,"")&amp;IF($J75&lt;&gt;"",IF(OR($H75&lt;&gt;"",$I75&lt;&gt;""),CHAR(10),"")&amp;$J75,""))</x:f>
      </x:c>
      <x:c r="R75" s="48" t="str">
        <x:f>IF(OR($A75&lt;&gt;"Yes",$B75=""),"",IF($K75&lt;&gt;"Yes","Count disabled",IF($H75&lt;&gt;"","| search "&amp;$H75,"")&amp;IF($I75&lt;&gt;"",IF($H75&lt;&gt;"",CHAR(10),"")&amp;$I75,"")&amp;IF(OR($H75&lt;&gt;"",$I75&lt;&gt;""),CHAR(10),"")&amp;"| stats count as count"&amp;IF($L75&lt;&gt;""," by "&amp;$L75,"")&amp;IF($M75&lt;&gt;"",CHAR(10)&amp;"| where count &gt;= "&amp;$M75,"")&amp;CHAR(10)&amp;"| sort - count"))</x:f>
      </x:c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8" t="str">
        <x:f>IF($A76&lt;&gt;"Yes","",IF($G76&lt;&gt;"",IFERROR(INDEX($O$6:$O$205,MATCH($G76,$B$6:$B$205,0)),"PARENT SEARCH NOT FOUND"),IFERROR(INDEX('Base Searches'!$E$6:$E$35,MATCH($F76,'Base Searches'!$B$6:$B$35,0)),"BASE NOT FOUND")))</x:f>
      </x:c>
      <x:c r="Q76" s="48" t="str">
        <x:f>IF(OR($A76&lt;&gt;"Yes",$B76=""),"",IF($H76&lt;&gt;"","| search "&amp;$H76,"")&amp;IF($I76&lt;&gt;"",IF($H76&lt;&gt;"",CHAR(10),"")&amp;$I76,"")&amp;IF($J76&lt;&gt;"",IF(OR($H76&lt;&gt;"",$I76&lt;&gt;""),CHAR(10),"")&amp;$J76,""))</x:f>
      </x:c>
      <x:c r="R76" s="48" t="str">
        <x:f>IF(OR($A76&lt;&gt;"Yes",$B76=""),"",IF($K76&lt;&gt;"Yes","Count disabled",IF($H76&lt;&gt;"","| search "&amp;$H76,"")&amp;IF($I76&lt;&gt;"",IF($H76&lt;&gt;"",CHAR(10),"")&amp;$I76,"")&amp;IF(OR($H76&lt;&gt;"",$I76&lt;&gt;""),CHAR(10),"")&amp;"| stats count as count"&amp;IF($L76&lt;&gt;""," by "&amp;$L76,"")&amp;IF($M76&lt;&gt;"",CHAR(10)&amp;"| where count &gt;= "&amp;$M76,"")&amp;CHAR(10)&amp;"| sort - count"))</x:f>
      </x:c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8" t="str">
        <x:f>IF($A77&lt;&gt;"Yes","",IF($G77&lt;&gt;"",IFERROR(INDEX($O$6:$O$205,MATCH($G77,$B$6:$B$205,0)),"PARENT SEARCH NOT FOUND"),IFERROR(INDEX('Base Searches'!$E$6:$E$35,MATCH($F77,'Base Searches'!$B$6:$B$35,0)),"BASE NOT FOUND")))</x:f>
      </x:c>
      <x:c r="Q77" s="48" t="str">
        <x:f>IF(OR($A77&lt;&gt;"Yes",$B77=""),"",IF($H77&lt;&gt;"","| search "&amp;$H77,"")&amp;IF($I77&lt;&gt;"",IF($H77&lt;&gt;"",CHAR(10),"")&amp;$I77,"")&amp;IF($J77&lt;&gt;"",IF(OR($H77&lt;&gt;"",$I77&lt;&gt;""),CHAR(10),"")&amp;$J77,""))</x:f>
      </x:c>
      <x:c r="R77" s="48" t="str">
        <x:f>IF(OR($A77&lt;&gt;"Yes",$B77=""),"",IF($K77&lt;&gt;"Yes","Count disabled",IF($H77&lt;&gt;"","| search "&amp;$H77,"")&amp;IF($I77&lt;&gt;"",IF($H77&lt;&gt;"",CHAR(10),"")&amp;$I77,"")&amp;IF(OR($H77&lt;&gt;"",$I77&lt;&gt;""),CHAR(10),"")&amp;"| stats count as count"&amp;IF($L77&lt;&gt;""," by "&amp;$L77,"")&amp;IF($M77&lt;&gt;"",CHAR(10)&amp;"| where count &gt;= "&amp;$M77,"")&amp;CHAR(10)&amp;"| sort - count"))</x:f>
      </x:c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8" t="str">
        <x:f>IF($A78&lt;&gt;"Yes","",IF($G78&lt;&gt;"",IFERROR(INDEX($O$6:$O$205,MATCH($G78,$B$6:$B$205,0)),"PARENT SEARCH NOT FOUND"),IFERROR(INDEX('Base Searches'!$E$6:$E$35,MATCH($F78,'Base Searches'!$B$6:$B$35,0)),"BASE NOT FOUND")))</x:f>
      </x:c>
      <x:c r="Q78" s="48" t="str">
        <x:f>IF(OR($A78&lt;&gt;"Yes",$B78=""),"",IF($H78&lt;&gt;"","| search "&amp;$H78,"")&amp;IF($I78&lt;&gt;"",IF($H78&lt;&gt;"",CHAR(10),"")&amp;$I78,"")&amp;IF($J78&lt;&gt;"",IF(OR($H78&lt;&gt;"",$I78&lt;&gt;""),CHAR(10),"")&amp;$J78,""))</x:f>
      </x:c>
      <x:c r="R78" s="48" t="str">
        <x:f>IF(OR($A78&lt;&gt;"Yes",$B78=""),"",IF($K78&lt;&gt;"Yes","Count disabled",IF($H78&lt;&gt;"","| search "&amp;$H78,"")&amp;IF($I78&lt;&gt;"",IF($H78&lt;&gt;"",CHAR(10),"")&amp;$I78,"")&amp;IF(OR($H78&lt;&gt;"",$I78&lt;&gt;""),CHAR(10),"")&amp;"| stats count as count"&amp;IF($L78&lt;&gt;""," by "&amp;$L78,"")&amp;IF($M78&lt;&gt;"",CHAR(10)&amp;"| where count &gt;= "&amp;$M78,"")&amp;CHAR(10)&amp;"| sort - count"))</x:f>
      </x:c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8" t="str">
        <x:f>IF($A79&lt;&gt;"Yes","",IF($G79&lt;&gt;"",IFERROR(INDEX($O$6:$O$205,MATCH($G79,$B$6:$B$205,0)),"PARENT SEARCH NOT FOUND"),IFERROR(INDEX('Base Searches'!$E$6:$E$35,MATCH($F79,'Base Searches'!$B$6:$B$35,0)),"BASE NOT FOUND")))</x:f>
      </x:c>
      <x:c r="Q79" s="48" t="str">
        <x:f>IF(OR($A79&lt;&gt;"Yes",$B79=""),"",IF($H79&lt;&gt;"","| search "&amp;$H79,"")&amp;IF($I79&lt;&gt;"",IF($H79&lt;&gt;"",CHAR(10),"")&amp;$I79,"")&amp;IF($J79&lt;&gt;"",IF(OR($H79&lt;&gt;"",$I79&lt;&gt;""),CHAR(10),"")&amp;$J79,""))</x:f>
      </x:c>
      <x:c r="R79" s="48" t="str">
        <x:f>IF(OR($A79&lt;&gt;"Yes",$B79=""),"",IF($K79&lt;&gt;"Yes","Count disabled",IF($H79&lt;&gt;"","| search "&amp;$H79,"")&amp;IF($I79&lt;&gt;"",IF($H79&lt;&gt;"",CHAR(10),"")&amp;$I79,"")&amp;IF(OR($H79&lt;&gt;"",$I79&lt;&gt;""),CHAR(10),"")&amp;"| stats count as count"&amp;IF($L79&lt;&gt;""," by "&amp;$L79,"")&amp;IF($M79&lt;&gt;"",CHAR(10)&amp;"| where count &gt;= "&amp;$M79,"")&amp;CHAR(10)&amp;"| sort - count"))</x:f>
      </x:c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8" t="str">
        <x:f>IF($A80&lt;&gt;"Yes","",IF($G80&lt;&gt;"",IFERROR(INDEX($O$6:$O$205,MATCH($G80,$B$6:$B$205,0)),"PARENT SEARCH NOT FOUND"),IFERROR(INDEX('Base Searches'!$E$6:$E$35,MATCH($F80,'Base Searches'!$B$6:$B$35,0)),"BASE NOT FOUND")))</x:f>
      </x:c>
      <x:c r="Q80" s="48" t="str">
        <x:f>IF(OR($A80&lt;&gt;"Yes",$B80=""),"",IF($H80&lt;&gt;"","| search "&amp;$H80,"")&amp;IF($I80&lt;&gt;"",IF($H80&lt;&gt;"",CHAR(10),"")&amp;$I80,"")&amp;IF($J80&lt;&gt;"",IF(OR($H80&lt;&gt;"",$I80&lt;&gt;""),CHAR(10),"")&amp;$J80,""))</x:f>
      </x:c>
      <x:c r="R80" s="48" t="str">
        <x:f>IF(OR($A80&lt;&gt;"Yes",$B80=""),"",IF($K80&lt;&gt;"Yes","Count disabled",IF($H80&lt;&gt;"","| search "&amp;$H80,"")&amp;IF($I80&lt;&gt;"",IF($H80&lt;&gt;"",CHAR(10),"")&amp;$I80,"")&amp;IF(OR($H80&lt;&gt;"",$I80&lt;&gt;""),CHAR(10),"")&amp;"| stats count as count"&amp;IF($L80&lt;&gt;""," by "&amp;$L80,"")&amp;IF($M80&lt;&gt;"",CHAR(10)&amp;"| where count &gt;= "&amp;$M80,"")&amp;CHAR(10)&amp;"| sort - count"))</x:f>
      </x:c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8" t="str">
        <x:f>IF($A81&lt;&gt;"Yes","",IF($G81&lt;&gt;"",IFERROR(INDEX($O$6:$O$205,MATCH($G81,$B$6:$B$205,0)),"PARENT SEARCH NOT FOUND"),IFERROR(INDEX('Base Searches'!$E$6:$E$35,MATCH($F81,'Base Searches'!$B$6:$B$35,0)),"BASE NOT FOUND")))</x:f>
      </x:c>
      <x:c r="Q81" s="48" t="str">
        <x:f>IF(OR($A81&lt;&gt;"Yes",$B81=""),"",IF($H81&lt;&gt;"","| search "&amp;$H81,"")&amp;IF($I81&lt;&gt;"",IF($H81&lt;&gt;"",CHAR(10),"")&amp;$I81,"")&amp;IF($J81&lt;&gt;"",IF(OR($H81&lt;&gt;"",$I81&lt;&gt;""),CHAR(10),"")&amp;$J81,""))</x:f>
      </x:c>
      <x:c r="R81" s="48" t="str">
        <x:f>IF(OR($A81&lt;&gt;"Yes",$B81=""),"",IF($K81&lt;&gt;"Yes","Count disabled",IF($H81&lt;&gt;"","| search "&amp;$H81,"")&amp;IF($I81&lt;&gt;"",IF($H81&lt;&gt;"",CHAR(10),"")&amp;$I81,"")&amp;IF(OR($H81&lt;&gt;"",$I81&lt;&gt;""),CHAR(10),"")&amp;"| stats count as count"&amp;IF($L81&lt;&gt;""," by "&amp;$L81,"")&amp;IF($M81&lt;&gt;"",CHAR(10)&amp;"| where count &gt;= "&amp;$M81,"")&amp;CHAR(10)&amp;"| sort - count"))</x:f>
      </x:c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8" t="str">
        <x:f>IF($A82&lt;&gt;"Yes","",IF($G82&lt;&gt;"",IFERROR(INDEX($O$6:$O$205,MATCH($G82,$B$6:$B$205,0)),"PARENT SEARCH NOT FOUND"),IFERROR(INDEX('Base Searches'!$E$6:$E$35,MATCH($F82,'Base Searches'!$B$6:$B$35,0)),"BASE NOT FOUND")))</x:f>
      </x:c>
      <x:c r="Q82" s="48" t="str">
        <x:f>IF(OR($A82&lt;&gt;"Yes",$B82=""),"",IF($H82&lt;&gt;"","| search "&amp;$H82,"")&amp;IF($I82&lt;&gt;"",IF($H82&lt;&gt;"",CHAR(10),"")&amp;$I82,"")&amp;IF($J82&lt;&gt;"",IF(OR($H82&lt;&gt;"",$I82&lt;&gt;""),CHAR(10),"")&amp;$J82,""))</x:f>
      </x:c>
      <x:c r="R82" s="48" t="str">
        <x:f>IF(OR($A82&lt;&gt;"Yes",$B82=""),"",IF($K82&lt;&gt;"Yes","Count disabled",IF($H82&lt;&gt;"","| search "&amp;$H82,"")&amp;IF($I82&lt;&gt;"",IF($H82&lt;&gt;"",CHAR(10),"")&amp;$I82,"")&amp;IF(OR($H82&lt;&gt;"",$I82&lt;&gt;""),CHAR(10),"")&amp;"| stats count as count"&amp;IF($L82&lt;&gt;""," by "&amp;$L82,"")&amp;IF($M82&lt;&gt;"",CHAR(10)&amp;"| where count &gt;= "&amp;$M82,"")&amp;CHAR(10)&amp;"| sort - count"))</x:f>
      </x:c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8" t="str">
        <x:f>IF($A83&lt;&gt;"Yes","",IF($G83&lt;&gt;"",IFERROR(INDEX($O$6:$O$205,MATCH($G83,$B$6:$B$205,0)),"PARENT SEARCH NOT FOUND"),IFERROR(INDEX('Base Searches'!$E$6:$E$35,MATCH($F83,'Base Searches'!$B$6:$B$35,0)),"BASE NOT FOUND")))</x:f>
      </x:c>
      <x:c r="Q83" s="48" t="str">
        <x:f>IF(OR($A83&lt;&gt;"Yes",$B83=""),"",IF($H83&lt;&gt;"","| search "&amp;$H83,"")&amp;IF($I83&lt;&gt;"",IF($H83&lt;&gt;"",CHAR(10),"")&amp;$I83,"")&amp;IF($J83&lt;&gt;"",IF(OR($H83&lt;&gt;"",$I83&lt;&gt;""),CHAR(10),"")&amp;$J83,""))</x:f>
      </x:c>
      <x:c r="R83" s="48" t="str">
        <x:f>IF(OR($A83&lt;&gt;"Yes",$B83=""),"",IF($K83&lt;&gt;"Yes","Count disabled",IF($H83&lt;&gt;"","| search "&amp;$H83,"")&amp;IF($I83&lt;&gt;"",IF($H83&lt;&gt;"",CHAR(10),"")&amp;$I83,"")&amp;IF(OR($H83&lt;&gt;"",$I83&lt;&gt;""),CHAR(10),"")&amp;"| stats count as count"&amp;IF($L83&lt;&gt;""," by "&amp;$L83,"")&amp;IF($M83&lt;&gt;"",CHAR(10)&amp;"| where count &gt;= "&amp;$M83,"")&amp;CHAR(10)&amp;"| sort - count"))</x:f>
      </x:c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8" t="str">
        <x:f>IF($A84&lt;&gt;"Yes","",IF($G84&lt;&gt;"",IFERROR(INDEX($O$6:$O$205,MATCH($G84,$B$6:$B$205,0)),"PARENT SEARCH NOT FOUND"),IFERROR(INDEX('Base Searches'!$E$6:$E$35,MATCH($F84,'Base Searches'!$B$6:$B$35,0)),"BASE NOT FOUND")))</x:f>
      </x:c>
      <x:c r="Q84" s="48" t="str">
        <x:f>IF(OR($A84&lt;&gt;"Yes",$B84=""),"",IF($H84&lt;&gt;"","| search "&amp;$H84,"")&amp;IF($I84&lt;&gt;"",IF($H84&lt;&gt;"",CHAR(10),"")&amp;$I84,"")&amp;IF($J84&lt;&gt;"",IF(OR($H84&lt;&gt;"",$I84&lt;&gt;""),CHAR(10),"")&amp;$J84,""))</x:f>
      </x:c>
      <x:c r="R84" s="48" t="str">
        <x:f>IF(OR($A84&lt;&gt;"Yes",$B84=""),"",IF($K84&lt;&gt;"Yes","Count disabled",IF($H84&lt;&gt;"","| search "&amp;$H84,"")&amp;IF($I84&lt;&gt;"",IF($H84&lt;&gt;"",CHAR(10),"")&amp;$I84,"")&amp;IF(OR($H84&lt;&gt;"",$I84&lt;&gt;""),CHAR(10),"")&amp;"| stats count as count"&amp;IF($L84&lt;&gt;""," by "&amp;$L84,"")&amp;IF($M84&lt;&gt;"",CHAR(10)&amp;"| where count &gt;= "&amp;$M84,"")&amp;CHAR(10)&amp;"| sort - count"))</x:f>
      </x:c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8" t="str">
        <x:f>IF($A85&lt;&gt;"Yes","",IF($G85&lt;&gt;"",IFERROR(INDEX($O$6:$O$205,MATCH($G85,$B$6:$B$205,0)),"PARENT SEARCH NOT FOUND"),IFERROR(INDEX('Base Searches'!$E$6:$E$35,MATCH($F85,'Base Searches'!$B$6:$B$35,0)),"BASE NOT FOUND")))</x:f>
      </x:c>
      <x:c r="Q85" s="48" t="str">
        <x:f>IF(OR($A85&lt;&gt;"Yes",$B85=""),"",IF($H85&lt;&gt;"","| search "&amp;$H85,"")&amp;IF($I85&lt;&gt;"",IF($H85&lt;&gt;"",CHAR(10),"")&amp;$I85,"")&amp;IF($J85&lt;&gt;"",IF(OR($H85&lt;&gt;"",$I85&lt;&gt;""),CHAR(10),"")&amp;$J85,""))</x:f>
      </x:c>
      <x:c r="R85" s="48" t="str">
        <x:f>IF(OR($A85&lt;&gt;"Yes",$B85=""),"",IF($K85&lt;&gt;"Yes","Count disabled",IF($H85&lt;&gt;"","| search "&amp;$H85,"")&amp;IF($I85&lt;&gt;"",IF($H85&lt;&gt;"",CHAR(10),"")&amp;$I85,"")&amp;IF(OR($H85&lt;&gt;"",$I85&lt;&gt;""),CHAR(10),"")&amp;"| stats count as count"&amp;IF($L85&lt;&gt;""," by "&amp;$L85,"")&amp;IF($M85&lt;&gt;"",CHAR(10)&amp;"| where count &gt;= "&amp;$M85,"")&amp;CHAR(10)&amp;"| sort - count"))</x:f>
      </x:c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8" t="str">
        <x:f>IF($A86&lt;&gt;"Yes","",IF($G86&lt;&gt;"",IFERROR(INDEX($O$6:$O$205,MATCH($G86,$B$6:$B$205,0)),"PARENT SEARCH NOT FOUND"),IFERROR(INDEX('Base Searches'!$E$6:$E$35,MATCH($F86,'Base Searches'!$B$6:$B$35,0)),"BASE NOT FOUND")))</x:f>
      </x:c>
      <x:c r="Q86" s="48" t="str">
        <x:f>IF(OR($A86&lt;&gt;"Yes",$B86=""),"",IF($H86&lt;&gt;"","| search "&amp;$H86,"")&amp;IF($I86&lt;&gt;"",IF($H86&lt;&gt;"",CHAR(10),"")&amp;$I86,"")&amp;IF($J86&lt;&gt;"",IF(OR($H86&lt;&gt;"",$I86&lt;&gt;""),CHAR(10),"")&amp;$J86,""))</x:f>
      </x:c>
      <x:c r="R86" s="48" t="str">
        <x:f>IF(OR($A86&lt;&gt;"Yes",$B86=""),"",IF($K86&lt;&gt;"Yes","Count disabled",IF($H86&lt;&gt;"","| search "&amp;$H86,"")&amp;IF($I86&lt;&gt;"",IF($H86&lt;&gt;"",CHAR(10),"")&amp;$I86,"")&amp;IF(OR($H86&lt;&gt;"",$I86&lt;&gt;""),CHAR(10),"")&amp;"| stats count as count"&amp;IF($L86&lt;&gt;""," by "&amp;$L86,"")&amp;IF($M86&lt;&gt;"",CHAR(10)&amp;"| where count &gt;= "&amp;$M86,"")&amp;CHAR(10)&amp;"| sort - count"))</x:f>
      </x:c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8" t="str">
        <x:f>IF($A87&lt;&gt;"Yes","",IF($G87&lt;&gt;"",IFERROR(INDEX($O$6:$O$205,MATCH($G87,$B$6:$B$205,0)),"PARENT SEARCH NOT FOUND"),IFERROR(INDEX('Base Searches'!$E$6:$E$35,MATCH($F87,'Base Searches'!$B$6:$B$35,0)),"BASE NOT FOUND")))</x:f>
      </x:c>
      <x:c r="Q87" s="48" t="str">
        <x:f>IF(OR($A87&lt;&gt;"Yes",$B87=""),"",IF($H87&lt;&gt;"","| search "&amp;$H87,"")&amp;IF($I87&lt;&gt;"",IF($H87&lt;&gt;"",CHAR(10),"")&amp;$I87,"")&amp;IF($J87&lt;&gt;"",IF(OR($H87&lt;&gt;"",$I87&lt;&gt;""),CHAR(10),"")&amp;$J87,""))</x:f>
      </x:c>
      <x:c r="R87" s="48" t="str">
        <x:f>IF(OR($A87&lt;&gt;"Yes",$B87=""),"",IF($K87&lt;&gt;"Yes","Count disabled",IF($H87&lt;&gt;"","| search "&amp;$H87,"")&amp;IF($I87&lt;&gt;"",IF($H87&lt;&gt;"",CHAR(10),"")&amp;$I87,"")&amp;IF(OR($H87&lt;&gt;"",$I87&lt;&gt;""),CHAR(10),"")&amp;"| stats count as count"&amp;IF($L87&lt;&gt;""," by "&amp;$L87,"")&amp;IF($M87&lt;&gt;"",CHAR(10)&amp;"| where count &gt;= "&amp;$M87,"")&amp;CHAR(10)&amp;"| sort - count"))</x:f>
      </x:c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8" t="str">
        <x:f>IF($A88&lt;&gt;"Yes","",IF($G88&lt;&gt;"",IFERROR(INDEX($O$6:$O$205,MATCH($G88,$B$6:$B$205,0)),"PARENT SEARCH NOT FOUND"),IFERROR(INDEX('Base Searches'!$E$6:$E$35,MATCH($F88,'Base Searches'!$B$6:$B$35,0)),"BASE NOT FOUND")))</x:f>
      </x:c>
      <x:c r="Q88" s="48" t="str">
        <x:f>IF(OR($A88&lt;&gt;"Yes",$B88=""),"",IF($H88&lt;&gt;"","| search "&amp;$H88,"")&amp;IF($I88&lt;&gt;"",IF($H88&lt;&gt;"",CHAR(10),"")&amp;$I88,"")&amp;IF($J88&lt;&gt;"",IF(OR($H88&lt;&gt;"",$I88&lt;&gt;""),CHAR(10),"")&amp;$J88,""))</x:f>
      </x:c>
      <x:c r="R88" s="48" t="str">
        <x:f>IF(OR($A88&lt;&gt;"Yes",$B88=""),"",IF($K88&lt;&gt;"Yes","Count disabled",IF($H88&lt;&gt;"","| search "&amp;$H88,"")&amp;IF($I88&lt;&gt;"",IF($H88&lt;&gt;"",CHAR(10),"")&amp;$I88,"")&amp;IF(OR($H88&lt;&gt;"",$I88&lt;&gt;""),CHAR(10),"")&amp;"| stats count as count"&amp;IF($L88&lt;&gt;""," by "&amp;$L88,"")&amp;IF($M88&lt;&gt;"",CHAR(10)&amp;"| where count &gt;= "&amp;$M88,"")&amp;CHAR(10)&amp;"| sort - count"))</x:f>
      </x:c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8" t="str">
        <x:f>IF($A89&lt;&gt;"Yes","",IF($G89&lt;&gt;"",IFERROR(INDEX($O$6:$O$205,MATCH($G89,$B$6:$B$205,0)),"PARENT SEARCH NOT FOUND"),IFERROR(INDEX('Base Searches'!$E$6:$E$35,MATCH($F89,'Base Searches'!$B$6:$B$35,0)),"BASE NOT FOUND")))</x:f>
      </x:c>
      <x:c r="Q89" s="48" t="str">
        <x:f>IF(OR($A89&lt;&gt;"Yes",$B89=""),"",IF($H89&lt;&gt;"","| search "&amp;$H89,"")&amp;IF($I89&lt;&gt;"",IF($H89&lt;&gt;"",CHAR(10),"")&amp;$I89,"")&amp;IF($J89&lt;&gt;"",IF(OR($H89&lt;&gt;"",$I89&lt;&gt;""),CHAR(10),"")&amp;$J89,""))</x:f>
      </x:c>
      <x:c r="R89" s="48" t="str">
        <x:f>IF(OR($A89&lt;&gt;"Yes",$B89=""),"",IF($K89&lt;&gt;"Yes","Count disabled",IF($H89&lt;&gt;"","| search "&amp;$H89,"")&amp;IF($I89&lt;&gt;"",IF($H89&lt;&gt;"",CHAR(10),"")&amp;$I89,"")&amp;IF(OR($H89&lt;&gt;"",$I89&lt;&gt;""),CHAR(10),"")&amp;"| stats count as count"&amp;IF($L89&lt;&gt;""," by "&amp;$L89,"")&amp;IF($M89&lt;&gt;"",CHAR(10)&amp;"| where count &gt;= "&amp;$M89,"")&amp;CHAR(10)&amp;"| sort - count"))</x:f>
      </x:c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8" t="str">
        <x:f>IF($A90&lt;&gt;"Yes","",IF($G90&lt;&gt;"",IFERROR(INDEX($O$6:$O$205,MATCH($G90,$B$6:$B$205,0)),"PARENT SEARCH NOT FOUND"),IFERROR(INDEX('Base Searches'!$E$6:$E$35,MATCH($F90,'Base Searches'!$B$6:$B$35,0)),"BASE NOT FOUND")))</x:f>
      </x:c>
      <x:c r="Q90" s="48" t="str">
        <x:f>IF(OR($A90&lt;&gt;"Yes",$B90=""),"",IF($H90&lt;&gt;"","| search "&amp;$H90,"")&amp;IF($I90&lt;&gt;"",IF($H90&lt;&gt;"",CHAR(10),"")&amp;$I90,"")&amp;IF($J90&lt;&gt;"",IF(OR($H90&lt;&gt;"",$I90&lt;&gt;""),CHAR(10),"")&amp;$J90,""))</x:f>
      </x:c>
      <x:c r="R90" s="48" t="str">
        <x:f>IF(OR($A90&lt;&gt;"Yes",$B90=""),"",IF($K90&lt;&gt;"Yes","Count disabled",IF($H90&lt;&gt;"","| search "&amp;$H90,"")&amp;IF($I90&lt;&gt;"",IF($H90&lt;&gt;"",CHAR(10),"")&amp;$I90,"")&amp;IF(OR($H90&lt;&gt;"",$I90&lt;&gt;""),CHAR(10),"")&amp;"| stats count as count"&amp;IF($L90&lt;&gt;""," by "&amp;$L90,"")&amp;IF($M90&lt;&gt;"",CHAR(10)&amp;"| where count &gt;= "&amp;$M90,"")&amp;CHAR(10)&amp;"| sort - count"))</x:f>
      </x:c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8" t="str">
        <x:f>IF($A91&lt;&gt;"Yes","",IF($G91&lt;&gt;"",IFERROR(INDEX($O$6:$O$205,MATCH($G91,$B$6:$B$205,0)),"PARENT SEARCH NOT FOUND"),IFERROR(INDEX('Base Searches'!$E$6:$E$35,MATCH($F91,'Base Searches'!$B$6:$B$35,0)),"BASE NOT FOUND")))</x:f>
      </x:c>
      <x:c r="Q91" s="48" t="str">
        <x:f>IF(OR($A91&lt;&gt;"Yes",$B91=""),"",IF($H91&lt;&gt;"","| search "&amp;$H91,"")&amp;IF($I91&lt;&gt;"",IF($H91&lt;&gt;"",CHAR(10),"")&amp;$I91,"")&amp;IF($J91&lt;&gt;"",IF(OR($H91&lt;&gt;"",$I91&lt;&gt;""),CHAR(10),"")&amp;$J91,""))</x:f>
      </x:c>
      <x:c r="R91" s="48" t="str">
        <x:f>IF(OR($A91&lt;&gt;"Yes",$B91=""),"",IF($K91&lt;&gt;"Yes","Count disabled",IF($H91&lt;&gt;"","| search "&amp;$H91,"")&amp;IF($I91&lt;&gt;"",IF($H91&lt;&gt;"",CHAR(10),"")&amp;$I91,"")&amp;IF(OR($H91&lt;&gt;"",$I91&lt;&gt;""),CHAR(10),"")&amp;"| stats count as count"&amp;IF($L91&lt;&gt;""," by "&amp;$L91,"")&amp;IF($M91&lt;&gt;"",CHAR(10)&amp;"| where count &gt;= "&amp;$M91,"")&amp;CHAR(10)&amp;"| sort - count"))</x:f>
      </x:c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8" t="str">
        <x:f>IF($A92&lt;&gt;"Yes","",IF($G92&lt;&gt;"",IFERROR(INDEX($O$6:$O$205,MATCH($G92,$B$6:$B$205,0)),"PARENT SEARCH NOT FOUND"),IFERROR(INDEX('Base Searches'!$E$6:$E$35,MATCH($F92,'Base Searches'!$B$6:$B$35,0)),"BASE NOT FOUND")))</x:f>
      </x:c>
      <x:c r="Q92" s="48" t="str">
        <x:f>IF(OR($A92&lt;&gt;"Yes",$B92=""),"",IF($H92&lt;&gt;"","| search "&amp;$H92,"")&amp;IF($I92&lt;&gt;"",IF($H92&lt;&gt;"",CHAR(10),"")&amp;$I92,"")&amp;IF($J92&lt;&gt;"",IF(OR($H92&lt;&gt;"",$I92&lt;&gt;""),CHAR(10),"")&amp;$J92,""))</x:f>
      </x:c>
      <x:c r="R92" s="48" t="str">
        <x:f>IF(OR($A92&lt;&gt;"Yes",$B92=""),"",IF($K92&lt;&gt;"Yes","Count disabled",IF($H92&lt;&gt;"","| search "&amp;$H92,"")&amp;IF($I92&lt;&gt;"",IF($H92&lt;&gt;"",CHAR(10),"")&amp;$I92,"")&amp;IF(OR($H92&lt;&gt;"",$I92&lt;&gt;""),CHAR(10),"")&amp;"| stats count as count"&amp;IF($L92&lt;&gt;""," by "&amp;$L92,"")&amp;IF($M92&lt;&gt;"",CHAR(10)&amp;"| where count &gt;= "&amp;$M92,"")&amp;CHAR(10)&amp;"| sort - count"))</x:f>
      </x:c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8" t="str">
        <x:f>IF($A93&lt;&gt;"Yes","",IF($G93&lt;&gt;"",IFERROR(INDEX($O$6:$O$205,MATCH($G93,$B$6:$B$205,0)),"PARENT SEARCH NOT FOUND"),IFERROR(INDEX('Base Searches'!$E$6:$E$35,MATCH($F93,'Base Searches'!$B$6:$B$35,0)),"BASE NOT FOUND")))</x:f>
      </x:c>
      <x:c r="Q93" s="48" t="str">
        <x:f>IF(OR($A93&lt;&gt;"Yes",$B93=""),"",IF($H93&lt;&gt;"","| search "&amp;$H93,"")&amp;IF($I93&lt;&gt;"",IF($H93&lt;&gt;"",CHAR(10),"")&amp;$I93,"")&amp;IF($J93&lt;&gt;"",IF(OR($H93&lt;&gt;"",$I93&lt;&gt;""),CHAR(10),"")&amp;$J93,""))</x:f>
      </x:c>
      <x:c r="R93" s="48" t="str">
        <x:f>IF(OR($A93&lt;&gt;"Yes",$B93=""),"",IF($K93&lt;&gt;"Yes","Count disabled",IF($H93&lt;&gt;"","| search "&amp;$H93,"")&amp;IF($I93&lt;&gt;"",IF($H93&lt;&gt;"",CHAR(10),"")&amp;$I93,"")&amp;IF(OR($H93&lt;&gt;"",$I93&lt;&gt;""),CHAR(10),"")&amp;"| stats count as count"&amp;IF($L93&lt;&gt;""," by "&amp;$L93,"")&amp;IF($M93&lt;&gt;"",CHAR(10)&amp;"| where count &gt;= "&amp;$M93,"")&amp;CHAR(10)&amp;"| sort - count"))</x:f>
      </x:c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8" t="str">
        <x:f>IF($A94&lt;&gt;"Yes","",IF($G94&lt;&gt;"",IFERROR(INDEX($O$6:$O$205,MATCH($G94,$B$6:$B$205,0)),"PARENT SEARCH NOT FOUND"),IFERROR(INDEX('Base Searches'!$E$6:$E$35,MATCH($F94,'Base Searches'!$B$6:$B$35,0)),"BASE NOT FOUND")))</x:f>
      </x:c>
      <x:c r="Q94" s="48" t="str">
        <x:f>IF(OR($A94&lt;&gt;"Yes",$B94=""),"",IF($H94&lt;&gt;"","| search "&amp;$H94,"")&amp;IF($I94&lt;&gt;"",IF($H94&lt;&gt;"",CHAR(10),"")&amp;$I94,"")&amp;IF($J94&lt;&gt;"",IF(OR($H94&lt;&gt;"",$I94&lt;&gt;""),CHAR(10),"")&amp;$J94,""))</x:f>
      </x:c>
      <x:c r="R94" s="48" t="str">
        <x:f>IF(OR($A94&lt;&gt;"Yes",$B94=""),"",IF($K94&lt;&gt;"Yes","Count disabled",IF($H94&lt;&gt;"","| search "&amp;$H94,"")&amp;IF($I94&lt;&gt;"",IF($H94&lt;&gt;"",CHAR(10),"")&amp;$I94,"")&amp;IF(OR($H94&lt;&gt;"",$I94&lt;&gt;""),CHAR(10),"")&amp;"| stats count as count"&amp;IF($L94&lt;&gt;""," by "&amp;$L94,"")&amp;IF($M94&lt;&gt;"",CHAR(10)&amp;"| where count &gt;= "&amp;$M94,"")&amp;CHAR(10)&amp;"| sort - count"))</x:f>
      </x:c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8" t="str">
        <x:f>IF($A95&lt;&gt;"Yes","",IF($G95&lt;&gt;"",IFERROR(INDEX($O$6:$O$205,MATCH($G95,$B$6:$B$205,0)),"PARENT SEARCH NOT FOUND"),IFERROR(INDEX('Base Searches'!$E$6:$E$35,MATCH($F95,'Base Searches'!$B$6:$B$35,0)),"BASE NOT FOUND")))</x:f>
      </x:c>
      <x:c r="Q95" s="48" t="str">
        <x:f>IF(OR($A95&lt;&gt;"Yes",$B95=""),"",IF($H95&lt;&gt;"","| search "&amp;$H95,"")&amp;IF($I95&lt;&gt;"",IF($H95&lt;&gt;"",CHAR(10),"")&amp;$I95,"")&amp;IF($J95&lt;&gt;"",IF(OR($H95&lt;&gt;"",$I95&lt;&gt;""),CHAR(10),"")&amp;$J95,""))</x:f>
      </x:c>
      <x:c r="R95" s="48" t="str">
        <x:f>IF(OR($A95&lt;&gt;"Yes",$B95=""),"",IF($K95&lt;&gt;"Yes","Count disabled",IF($H95&lt;&gt;"","| search "&amp;$H95,"")&amp;IF($I95&lt;&gt;"",IF($H95&lt;&gt;"",CHAR(10),"")&amp;$I95,"")&amp;IF(OR($H95&lt;&gt;"",$I95&lt;&gt;""),CHAR(10),"")&amp;"| stats count as count"&amp;IF($L95&lt;&gt;""," by "&amp;$L95,"")&amp;IF($M95&lt;&gt;"",CHAR(10)&amp;"| where count &gt;= "&amp;$M95,"")&amp;CHAR(10)&amp;"| sort - count"))</x:f>
      </x:c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8" t="str">
        <x:f>IF($A96&lt;&gt;"Yes","",IF($G96&lt;&gt;"",IFERROR(INDEX($O$6:$O$205,MATCH($G96,$B$6:$B$205,0)),"PARENT SEARCH NOT FOUND"),IFERROR(INDEX('Base Searches'!$E$6:$E$35,MATCH($F96,'Base Searches'!$B$6:$B$35,0)),"BASE NOT FOUND")))</x:f>
      </x:c>
      <x:c r="Q96" s="48" t="str">
        <x:f>IF(OR($A96&lt;&gt;"Yes",$B96=""),"",IF($H96&lt;&gt;"","| search "&amp;$H96,"")&amp;IF($I96&lt;&gt;"",IF($H96&lt;&gt;"",CHAR(10),"")&amp;$I96,"")&amp;IF($J96&lt;&gt;"",IF(OR($H96&lt;&gt;"",$I96&lt;&gt;""),CHAR(10),"")&amp;$J96,""))</x:f>
      </x:c>
      <x:c r="R96" s="48" t="str">
        <x:f>IF(OR($A96&lt;&gt;"Yes",$B96=""),"",IF($K96&lt;&gt;"Yes","Count disabled",IF($H96&lt;&gt;"","| search "&amp;$H96,"")&amp;IF($I96&lt;&gt;"",IF($H96&lt;&gt;"",CHAR(10),"")&amp;$I96,"")&amp;IF(OR($H96&lt;&gt;"",$I96&lt;&gt;""),CHAR(10),"")&amp;"| stats count as count"&amp;IF($L96&lt;&gt;""," by "&amp;$L96,"")&amp;IF($M96&lt;&gt;"",CHAR(10)&amp;"| where count &gt;= "&amp;$M96,"")&amp;CHAR(10)&amp;"| sort - count"))</x:f>
      </x:c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8" t="str">
        <x:f>IF($A97&lt;&gt;"Yes","",IF($G97&lt;&gt;"",IFERROR(INDEX($O$6:$O$205,MATCH($G97,$B$6:$B$205,0)),"PARENT SEARCH NOT FOUND"),IFERROR(INDEX('Base Searches'!$E$6:$E$35,MATCH($F97,'Base Searches'!$B$6:$B$35,0)),"BASE NOT FOUND")))</x:f>
      </x:c>
      <x:c r="Q97" s="48" t="str">
        <x:f>IF(OR($A97&lt;&gt;"Yes",$B97=""),"",IF($H97&lt;&gt;"","| search "&amp;$H97,"")&amp;IF($I97&lt;&gt;"",IF($H97&lt;&gt;"",CHAR(10),"")&amp;$I97,"")&amp;IF($J97&lt;&gt;"",IF(OR($H97&lt;&gt;"",$I97&lt;&gt;""),CHAR(10),"")&amp;$J97,""))</x:f>
      </x:c>
      <x:c r="R97" s="48" t="str">
        <x:f>IF(OR($A97&lt;&gt;"Yes",$B97=""),"",IF($K97&lt;&gt;"Yes","Count disabled",IF($H97&lt;&gt;"","| search "&amp;$H97,"")&amp;IF($I97&lt;&gt;"",IF($H97&lt;&gt;"",CHAR(10),"")&amp;$I97,"")&amp;IF(OR($H97&lt;&gt;"",$I97&lt;&gt;""),CHAR(10),"")&amp;"| stats count as count"&amp;IF($L97&lt;&gt;""," by "&amp;$L97,"")&amp;IF($M97&lt;&gt;"",CHAR(10)&amp;"| where count &gt;= "&amp;$M97,"")&amp;CHAR(10)&amp;"| sort - count"))</x:f>
      </x:c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8" t="str">
        <x:f>IF($A98&lt;&gt;"Yes","",IF($G98&lt;&gt;"",IFERROR(INDEX($O$6:$O$205,MATCH($G98,$B$6:$B$205,0)),"PARENT SEARCH NOT FOUND"),IFERROR(INDEX('Base Searches'!$E$6:$E$35,MATCH($F98,'Base Searches'!$B$6:$B$35,0)),"BASE NOT FOUND")))</x:f>
      </x:c>
      <x:c r="Q98" s="48" t="str">
        <x:f>IF(OR($A98&lt;&gt;"Yes",$B98=""),"",IF($H98&lt;&gt;"","| search "&amp;$H98,"")&amp;IF($I98&lt;&gt;"",IF($H98&lt;&gt;"",CHAR(10),"")&amp;$I98,"")&amp;IF($J98&lt;&gt;"",IF(OR($H98&lt;&gt;"",$I98&lt;&gt;""),CHAR(10),"")&amp;$J98,""))</x:f>
      </x:c>
      <x:c r="R98" s="48" t="str">
        <x:f>IF(OR($A98&lt;&gt;"Yes",$B98=""),"",IF($K98&lt;&gt;"Yes","Count disabled",IF($H98&lt;&gt;"","| search "&amp;$H98,"")&amp;IF($I98&lt;&gt;"",IF($H98&lt;&gt;"",CHAR(10),"")&amp;$I98,"")&amp;IF(OR($H98&lt;&gt;"",$I98&lt;&gt;""),CHAR(10),"")&amp;"| stats count as count"&amp;IF($L98&lt;&gt;""," by "&amp;$L98,"")&amp;IF($M98&lt;&gt;"",CHAR(10)&amp;"| where count &gt;= "&amp;$M98,"")&amp;CHAR(10)&amp;"| sort - count"))</x:f>
      </x:c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8" t="str">
        <x:f>IF($A99&lt;&gt;"Yes","",IF($G99&lt;&gt;"",IFERROR(INDEX($O$6:$O$205,MATCH($G99,$B$6:$B$205,0)),"PARENT SEARCH NOT FOUND"),IFERROR(INDEX('Base Searches'!$E$6:$E$35,MATCH($F99,'Base Searches'!$B$6:$B$35,0)),"BASE NOT FOUND")))</x:f>
      </x:c>
      <x:c r="Q99" s="48" t="str">
        <x:f>IF(OR($A99&lt;&gt;"Yes",$B99=""),"",IF($H99&lt;&gt;"","| search "&amp;$H99,"")&amp;IF($I99&lt;&gt;"",IF($H99&lt;&gt;"",CHAR(10),"")&amp;$I99,"")&amp;IF($J99&lt;&gt;"",IF(OR($H99&lt;&gt;"",$I99&lt;&gt;""),CHAR(10),"")&amp;$J99,""))</x:f>
      </x:c>
      <x:c r="R99" s="48" t="str">
        <x:f>IF(OR($A99&lt;&gt;"Yes",$B99=""),"",IF($K99&lt;&gt;"Yes","Count disabled",IF($H99&lt;&gt;"","| search "&amp;$H99,"")&amp;IF($I99&lt;&gt;"",IF($H99&lt;&gt;"",CHAR(10),"")&amp;$I99,"")&amp;IF(OR($H99&lt;&gt;"",$I99&lt;&gt;""),CHAR(10),"")&amp;"| stats count as count"&amp;IF($L99&lt;&gt;""," by "&amp;$L99,"")&amp;IF($M99&lt;&gt;"",CHAR(10)&amp;"| where count &gt;= "&amp;$M99,"")&amp;CHAR(10)&amp;"| sort - count"))</x:f>
      </x:c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8" t="str">
        <x:f>IF($A100&lt;&gt;"Yes","",IF($G100&lt;&gt;"",IFERROR(INDEX($O$6:$O$205,MATCH($G100,$B$6:$B$205,0)),"PARENT SEARCH NOT FOUND"),IFERROR(INDEX('Base Searches'!$E$6:$E$35,MATCH($F100,'Base Searches'!$B$6:$B$35,0)),"BASE NOT FOUND")))</x:f>
      </x:c>
      <x:c r="Q100" s="48" t="str">
        <x:f>IF(OR($A100&lt;&gt;"Yes",$B100=""),"",IF($H100&lt;&gt;"","| search "&amp;$H100,"")&amp;IF($I100&lt;&gt;"",IF($H100&lt;&gt;"",CHAR(10),"")&amp;$I100,"")&amp;IF($J100&lt;&gt;"",IF(OR($H100&lt;&gt;"",$I100&lt;&gt;""),CHAR(10),"")&amp;$J100,""))</x:f>
      </x:c>
      <x:c r="R100" s="48" t="str">
        <x:f>IF(OR($A100&lt;&gt;"Yes",$B100=""),"",IF($K100&lt;&gt;"Yes","Count disabled",IF($H100&lt;&gt;"","| search "&amp;$H100,"")&amp;IF($I100&lt;&gt;"",IF($H100&lt;&gt;"",CHAR(10),"")&amp;$I100,"")&amp;IF(OR($H100&lt;&gt;"",$I100&lt;&gt;""),CHAR(10),"")&amp;"| stats count as count"&amp;IF($L100&lt;&gt;""," by "&amp;$L100,"")&amp;IF($M100&lt;&gt;"",CHAR(10)&amp;"| where count &gt;= "&amp;$M100,"")&amp;CHAR(10)&amp;"| sort - count"))</x:f>
      </x:c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8" t="str">
        <x:f>IF($A101&lt;&gt;"Yes","",IF($G101&lt;&gt;"",IFERROR(INDEX($O$6:$O$205,MATCH($G101,$B$6:$B$205,0)),"PARENT SEARCH NOT FOUND"),IFERROR(INDEX('Base Searches'!$E$6:$E$35,MATCH($F101,'Base Searches'!$B$6:$B$35,0)),"BASE NOT FOUND")))</x:f>
      </x:c>
      <x:c r="Q101" s="48" t="str">
        <x:f>IF(OR($A101&lt;&gt;"Yes",$B101=""),"",IF($H101&lt;&gt;"","| search "&amp;$H101,"")&amp;IF($I101&lt;&gt;"",IF($H101&lt;&gt;"",CHAR(10),"")&amp;$I101,"")&amp;IF($J101&lt;&gt;"",IF(OR($H101&lt;&gt;"",$I101&lt;&gt;""),CHAR(10),"")&amp;$J101,""))</x:f>
      </x:c>
      <x:c r="R101" s="48" t="str">
        <x:f>IF(OR($A101&lt;&gt;"Yes",$B101=""),"",IF($K101&lt;&gt;"Yes","Count disabled",IF($H101&lt;&gt;"","| search "&amp;$H101,"")&amp;IF($I101&lt;&gt;"",IF($H101&lt;&gt;"",CHAR(10),"")&amp;$I101,"")&amp;IF(OR($H101&lt;&gt;"",$I101&lt;&gt;""),CHAR(10),"")&amp;"| stats count as count"&amp;IF($L101&lt;&gt;""," by "&amp;$L101,"")&amp;IF($M101&lt;&gt;"",CHAR(10)&amp;"| where count &gt;= "&amp;$M101,"")&amp;CHAR(10)&amp;"| sort - count"))</x:f>
      </x:c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8" t="str">
        <x:f>IF($A102&lt;&gt;"Yes","",IF($G102&lt;&gt;"",IFERROR(INDEX($O$6:$O$205,MATCH($G102,$B$6:$B$205,0)),"PARENT SEARCH NOT FOUND"),IFERROR(INDEX('Base Searches'!$E$6:$E$35,MATCH($F102,'Base Searches'!$B$6:$B$35,0)),"BASE NOT FOUND")))</x:f>
      </x:c>
      <x:c r="Q102" s="48" t="str">
        <x:f>IF(OR($A102&lt;&gt;"Yes",$B102=""),"",IF($H102&lt;&gt;"","| search "&amp;$H102,"")&amp;IF($I102&lt;&gt;"",IF($H102&lt;&gt;"",CHAR(10),"")&amp;$I102,"")&amp;IF($J102&lt;&gt;"",IF(OR($H102&lt;&gt;"",$I102&lt;&gt;""),CHAR(10),"")&amp;$J102,""))</x:f>
      </x:c>
      <x:c r="R102" s="48" t="str">
        <x:f>IF(OR($A102&lt;&gt;"Yes",$B102=""),"",IF($K102&lt;&gt;"Yes","Count disabled",IF($H102&lt;&gt;"","| search "&amp;$H102,"")&amp;IF($I102&lt;&gt;"",IF($H102&lt;&gt;"",CHAR(10),"")&amp;$I102,"")&amp;IF(OR($H102&lt;&gt;"",$I102&lt;&gt;""),CHAR(10),"")&amp;"| stats count as count"&amp;IF($L102&lt;&gt;""," by "&amp;$L102,"")&amp;IF($M102&lt;&gt;"",CHAR(10)&amp;"| where count &gt;= "&amp;$M102,"")&amp;CHAR(10)&amp;"| sort - count"))</x:f>
      </x:c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8" t="str">
        <x:f>IF($A103&lt;&gt;"Yes","",IF($G103&lt;&gt;"",IFERROR(INDEX($O$6:$O$205,MATCH($G103,$B$6:$B$205,0)),"PARENT SEARCH NOT FOUND"),IFERROR(INDEX('Base Searches'!$E$6:$E$35,MATCH($F103,'Base Searches'!$B$6:$B$35,0)),"BASE NOT FOUND")))</x:f>
      </x:c>
      <x:c r="Q103" s="48" t="str">
        <x:f>IF(OR($A103&lt;&gt;"Yes",$B103=""),"",IF($H103&lt;&gt;"","| search "&amp;$H103,"")&amp;IF($I103&lt;&gt;"",IF($H103&lt;&gt;"",CHAR(10),"")&amp;$I103,"")&amp;IF($J103&lt;&gt;"",IF(OR($H103&lt;&gt;"",$I103&lt;&gt;""),CHAR(10),"")&amp;$J103,""))</x:f>
      </x:c>
      <x:c r="R103" s="48" t="str">
        <x:f>IF(OR($A103&lt;&gt;"Yes",$B103=""),"",IF($K103&lt;&gt;"Yes","Count disabled",IF($H103&lt;&gt;"","| search "&amp;$H103,"")&amp;IF($I103&lt;&gt;"",IF($H103&lt;&gt;"",CHAR(10),"")&amp;$I103,"")&amp;IF(OR($H103&lt;&gt;"",$I103&lt;&gt;""),CHAR(10),"")&amp;"| stats count as count"&amp;IF($L103&lt;&gt;""," by "&amp;$L103,"")&amp;IF($M103&lt;&gt;"",CHAR(10)&amp;"| where count &gt;= "&amp;$M103,"")&amp;CHAR(10)&amp;"| sort - count"))</x:f>
      </x:c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8" t="str">
        <x:f>IF($A104&lt;&gt;"Yes","",IF($G104&lt;&gt;"",IFERROR(INDEX($O$6:$O$205,MATCH($G104,$B$6:$B$205,0)),"PARENT SEARCH NOT FOUND"),IFERROR(INDEX('Base Searches'!$E$6:$E$35,MATCH($F104,'Base Searches'!$B$6:$B$35,0)),"BASE NOT FOUND")))</x:f>
      </x:c>
      <x:c r="Q104" s="48" t="str">
        <x:f>IF(OR($A104&lt;&gt;"Yes",$B104=""),"",IF($H104&lt;&gt;"","| search "&amp;$H104,"")&amp;IF($I104&lt;&gt;"",IF($H104&lt;&gt;"",CHAR(10),"")&amp;$I104,"")&amp;IF($J104&lt;&gt;"",IF(OR($H104&lt;&gt;"",$I104&lt;&gt;""),CHAR(10),"")&amp;$J104,""))</x:f>
      </x:c>
      <x:c r="R104" s="48" t="str">
        <x:f>IF(OR($A104&lt;&gt;"Yes",$B104=""),"",IF($K104&lt;&gt;"Yes","Count disabled",IF($H104&lt;&gt;"","| search "&amp;$H104,"")&amp;IF($I104&lt;&gt;"",IF($H104&lt;&gt;"",CHAR(10),"")&amp;$I104,"")&amp;IF(OR($H104&lt;&gt;"",$I104&lt;&gt;""),CHAR(10),"")&amp;"| stats count as count"&amp;IF($L104&lt;&gt;""," by "&amp;$L104,"")&amp;IF($M104&lt;&gt;"",CHAR(10)&amp;"| where count &gt;= "&amp;$M104,"")&amp;CHAR(10)&amp;"| sort - count"))</x:f>
      </x:c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8" t="str">
        <x:f>IF($A105&lt;&gt;"Yes","",IF($G105&lt;&gt;"",IFERROR(INDEX($O$6:$O$205,MATCH($G105,$B$6:$B$205,0)),"PARENT SEARCH NOT FOUND"),IFERROR(INDEX('Base Searches'!$E$6:$E$35,MATCH($F105,'Base Searches'!$B$6:$B$35,0)),"BASE NOT FOUND")))</x:f>
      </x:c>
      <x:c r="Q105" s="48" t="str">
        <x:f>IF(OR($A105&lt;&gt;"Yes",$B105=""),"",IF($H105&lt;&gt;"","| search "&amp;$H105,"")&amp;IF($I105&lt;&gt;"",IF($H105&lt;&gt;"",CHAR(10),"")&amp;$I105,"")&amp;IF($J105&lt;&gt;"",IF(OR($H105&lt;&gt;"",$I105&lt;&gt;""),CHAR(10),"")&amp;$J105,""))</x:f>
      </x:c>
      <x:c r="R105" s="48" t="str">
        <x:f>IF(OR($A105&lt;&gt;"Yes",$B105=""),"",IF($K105&lt;&gt;"Yes","Count disabled",IF($H105&lt;&gt;"","| search "&amp;$H105,"")&amp;IF($I105&lt;&gt;"",IF($H105&lt;&gt;"",CHAR(10),"")&amp;$I105,"")&amp;IF(OR($H105&lt;&gt;"",$I105&lt;&gt;""),CHAR(10),"")&amp;"| stats count as count"&amp;IF($L105&lt;&gt;""," by "&amp;$L105,"")&amp;IF($M105&lt;&gt;"",CHAR(10)&amp;"| where count &gt;= "&amp;$M105,"")&amp;CHAR(10)&amp;"| sort - count"))</x:f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8" t="str">
        <x:f>IF($A106&lt;&gt;"Yes","",IF($G106&lt;&gt;"",IFERROR(INDEX($O$6:$O$205,MATCH($G106,$B$6:$B$205,0)),"PARENT SEARCH NOT FOUND"),IFERROR(INDEX('Base Searches'!$E$6:$E$35,MATCH($F106,'Base Searches'!$B$6:$B$35,0)),"BASE NOT FOUND")))</x:f>
      </x:c>
      <x:c r="Q106" s="48" t="str">
        <x:f>IF(OR($A106&lt;&gt;"Yes",$B106=""),"",IF($H106&lt;&gt;"","| search "&amp;$H106,"")&amp;IF($I106&lt;&gt;"",IF($H106&lt;&gt;"",CHAR(10),"")&amp;$I106,"")&amp;IF($J106&lt;&gt;"",IF(OR($H106&lt;&gt;"",$I106&lt;&gt;""),CHAR(10),"")&amp;$J106,""))</x:f>
      </x:c>
      <x:c r="R106" s="48" t="str">
        <x:f>IF(OR($A106&lt;&gt;"Yes",$B106=""),"",IF($K106&lt;&gt;"Yes","Count disabled",IF($H106&lt;&gt;"","| search "&amp;$H106,"")&amp;IF($I106&lt;&gt;"",IF($H106&lt;&gt;"",CHAR(10),"")&amp;$I106,"")&amp;IF(OR($H106&lt;&gt;"",$I106&lt;&gt;""),CHAR(10),"")&amp;"| stats count as count"&amp;IF($L106&lt;&gt;""," by "&amp;$L106,"")&amp;IF($M106&lt;&gt;"",CHAR(10)&amp;"| where count &gt;= "&amp;$M106,"")&amp;CHAR(10)&amp;"| sort - count"))</x:f>
      </x:c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8" t="str">
        <x:f>IF($A107&lt;&gt;"Yes","",IF($G107&lt;&gt;"",IFERROR(INDEX($O$6:$O$205,MATCH($G107,$B$6:$B$205,0)),"PARENT SEARCH NOT FOUND"),IFERROR(INDEX('Base Searches'!$E$6:$E$35,MATCH($F107,'Base Searches'!$B$6:$B$35,0)),"BASE NOT FOUND")))</x:f>
      </x:c>
      <x:c r="Q107" s="48" t="str">
        <x:f>IF(OR($A107&lt;&gt;"Yes",$B107=""),"",IF($H107&lt;&gt;"","| search "&amp;$H107,"")&amp;IF($I107&lt;&gt;"",IF($H107&lt;&gt;"",CHAR(10),"")&amp;$I107,"")&amp;IF($J107&lt;&gt;"",IF(OR($H107&lt;&gt;"",$I107&lt;&gt;""),CHAR(10),"")&amp;$J107,""))</x:f>
      </x:c>
      <x:c r="R107" s="48" t="str">
        <x:f>IF(OR($A107&lt;&gt;"Yes",$B107=""),"",IF($K107&lt;&gt;"Yes","Count disabled",IF($H107&lt;&gt;"","| search "&amp;$H107,"")&amp;IF($I107&lt;&gt;"",IF($H107&lt;&gt;"",CHAR(10),"")&amp;$I107,"")&amp;IF(OR($H107&lt;&gt;"",$I107&lt;&gt;""),CHAR(10),"")&amp;"| stats count as count"&amp;IF($L107&lt;&gt;""," by "&amp;$L107,"")&amp;IF($M107&lt;&gt;"",CHAR(10)&amp;"| where count &gt;= "&amp;$M107,"")&amp;CHAR(10)&amp;"| sort - count"))</x:f>
      </x:c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8" t="str">
        <x:f>IF($A108&lt;&gt;"Yes","",IF($G108&lt;&gt;"",IFERROR(INDEX($O$6:$O$205,MATCH($G108,$B$6:$B$205,0)),"PARENT SEARCH NOT FOUND"),IFERROR(INDEX('Base Searches'!$E$6:$E$35,MATCH($F108,'Base Searches'!$B$6:$B$35,0)),"BASE NOT FOUND")))</x:f>
      </x:c>
      <x:c r="Q108" s="48" t="str">
        <x:f>IF(OR($A108&lt;&gt;"Yes",$B108=""),"",IF($H108&lt;&gt;"","| search "&amp;$H108,"")&amp;IF($I108&lt;&gt;"",IF($H108&lt;&gt;"",CHAR(10),"")&amp;$I108,"")&amp;IF($J108&lt;&gt;"",IF(OR($H108&lt;&gt;"",$I108&lt;&gt;""),CHAR(10),"")&amp;$J108,""))</x:f>
      </x:c>
      <x:c r="R108" s="48" t="str">
        <x:f>IF(OR($A108&lt;&gt;"Yes",$B108=""),"",IF($K108&lt;&gt;"Yes","Count disabled",IF($H108&lt;&gt;"","| search "&amp;$H108,"")&amp;IF($I108&lt;&gt;"",IF($H108&lt;&gt;"",CHAR(10),"")&amp;$I108,"")&amp;IF(OR($H108&lt;&gt;"",$I108&lt;&gt;""),CHAR(10),"")&amp;"| stats count as count"&amp;IF($L108&lt;&gt;""," by "&amp;$L108,"")&amp;IF($M108&lt;&gt;"",CHAR(10)&amp;"| where count &gt;= "&amp;$M108,"")&amp;CHAR(10)&amp;"| sort - count"))</x:f>
      </x:c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8" t="str">
        <x:f>IF($A109&lt;&gt;"Yes","",IF($G109&lt;&gt;"",IFERROR(INDEX($O$6:$O$205,MATCH($G109,$B$6:$B$205,0)),"PARENT SEARCH NOT FOUND"),IFERROR(INDEX('Base Searches'!$E$6:$E$35,MATCH($F109,'Base Searches'!$B$6:$B$35,0)),"BASE NOT FOUND")))</x:f>
      </x:c>
      <x:c r="Q109" s="48" t="str">
        <x:f>IF(OR($A109&lt;&gt;"Yes",$B109=""),"",IF($H109&lt;&gt;"","| search "&amp;$H109,"")&amp;IF($I109&lt;&gt;"",IF($H109&lt;&gt;"",CHAR(10),"")&amp;$I109,"")&amp;IF($J109&lt;&gt;"",IF(OR($H109&lt;&gt;"",$I109&lt;&gt;""),CHAR(10),"")&amp;$J109,""))</x:f>
      </x:c>
      <x:c r="R109" s="48" t="str">
        <x:f>IF(OR($A109&lt;&gt;"Yes",$B109=""),"",IF($K109&lt;&gt;"Yes","Count disabled",IF($H109&lt;&gt;"","| search "&amp;$H109,"")&amp;IF($I109&lt;&gt;"",IF($H109&lt;&gt;"",CHAR(10),"")&amp;$I109,"")&amp;IF(OR($H109&lt;&gt;"",$I109&lt;&gt;""),CHAR(10),"")&amp;"| stats count as count"&amp;IF($L109&lt;&gt;""," by "&amp;$L109,"")&amp;IF($M109&lt;&gt;"",CHAR(10)&amp;"| where count &gt;= "&amp;$M109,"")&amp;CHAR(10)&amp;"| sort - count"))</x:f>
      </x:c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8" t="str">
        <x:f>IF($A110&lt;&gt;"Yes","",IF($G110&lt;&gt;"",IFERROR(INDEX($O$6:$O$205,MATCH($G110,$B$6:$B$205,0)),"PARENT SEARCH NOT FOUND"),IFERROR(INDEX('Base Searches'!$E$6:$E$35,MATCH($F110,'Base Searches'!$B$6:$B$35,0)),"BASE NOT FOUND")))</x:f>
      </x:c>
      <x:c r="Q110" s="48" t="str">
        <x:f>IF(OR($A110&lt;&gt;"Yes",$B110=""),"",IF($H110&lt;&gt;"","| search "&amp;$H110,"")&amp;IF($I110&lt;&gt;"",IF($H110&lt;&gt;"",CHAR(10),"")&amp;$I110,"")&amp;IF($J110&lt;&gt;"",IF(OR($H110&lt;&gt;"",$I110&lt;&gt;""),CHAR(10),"")&amp;$J110,""))</x:f>
      </x:c>
      <x:c r="R110" s="48" t="str">
        <x:f>IF(OR($A110&lt;&gt;"Yes",$B110=""),"",IF($K110&lt;&gt;"Yes","Count disabled",IF($H110&lt;&gt;"","| search "&amp;$H110,"")&amp;IF($I110&lt;&gt;"",IF($H110&lt;&gt;"",CHAR(10),"")&amp;$I110,"")&amp;IF(OR($H110&lt;&gt;"",$I110&lt;&gt;""),CHAR(10),"")&amp;"| stats count as count"&amp;IF($L110&lt;&gt;""," by "&amp;$L110,"")&amp;IF($M110&lt;&gt;"",CHAR(10)&amp;"| where count &gt;= "&amp;$M110,"")&amp;CHAR(10)&amp;"| sort - count"))</x:f>
      </x:c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8" t="str">
        <x:f>IF($A111&lt;&gt;"Yes","",IF($G111&lt;&gt;"",IFERROR(INDEX($O$6:$O$205,MATCH($G111,$B$6:$B$205,0)),"PARENT SEARCH NOT FOUND"),IFERROR(INDEX('Base Searches'!$E$6:$E$35,MATCH($F111,'Base Searches'!$B$6:$B$35,0)),"BASE NOT FOUND")))</x:f>
      </x:c>
      <x:c r="Q111" s="48" t="str">
        <x:f>IF(OR($A111&lt;&gt;"Yes",$B111=""),"",IF($H111&lt;&gt;"","| search "&amp;$H111,"")&amp;IF($I111&lt;&gt;"",IF($H111&lt;&gt;"",CHAR(10),"")&amp;$I111,"")&amp;IF($J111&lt;&gt;"",IF(OR($H111&lt;&gt;"",$I111&lt;&gt;""),CHAR(10),"")&amp;$J111,""))</x:f>
      </x:c>
      <x:c r="R111" s="48" t="str">
        <x:f>IF(OR($A111&lt;&gt;"Yes",$B111=""),"",IF($K111&lt;&gt;"Yes","Count disabled",IF($H111&lt;&gt;"","| search "&amp;$H111,"")&amp;IF($I111&lt;&gt;"",IF($H111&lt;&gt;"",CHAR(10),"")&amp;$I111,"")&amp;IF(OR($H111&lt;&gt;"",$I111&lt;&gt;""),CHAR(10),"")&amp;"| stats count as count"&amp;IF($L111&lt;&gt;""," by "&amp;$L111,"")&amp;IF($M111&lt;&gt;"",CHAR(10)&amp;"| where count &gt;= "&amp;$M111,"")&amp;CHAR(10)&amp;"| sort - count"))</x:f>
      </x:c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8" t="str">
        <x:f>IF($A112&lt;&gt;"Yes","",IF($G112&lt;&gt;"",IFERROR(INDEX($O$6:$O$205,MATCH($G112,$B$6:$B$205,0)),"PARENT SEARCH NOT FOUND"),IFERROR(INDEX('Base Searches'!$E$6:$E$35,MATCH($F112,'Base Searches'!$B$6:$B$35,0)),"BASE NOT FOUND")))</x:f>
      </x:c>
      <x:c r="Q112" s="48" t="str">
        <x:f>IF(OR($A112&lt;&gt;"Yes",$B112=""),"",IF($H112&lt;&gt;"","| search "&amp;$H112,"")&amp;IF($I112&lt;&gt;"",IF($H112&lt;&gt;"",CHAR(10),"")&amp;$I112,"")&amp;IF($J112&lt;&gt;"",IF(OR($H112&lt;&gt;"",$I112&lt;&gt;""),CHAR(10),"")&amp;$J112,""))</x:f>
      </x:c>
      <x:c r="R112" s="48" t="str">
        <x:f>IF(OR($A112&lt;&gt;"Yes",$B112=""),"",IF($K112&lt;&gt;"Yes","Count disabled",IF($H112&lt;&gt;"","| search "&amp;$H112,"")&amp;IF($I112&lt;&gt;"",IF($H112&lt;&gt;"",CHAR(10),"")&amp;$I112,"")&amp;IF(OR($H112&lt;&gt;"",$I112&lt;&gt;""),CHAR(10),"")&amp;"| stats count as count"&amp;IF($L112&lt;&gt;""," by "&amp;$L112,"")&amp;IF($M112&lt;&gt;"",CHAR(10)&amp;"| where count &gt;= "&amp;$M112,"")&amp;CHAR(10)&amp;"| sort - count"))</x:f>
      </x:c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8" t="str">
        <x:f>IF($A113&lt;&gt;"Yes","",IF($G113&lt;&gt;"",IFERROR(INDEX($O$6:$O$205,MATCH($G113,$B$6:$B$205,0)),"PARENT SEARCH NOT FOUND"),IFERROR(INDEX('Base Searches'!$E$6:$E$35,MATCH($F113,'Base Searches'!$B$6:$B$35,0)),"BASE NOT FOUND")))</x:f>
      </x:c>
      <x:c r="Q113" s="48" t="str">
        <x:f>IF(OR($A113&lt;&gt;"Yes",$B113=""),"",IF($H113&lt;&gt;"","| search "&amp;$H113,"")&amp;IF($I113&lt;&gt;"",IF($H113&lt;&gt;"",CHAR(10),"")&amp;$I113,"")&amp;IF($J113&lt;&gt;"",IF(OR($H113&lt;&gt;"",$I113&lt;&gt;""),CHAR(10),"")&amp;$J113,""))</x:f>
      </x:c>
      <x:c r="R113" s="48" t="str">
        <x:f>IF(OR($A113&lt;&gt;"Yes",$B113=""),"",IF($K113&lt;&gt;"Yes","Count disabled",IF($H113&lt;&gt;"","| search "&amp;$H113,"")&amp;IF($I113&lt;&gt;"",IF($H113&lt;&gt;"",CHAR(10),"")&amp;$I113,"")&amp;IF(OR($H113&lt;&gt;"",$I113&lt;&gt;""),CHAR(10),"")&amp;"| stats count as count"&amp;IF($L113&lt;&gt;""," by "&amp;$L113,"")&amp;IF($M113&lt;&gt;"",CHAR(10)&amp;"| where count &gt;= "&amp;$M113,"")&amp;CHAR(10)&amp;"| sort - count"))</x:f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8" t="str">
        <x:f>IF($A114&lt;&gt;"Yes","",IF($G114&lt;&gt;"",IFERROR(INDEX($O$6:$O$205,MATCH($G114,$B$6:$B$205,0)),"PARENT SEARCH NOT FOUND"),IFERROR(INDEX('Base Searches'!$E$6:$E$35,MATCH($F114,'Base Searches'!$B$6:$B$35,0)),"BASE NOT FOUND")))</x:f>
      </x:c>
      <x:c r="Q114" s="48" t="str">
        <x:f>IF(OR($A114&lt;&gt;"Yes",$B114=""),"",IF($H114&lt;&gt;"","| search "&amp;$H114,"")&amp;IF($I114&lt;&gt;"",IF($H114&lt;&gt;"",CHAR(10),"")&amp;$I114,"")&amp;IF($J114&lt;&gt;"",IF(OR($H114&lt;&gt;"",$I114&lt;&gt;""),CHAR(10),"")&amp;$J114,""))</x:f>
      </x:c>
      <x:c r="R114" s="48" t="str">
        <x:f>IF(OR($A114&lt;&gt;"Yes",$B114=""),"",IF($K114&lt;&gt;"Yes","Count disabled",IF($H114&lt;&gt;"","| search "&amp;$H114,"")&amp;IF($I114&lt;&gt;"",IF($H114&lt;&gt;"",CHAR(10),"")&amp;$I114,"")&amp;IF(OR($H114&lt;&gt;"",$I114&lt;&gt;""),CHAR(10),"")&amp;"| stats count as count"&amp;IF($L114&lt;&gt;""," by "&amp;$L114,"")&amp;IF($M114&lt;&gt;"",CHAR(10)&amp;"| where count &gt;= "&amp;$M114,"")&amp;CHAR(10)&amp;"| sort - count"))</x:f>
      </x:c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8" t="str">
        <x:f>IF($A115&lt;&gt;"Yes","",IF($G115&lt;&gt;"",IFERROR(INDEX($O$6:$O$205,MATCH($G115,$B$6:$B$205,0)),"PARENT SEARCH NOT FOUND"),IFERROR(INDEX('Base Searches'!$E$6:$E$35,MATCH($F115,'Base Searches'!$B$6:$B$35,0)),"BASE NOT FOUND")))</x:f>
      </x:c>
      <x:c r="Q115" s="48" t="str">
        <x:f>IF(OR($A115&lt;&gt;"Yes",$B115=""),"",IF($H115&lt;&gt;"","| search "&amp;$H115,"")&amp;IF($I115&lt;&gt;"",IF($H115&lt;&gt;"",CHAR(10),"")&amp;$I115,"")&amp;IF($J115&lt;&gt;"",IF(OR($H115&lt;&gt;"",$I115&lt;&gt;""),CHAR(10),"")&amp;$J115,""))</x:f>
      </x:c>
      <x:c r="R115" s="48" t="str">
        <x:f>IF(OR($A115&lt;&gt;"Yes",$B115=""),"",IF($K115&lt;&gt;"Yes","Count disabled",IF($H115&lt;&gt;"","| search "&amp;$H115,"")&amp;IF($I115&lt;&gt;"",IF($H115&lt;&gt;"",CHAR(10),"")&amp;$I115,"")&amp;IF(OR($H115&lt;&gt;"",$I115&lt;&gt;""),CHAR(10),"")&amp;"| stats count as count"&amp;IF($L115&lt;&gt;""," by "&amp;$L115,"")&amp;IF($M115&lt;&gt;"",CHAR(10)&amp;"| where count &gt;= "&amp;$M115,"")&amp;CHAR(10)&amp;"| sort - count"))</x:f>
      </x:c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8" t="str">
        <x:f>IF($A116&lt;&gt;"Yes","",IF($G116&lt;&gt;"",IFERROR(INDEX($O$6:$O$205,MATCH($G116,$B$6:$B$205,0)),"PARENT SEARCH NOT FOUND"),IFERROR(INDEX('Base Searches'!$E$6:$E$35,MATCH($F116,'Base Searches'!$B$6:$B$35,0)),"BASE NOT FOUND")))</x:f>
      </x:c>
      <x:c r="Q116" s="48" t="str">
        <x:f>IF(OR($A116&lt;&gt;"Yes",$B116=""),"",IF($H116&lt;&gt;"","| search "&amp;$H116,"")&amp;IF($I116&lt;&gt;"",IF($H116&lt;&gt;"",CHAR(10),"")&amp;$I116,"")&amp;IF($J116&lt;&gt;"",IF(OR($H116&lt;&gt;"",$I116&lt;&gt;""),CHAR(10),"")&amp;$J116,""))</x:f>
      </x:c>
      <x:c r="R116" s="48" t="str">
        <x:f>IF(OR($A116&lt;&gt;"Yes",$B116=""),"",IF($K116&lt;&gt;"Yes","Count disabled",IF($H116&lt;&gt;"","| search "&amp;$H116,"")&amp;IF($I116&lt;&gt;"",IF($H116&lt;&gt;"",CHAR(10),"")&amp;$I116,"")&amp;IF(OR($H116&lt;&gt;"",$I116&lt;&gt;""),CHAR(10),"")&amp;"| stats count as count"&amp;IF($L116&lt;&gt;""," by "&amp;$L116,"")&amp;IF($M116&lt;&gt;"",CHAR(10)&amp;"| where count &gt;= "&amp;$M116,"")&amp;CHAR(10)&amp;"| sort - count"))</x:f>
      </x:c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8" t="str">
        <x:f>IF($A117&lt;&gt;"Yes","",IF($G117&lt;&gt;"",IFERROR(INDEX($O$6:$O$205,MATCH($G117,$B$6:$B$205,0)),"PARENT SEARCH NOT FOUND"),IFERROR(INDEX('Base Searches'!$E$6:$E$35,MATCH($F117,'Base Searches'!$B$6:$B$35,0)),"BASE NOT FOUND")))</x:f>
      </x:c>
      <x:c r="Q117" s="48" t="str">
        <x:f>IF(OR($A117&lt;&gt;"Yes",$B117=""),"",IF($H117&lt;&gt;"","| search "&amp;$H117,"")&amp;IF($I117&lt;&gt;"",IF($H117&lt;&gt;"",CHAR(10),"")&amp;$I117,"")&amp;IF($J117&lt;&gt;"",IF(OR($H117&lt;&gt;"",$I117&lt;&gt;""),CHAR(10),"")&amp;$J117,""))</x:f>
      </x:c>
      <x:c r="R117" s="48" t="str">
        <x:f>IF(OR($A117&lt;&gt;"Yes",$B117=""),"",IF($K117&lt;&gt;"Yes","Count disabled",IF($H117&lt;&gt;"","| search "&amp;$H117,"")&amp;IF($I117&lt;&gt;"",IF($H117&lt;&gt;"",CHAR(10),"")&amp;$I117,"")&amp;IF(OR($H117&lt;&gt;"",$I117&lt;&gt;""),CHAR(10),"")&amp;"| stats count as count"&amp;IF($L117&lt;&gt;""," by "&amp;$L117,"")&amp;IF($M117&lt;&gt;"",CHAR(10)&amp;"| where count &gt;= "&amp;$M117,"")&amp;CHAR(10)&amp;"| sort - count"))</x:f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8" t="str">
        <x:f>IF($A118&lt;&gt;"Yes","",IF($G118&lt;&gt;"",IFERROR(INDEX($O$6:$O$205,MATCH($G118,$B$6:$B$205,0)),"PARENT SEARCH NOT FOUND"),IFERROR(INDEX('Base Searches'!$E$6:$E$35,MATCH($F118,'Base Searches'!$B$6:$B$35,0)),"BASE NOT FOUND")))</x:f>
      </x:c>
      <x:c r="Q118" s="48" t="str">
        <x:f>IF(OR($A118&lt;&gt;"Yes",$B118=""),"",IF($H118&lt;&gt;"","| search "&amp;$H118,"")&amp;IF($I118&lt;&gt;"",IF($H118&lt;&gt;"",CHAR(10),"")&amp;$I118,"")&amp;IF($J118&lt;&gt;"",IF(OR($H118&lt;&gt;"",$I118&lt;&gt;""),CHAR(10),"")&amp;$J118,""))</x:f>
      </x:c>
      <x:c r="R118" s="48" t="str">
        <x:f>IF(OR($A118&lt;&gt;"Yes",$B118=""),"",IF($K118&lt;&gt;"Yes","Count disabled",IF($H118&lt;&gt;"","| search "&amp;$H118,"")&amp;IF($I118&lt;&gt;"",IF($H118&lt;&gt;"",CHAR(10),"")&amp;$I118,"")&amp;IF(OR($H118&lt;&gt;"",$I118&lt;&gt;""),CHAR(10),"")&amp;"| stats count as count"&amp;IF($L118&lt;&gt;""," by "&amp;$L118,"")&amp;IF($M118&lt;&gt;"",CHAR(10)&amp;"| where count &gt;= "&amp;$M118,"")&amp;CHAR(10)&amp;"| sort - count"))</x:f>
      </x:c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8" t="str">
        <x:f>IF($A119&lt;&gt;"Yes","",IF($G119&lt;&gt;"",IFERROR(INDEX($O$6:$O$205,MATCH($G119,$B$6:$B$205,0)),"PARENT SEARCH NOT FOUND"),IFERROR(INDEX('Base Searches'!$E$6:$E$35,MATCH($F119,'Base Searches'!$B$6:$B$35,0)),"BASE NOT FOUND")))</x:f>
      </x:c>
      <x:c r="Q119" s="48" t="str">
        <x:f>IF(OR($A119&lt;&gt;"Yes",$B119=""),"",IF($H119&lt;&gt;"","| search "&amp;$H119,"")&amp;IF($I119&lt;&gt;"",IF($H119&lt;&gt;"",CHAR(10),"")&amp;$I119,"")&amp;IF($J119&lt;&gt;"",IF(OR($H119&lt;&gt;"",$I119&lt;&gt;""),CHAR(10),"")&amp;$J119,""))</x:f>
      </x:c>
      <x:c r="R119" s="48" t="str">
        <x:f>IF(OR($A119&lt;&gt;"Yes",$B119=""),"",IF($K119&lt;&gt;"Yes","Count disabled",IF($H119&lt;&gt;"","| search "&amp;$H119,"")&amp;IF($I119&lt;&gt;"",IF($H119&lt;&gt;"",CHAR(10),"")&amp;$I119,"")&amp;IF(OR($H119&lt;&gt;"",$I119&lt;&gt;""),CHAR(10),"")&amp;"| stats count as count"&amp;IF($L119&lt;&gt;""," by "&amp;$L119,"")&amp;IF($M119&lt;&gt;"",CHAR(10)&amp;"| where count &gt;= "&amp;$M119,"")&amp;CHAR(10)&amp;"| sort - count"))</x:f>
      </x:c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8" t="str">
        <x:f>IF($A120&lt;&gt;"Yes","",IF($G120&lt;&gt;"",IFERROR(INDEX($O$6:$O$205,MATCH($G120,$B$6:$B$205,0)),"PARENT SEARCH NOT FOUND"),IFERROR(INDEX('Base Searches'!$E$6:$E$35,MATCH($F120,'Base Searches'!$B$6:$B$35,0)),"BASE NOT FOUND")))</x:f>
      </x:c>
      <x:c r="Q120" s="48" t="str">
        <x:f>IF(OR($A120&lt;&gt;"Yes",$B120=""),"",IF($H120&lt;&gt;"","| search "&amp;$H120,"")&amp;IF($I120&lt;&gt;"",IF($H120&lt;&gt;"",CHAR(10),"")&amp;$I120,"")&amp;IF($J120&lt;&gt;"",IF(OR($H120&lt;&gt;"",$I120&lt;&gt;""),CHAR(10),"")&amp;$J120,""))</x:f>
      </x:c>
      <x:c r="R120" s="48" t="str">
        <x:f>IF(OR($A120&lt;&gt;"Yes",$B120=""),"",IF($K120&lt;&gt;"Yes","Count disabled",IF($H120&lt;&gt;"","| search "&amp;$H120,"")&amp;IF($I120&lt;&gt;"",IF($H120&lt;&gt;"",CHAR(10),"")&amp;$I120,"")&amp;IF(OR($H120&lt;&gt;"",$I120&lt;&gt;""),CHAR(10),"")&amp;"| stats count as count"&amp;IF($L120&lt;&gt;""," by "&amp;$L120,"")&amp;IF($M120&lt;&gt;"",CHAR(10)&amp;"| where count &gt;= "&amp;$M120,"")&amp;CHAR(10)&amp;"| sort - count"))</x:f>
      </x:c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8" t="str">
        <x:f>IF($A121&lt;&gt;"Yes","",IF($G121&lt;&gt;"",IFERROR(INDEX($O$6:$O$205,MATCH($G121,$B$6:$B$205,0)),"PARENT SEARCH NOT FOUND"),IFERROR(INDEX('Base Searches'!$E$6:$E$35,MATCH($F121,'Base Searches'!$B$6:$B$35,0)),"BASE NOT FOUND")))</x:f>
      </x:c>
      <x:c r="Q121" s="48" t="str">
        <x:f>IF(OR($A121&lt;&gt;"Yes",$B121=""),"",IF($H121&lt;&gt;"","| search "&amp;$H121,"")&amp;IF($I121&lt;&gt;"",IF($H121&lt;&gt;"",CHAR(10),"")&amp;$I121,"")&amp;IF($J121&lt;&gt;"",IF(OR($H121&lt;&gt;"",$I121&lt;&gt;""),CHAR(10),"")&amp;$J121,""))</x:f>
      </x:c>
      <x:c r="R121" s="48" t="str">
        <x:f>IF(OR($A121&lt;&gt;"Yes",$B121=""),"",IF($K121&lt;&gt;"Yes","Count disabled",IF($H121&lt;&gt;"","| search "&amp;$H121,"")&amp;IF($I121&lt;&gt;"",IF($H121&lt;&gt;"",CHAR(10),"")&amp;$I121,"")&amp;IF(OR($H121&lt;&gt;"",$I121&lt;&gt;""),CHAR(10),"")&amp;"| stats count as count"&amp;IF($L121&lt;&gt;""," by "&amp;$L121,"")&amp;IF($M121&lt;&gt;"",CHAR(10)&amp;"| where count &gt;= "&amp;$M121,"")&amp;CHAR(10)&amp;"| sort - count"))</x:f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8" t="str">
        <x:f>IF($A122&lt;&gt;"Yes","",IF($G122&lt;&gt;"",IFERROR(INDEX($O$6:$O$205,MATCH($G122,$B$6:$B$205,0)),"PARENT SEARCH NOT FOUND"),IFERROR(INDEX('Base Searches'!$E$6:$E$35,MATCH($F122,'Base Searches'!$B$6:$B$35,0)),"BASE NOT FOUND")))</x:f>
      </x:c>
      <x:c r="Q122" s="48" t="str">
        <x:f>IF(OR($A122&lt;&gt;"Yes",$B122=""),"",IF($H122&lt;&gt;"","| search "&amp;$H122,"")&amp;IF($I122&lt;&gt;"",IF($H122&lt;&gt;"",CHAR(10),"")&amp;$I122,"")&amp;IF($J122&lt;&gt;"",IF(OR($H122&lt;&gt;"",$I122&lt;&gt;""),CHAR(10),"")&amp;$J122,""))</x:f>
      </x:c>
      <x:c r="R122" s="48" t="str">
        <x:f>IF(OR($A122&lt;&gt;"Yes",$B122=""),"",IF($K122&lt;&gt;"Yes","Count disabled",IF($H122&lt;&gt;"","| search "&amp;$H122,"")&amp;IF($I122&lt;&gt;"",IF($H122&lt;&gt;"",CHAR(10),"")&amp;$I122,"")&amp;IF(OR($H122&lt;&gt;"",$I122&lt;&gt;""),CHAR(10),"")&amp;"| stats count as count"&amp;IF($L122&lt;&gt;""," by "&amp;$L122,"")&amp;IF($M122&lt;&gt;"",CHAR(10)&amp;"| where count &gt;= "&amp;$M122,"")&amp;CHAR(10)&amp;"| sort - count"))</x:f>
      </x:c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8" t="str">
        <x:f>IF($A123&lt;&gt;"Yes","",IF($G123&lt;&gt;"",IFERROR(INDEX($O$6:$O$205,MATCH($G123,$B$6:$B$205,0)),"PARENT SEARCH NOT FOUND"),IFERROR(INDEX('Base Searches'!$E$6:$E$35,MATCH($F123,'Base Searches'!$B$6:$B$35,0)),"BASE NOT FOUND")))</x:f>
      </x:c>
      <x:c r="Q123" s="48" t="str">
        <x:f>IF(OR($A123&lt;&gt;"Yes",$B123=""),"",IF($H123&lt;&gt;"","| search "&amp;$H123,"")&amp;IF($I123&lt;&gt;"",IF($H123&lt;&gt;"",CHAR(10),"")&amp;$I123,"")&amp;IF($J123&lt;&gt;"",IF(OR($H123&lt;&gt;"",$I123&lt;&gt;""),CHAR(10),"")&amp;$J123,""))</x:f>
      </x:c>
      <x:c r="R123" s="48" t="str">
        <x:f>IF(OR($A123&lt;&gt;"Yes",$B123=""),"",IF($K123&lt;&gt;"Yes","Count disabled",IF($H123&lt;&gt;"","| search "&amp;$H123,"")&amp;IF($I123&lt;&gt;"",IF($H123&lt;&gt;"",CHAR(10),"")&amp;$I123,"")&amp;IF(OR($H123&lt;&gt;"",$I123&lt;&gt;""),CHAR(10),"")&amp;"| stats count as count"&amp;IF($L123&lt;&gt;""," by "&amp;$L123,"")&amp;IF($M123&lt;&gt;"",CHAR(10)&amp;"| where count &gt;= "&amp;$M123,"")&amp;CHAR(10)&amp;"| sort - count"))</x:f>
      </x:c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8" t="str">
        <x:f>IF($A124&lt;&gt;"Yes","",IF($G124&lt;&gt;"",IFERROR(INDEX($O$6:$O$205,MATCH($G124,$B$6:$B$205,0)),"PARENT SEARCH NOT FOUND"),IFERROR(INDEX('Base Searches'!$E$6:$E$35,MATCH($F124,'Base Searches'!$B$6:$B$35,0)),"BASE NOT FOUND")))</x:f>
      </x:c>
      <x:c r="Q124" s="48" t="str">
        <x:f>IF(OR($A124&lt;&gt;"Yes",$B124=""),"",IF($H124&lt;&gt;"","| search "&amp;$H124,"")&amp;IF($I124&lt;&gt;"",IF($H124&lt;&gt;"",CHAR(10),"")&amp;$I124,"")&amp;IF($J124&lt;&gt;"",IF(OR($H124&lt;&gt;"",$I124&lt;&gt;""),CHAR(10),"")&amp;$J124,""))</x:f>
      </x:c>
      <x:c r="R124" s="48" t="str">
        <x:f>IF(OR($A124&lt;&gt;"Yes",$B124=""),"",IF($K124&lt;&gt;"Yes","Count disabled",IF($H124&lt;&gt;"","| search "&amp;$H124,"")&amp;IF($I124&lt;&gt;"",IF($H124&lt;&gt;"",CHAR(10),"")&amp;$I124,"")&amp;IF(OR($H124&lt;&gt;"",$I124&lt;&gt;""),CHAR(10),"")&amp;"| stats count as count"&amp;IF($L124&lt;&gt;""," by "&amp;$L124,"")&amp;IF($M124&lt;&gt;"",CHAR(10)&amp;"| where count &gt;= "&amp;$M124,"")&amp;CHAR(10)&amp;"| sort - count"))</x:f>
      </x:c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8" t="str">
        <x:f>IF($A125&lt;&gt;"Yes","",IF($G125&lt;&gt;"",IFERROR(INDEX($O$6:$O$205,MATCH($G125,$B$6:$B$205,0)),"PARENT SEARCH NOT FOUND"),IFERROR(INDEX('Base Searches'!$E$6:$E$35,MATCH($F125,'Base Searches'!$B$6:$B$35,0)),"BASE NOT FOUND")))</x:f>
      </x:c>
      <x:c r="Q125" s="48" t="str">
        <x:f>IF(OR($A125&lt;&gt;"Yes",$B125=""),"",IF($H125&lt;&gt;"","| search "&amp;$H125,"")&amp;IF($I125&lt;&gt;"",IF($H125&lt;&gt;"",CHAR(10),"")&amp;$I125,"")&amp;IF($J125&lt;&gt;"",IF(OR($H125&lt;&gt;"",$I125&lt;&gt;""),CHAR(10),"")&amp;$J125,""))</x:f>
      </x:c>
      <x:c r="R125" s="48" t="str">
        <x:f>IF(OR($A125&lt;&gt;"Yes",$B125=""),"",IF($K125&lt;&gt;"Yes","Count disabled",IF($H125&lt;&gt;"","| search "&amp;$H125,"")&amp;IF($I125&lt;&gt;"",IF($H125&lt;&gt;"",CHAR(10),"")&amp;$I125,"")&amp;IF(OR($H125&lt;&gt;"",$I125&lt;&gt;""),CHAR(10),"")&amp;"| stats count as count"&amp;IF($L125&lt;&gt;""," by "&amp;$L125,"")&amp;IF($M125&lt;&gt;"",CHAR(10)&amp;"| where count &gt;= "&amp;$M125,"")&amp;CHAR(10)&amp;"| sort - count"))</x:f>
      </x:c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8" t="str">
        <x:f>IF($A126&lt;&gt;"Yes","",IF($G126&lt;&gt;"",IFERROR(INDEX($O$6:$O$205,MATCH($G126,$B$6:$B$205,0)),"PARENT SEARCH NOT FOUND"),IFERROR(INDEX('Base Searches'!$E$6:$E$35,MATCH($F126,'Base Searches'!$B$6:$B$35,0)),"BASE NOT FOUND")))</x:f>
      </x:c>
      <x:c r="Q126" s="48" t="str">
        <x:f>IF(OR($A126&lt;&gt;"Yes",$B126=""),"",IF($H126&lt;&gt;"","| search "&amp;$H126,"")&amp;IF($I126&lt;&gt;"",IF($H126&lt;&gt;"",CHAR(10),"")&amp;$I126,"")&amp;IF($J126&lt;&gt;"",IF(OR($H126&lt;&gt;"",$I126&lt;&gt;""),CHAR(10),"")&amp;$J126,""))</x:f>
      </x:c>
      <x:c r="R126" s="48" t="str">
        <x:f>IF(OR($A126&lt;&gt;"Yes",$B126=""),"",IF($K126&lt;&gt;"Yes","Count disabled",IF($H126&lt;&gt;"","| search "&amp;$H126,"")&amp;IF($I126&lt;&gt;"",IF($H126&lt;&gt;"",CHAR(10),"")&amp;$I126,"")&amp;IF(OR($H126&lt;&gt;"",$I126&lt;&gt;""),CHAR(10),"")&amp;"| stats count as count"&amp;IF($L126&lt;&gt;""," by "&amp;$L126,"")&amp;IF($M126&lt;&gt;"",CHAR(10)&amp;"| where count &gt;= "&amp;$M126,"")&amp;CHAR(10)&amp;"| sort - count"))</x:f>
      </x:c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8" t="str">
        <x:f>IF($A127&lt;&gt;"Yes","",IF($G127&lt;&gt;"",IFERROR(INDEX($O$6:$O$205,MATCH($G127,$B$6:$B$205,0)),"PARENT SEARCH NOT FOUND"),IFERROR(INDEX('Base Searches'!$E$6:$E$35,MATCH($F127,'Base Searches'!$B$6:$B$35,0)),"BASE NOT FOUND")))</x:f>
      </x:c>
      <x:c r="Q127" s="48" t="str">
        <x:f>IF(OR($A127&lt;&gt;"Yes",$B127=""),"",IF($H127&lt;&gt;"","| search "&amp;$H127,"")&amp;IF($I127&lt;&gt;"",IF($H127&lt;&gt;"",CHAR(10),"")&amp;$I127,"")&amp;IF($J127&lt;&gt;"",IF(OR($H127&lt;&gt;"",$I127&lt;&gt;""),CHAR(10),"")&amp;$J127,""))</x:f>
      </x:c>
      <x:c r="R127" s="48" t="str">
        <x:f>IF(OR($A127&lt;&gt;"Yes",$B127=""),"",IF($K127&lt;&gt;"Yes","Count disabled",IF($H127&lt;&gt;"","| search "&amp;$H127,"")&amp;IF($I127&lt;&gt;"",IF($H127&lt;&gt;"",CHAR(10),"")&amp;$I127,"")&amp;IF(OR($H127&lt;&gt;"",$I127&lt;&gt;""),CHAR(10),"")&amp;"| stats count as count"&amp;IF($L127&lt;&gt;""," by "&amp;$L127,"")&amp;IF($M127&lt;&gt;"",CHAR(10)&amp;"| where count &gt;= "&amp;$M127,"")&amp;CHAR(10)&amp;"| sort - count"))</x:f>
      </x:c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8" t="str">
        <x:f>IF($A128&lt;&gt;"Yes","",IF($G128&lt;&gt;"",IFERROR(INDEX($O$6:$O$205,MATCH($G128,$B$6:$B$205,0)),"PARENT SEARCH NOT FOUND"),IFERROR(INDEX('Base Searches'!$E$6:$E$35,MATCH($F128,'Base Searches'!$B$6:$B$35,0)),"BASE NOT FOUND")))</x:f>
      </x:c>
      <x:c r="Q128" s="48" t="str">
        <x:f>IF(OR($A128&lt;&gt;"Yes",$B128=""),"",IF($H128&lt;&gt;"","| search "&amp;$H128,"")&amp;IF($I128&lt;&gt;"",IF($H128&lt;&gt;"",CHAR(10),"")&amp;$I128,"")&amp;IF($J128&lt;&gt;"",IF(OR($H128&lt;&gt;"",$I128&lt;&gt;""),CHAR(10),"")&amp;$J128,""))</x:f>
      </x:c>
      <x:c r="R128" s="48" t="str">
        <x:f>IF(OR($A128&lt;&gt;"Yes",$B128=""),"",IF($K128&lt;&gt;"Yes","Count disabled",IF($H128&lt;&gt;"","| search "&amp;$H128,"")&amp;IF($I128&lt;&gt;"",IF($H128&lt;&gt;"",CHAR(10),"")&amp;$I128,"")&amp;IF(OR($H128&lt;&gt;"",$I128&lt;&gt;""),CHAR(10),"")&amp;"| stats count as count"&amp;IF($L128&lt;&gt;""," by "&amp;$L128,"")&amp;IF($M128&lt;&gt;"",CHAR(10)&amp;"| where count &gt;= "&amp;$M128,"")&amp;CHAR(10)&amp;"| sort - count"))</x:f>
      </x:c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8" t="str">
        <x:f>IF($A129&lt;&gt;"Yes","",IF($G129&lt;&gt;"",IFERROR(INDEX($O$6:$O$205,MATCH($G129,$B$6:$B$205,0)),"PARENT SEARCH NOT FOUND"),IFERROR(INDEX('Base Searches'!$E$6:$E$35,MATCH($F129,'Base Searches'!$B$6:$B$35,0)),"BASE NOT FOUND")))</x:f>
      </x:c>
      <x:c r="Q129" s="48" t="str">
        <x:f>IF(OR($A129&lt;&gt;"Yes",$B129=""),"",IF($H129&lt;&gt;"","| search "&amp;$H129,"")&amp;IF($I129&lt;&gt;"",IF($H129&lt;&gt;"",CHAR(10),"")&amp;$I129,"")&amp;IF($J129&lt;&gt;"",IF(OR($H129&lt;&gt;"",$I129&lt;&gt;""),CHAR(10),"")&amp;$J129,""))</x:f>
      </x:c>
      <x:c r="R129" s="48" t="str">
        <x:f>IF(OR($A129&lt;&gt;"Yes",$B129=""),"",IF($K129&lt;&gt;"Yes","Count disabled",IF($H129&lt;&gt;"","| search "&amp;$H129,"")&amp;IF($I129&lt;&gt;"",IF($H129&lt;&gt;"",CHAR(10),"")&amp;$I129,"")&amp;IF(OR($H129&lt;&gt;"",$I129&lt;&gt;""),CHAR(10),"")&amp;"| stats count as count"&amp;IF($L129&lt;&gt;""," by "&amp;$L129,"")&amp;IF($M129&lt;&gt;"",CHAR(10)&amp;"| where count &gt;= "&amp;$M129,"")&amp;CHAR(10)&amp;"| sort - count"))</x:f>
      </x:c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8" t="str">
        <x:f>IF($A130&lt;&gt;"Yes","",IF($G130&lt;&gt;"",IFERROR(INDEX($O$6:$O$205,MATCH($G130,$B$6:$B$205,0)),"PARENT SEARCH NOT FOUND"),IFERROR(INDEX('Base Searches'!$E$6:$E$35,MATCH($F130,'Base Searches'!$B$6:$B$35,0)),"BASE NOT FOUND")))</x:f>
      </x:c>
      <x:c r="Q130" s="48" t="str">
        <x:f>IF(OR($A130&lt;&gt;"Yes",$B130=""),"",IF($H130&lt;&gt;"","| search "&amp;$H130,"")&amp;IF($I130&lt;&gt;"",IF($H130&lt;&gt;"",CHAR(10),"")&amp;$I130,"")&amp;IF($J130&lt;&gt;"",IF(OR($H130&lt;&gt;"",$I130&lt;&gt;""),CHAR(10),"")&amp;$J130,""))</x:f>
      </x:c>
      <x:c r="R130" s="48" t="str">
        <x:f>IF(OR($A130&lt;&gt;"Yes",$B130=""),"",IF($K130&lt;&gt;"Yes","Count disabled",IF($H130&lt;&gt;"","| search "&amp;$H130,"")&amp;IF($I130&lt;&gt;"",IF($H130&lt;&gt;"",CHAR(10),"")&amp;$I130,"")&amp;IF(OR($H130&lt;&gt;"",$I130&lt;&gt;""),CHAR(10),"")&amp;"| stats count as count"&amp;IF($L130&lt;&gt;""," by "&amp;$L130,"")&amp;IF($M130&lt;&gt;"",CHAR(10)&amp;"| where count &gt;= "&amp;$M130,"")&amp;CHAR(10)&amp;"| sort - count"))</x:f>
      </x:c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8" t="str">
        <x:f>IF($A131&lt;&gt;"Yes","",IF($G131&lt;&gt;"",IFERROR(INDEX($O$6:$O$205,MATCH($G131,$B$6:$B$205,0)),"PARENT SEARCH NOT FOUND"),IFERROR(INDEX('Base Searches'!$E$6:$E$35,MATCH($F131,'Base Searches'!$B$6:$B$35,0)),"BASE NOT FOUND")))</x:f>
      </x:c>
      <x:c r="Q131" s="48" t="str">
        <x:f>IF(OR($A131&lt;&gt;"Yes",$B131=""),"",IF($H131&lt;&gt;"","| search "&amp;$H131,"")&amp;IF($I131&lt;&gt;"",IF($H131&lt;&gt;"",CHAR(10),"")&amp;$I131,"")&amp;IF($J131&lt;&gt;"",IF(OR($H131&lt;&gt;"",$I131&lt;&gt;""),CHAR(10),"")&amp;$J131,""))</x:f>
      </x:c>
      <x:c r="R131" s="48" t="str">
        <x:f>IF(OR($A131&lt;&gt;"Yes",$B131=""),"",IF($K131&lt;&gt;"Yes","Count disabled",IF($H131&lt;&gt;"","| search "&amp;$H131,"")&amp;IF($I131&lt;&gt;"",IF($H131&lt;&gt;"",CHAR(10),"")&amp;$I131,"")&amp;IF(OR($H131&lt;&gt;"",$I131&lt;&gt;""),CHAR(10),"")&amp;"| stats count as count"&amp;IF($L131&lt;&gt;""," by "&amp;$L131,"")&amp;IF($M131&lt;&gt;"",CHAR(10)&amp;"| where count &gt;= "&amp;$M131,"")&amp;CHAR(10)&amp;"| sort - count"))</x:f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8" t="str">
        <x:f>IF($A132&lt;&gt;"Yes","",IF($G132&lt;&gt;"",IFERROR(INDEX($O$6:$O$205,MATCH($G132,$B$6:$B$205,0)),"PARENT SEARCH NOT FOUND"),IFERROR(INDEX('Base Searches'!$E$6:$E$35,MATCH($F132,'Base Searches'!$B$6:$B$35,0)),"BASE NOT FOUND")))</x:f>
      </x:c>
      <x:c r="Q132" s="48" t="str">
        <x:f>IF(OR($A132&lt;&gt;"Yes",$B132=""),"",IF($H132&lt;&gt;"","| search "&amp;$H132,"")&amp;IF($I132&lt;&gt;"",IF($H132&lt;&gt;"",CHAR(10),"")&amp;$I132,"")&amp;IF($J132&lt;&gt;"",IF(OR($H132&lt;&gt;"",$I132&lt;&gt;""),CHAR(10),"")&amp;$J132,""))</x:f>
      </x:c>
      <x:c r="R132" s="48" t="str">
        <x:f>IF(OR($A132&lt;&gt;"Yes",$B132=""),"",IF($K132&lt;&gt;"Yes","Count disabled",IF($H132&lt;&gt;"","| search "&amp;$H132,"")&amp;IF($I132&lt;&gt;"",IF($H132&lt;&gt;"",CHAR(10),"")&amp;$I132,"")&amp;IF(OR($H132&lt;&gt;"",$I132&lt;&gt;""),CHAR(10),"")&amp;"| stats count as count"&amp;IF($L132&lt;&gt;""," by "&amp;$L132,"")&amp;IF($M132&lt;&gt;"",CHAR(10)&amp;"| where count &gt;= "&amp;$M132,"")&amp;CHAR(10)&amp;"| sort - count"))</x:f>
      </x:c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8" t="str">
        <x:f>IF($A133&lt;&gt;"Yes","",IF($G133&lt;&gt;"",IFERROR(INDEX($O$6:$O$205,MATCH($G133,$B$6:$B$205,0)),"PARENT SEARCH NOT FOUND"),IFERROR(INDEX('Base Searches'!$E$6:$E$35,MATCH($F133,'Base Searches'!$B$6:$B$35,0)),"BASE NOT FOUND")))</x:f>
      </x:c>
      <x:c r="Q133" s="48" t="str">
        <x:f>IF(OR($A133&lt;&gt;"Yes",$B133=""),"",IF($H133&lt;&gt;"","| search "&amp;$H133,"")&amp;IF($I133&lt;&gt;"",IF($H133&lt;&gt;"",CHAR(10),"")&amp;$I133,"")&amp;IF($J133&lt;&gt;"",IF(OR($H133&lt;&gt;"",$I133&lt;&gt;""),CHAR(10),"")&amp;$J133,""))</x:f>
      </x:c>
      <x:c r="R133" s="48" t="str">
        <x:f>IF(OR($A133&lt;&gt;"Yes",$B133=""),"",IF($K133&lt;&gt;"Yes","Count disabled",IF($H133&lt;&gt;"","| search "&amp;$H133,"")&amp;IF($I133&lt;&gt;"",IF($H133&lt;&gt;"",CHAR(10),"")&amp;$I133,"")&amp;IF(OR($H133&lt;&gt;"",$I133&lt;&gt;""),CHAR(10),"")&amp;"| stats count as count"&amp;IF($L133&lt;&gt;""," by "&amp;$L133,"")&amp;IF($M133&lt;&gt;"",CHAR(10)&amp;"| where count &gt;= "&amp;$M133,"")&amp;CHAR(10)&amp;"| sort - count"))</x:f>
      </x:c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8" t="str">
        <x:f>IF($A134&lt;&gt;"Yes","",IF($G134&lt;&gt;"",IFERROR(INDEX($O$6:$O$205,MATCH($G134,$B$6:$B$205,0)),"PARENT SEARCH NOT FOUND"),IFERROR(INDEX('Base Searches'!$E$6:$E$35,MATCH($F134,'Base Searches'!$B$6:$B$35,0)),"BASE NOT FOUND")))</x:f>
      </x:c>
      <x:c r="Q134" s="48" t="str">
        <x:f>IF(OR($A134&lt;&gt;"Yes",$B134=""),"",IF($H134&lt;&gt;"","| search "&amp;$H134,"")&amp;IF($I134&lt;&gt;"",IF($H134&lt;&gt;"",CHAR(10),"")&amp;$I134,"")&amp;IF($J134&lt;&gt;"",IF(OR($H134&lt;&gt;"",$I134&lt;&gt;""),CHAR(10),"")&amp;$J134,""))</x:f>
      </x:c>
      <x:c r="R134" s="48" t="str">
        <x:f>IF(OR($A134&lt;&gt;"Yes",$B134=""),"",IF($K134&lt;&gt;"Yes","Count disabled",IF($H134&lt;&gt;"","| search "&amp;$H134,"")&amp;IF($I134&lt;&gt;"",IF($H134&lt;&gt;"",CHAR(10),"")&amp;$I134,"")&amp;IF(OR($H134&lt;&gt;"",$I134&lt;&gt;""),CHAR(10),"")&amp;"| stats count as count"&amp;IF($L134&lt;&gt;""," by "&amp;$L134,"")&amp;IF($M134&lt;&gt;"",CHAR(10)&amp;"| where count &gt;= "&amp;$M134,"")&amp;CHAR(10)&amp;"| sort - count"))</x:f>
      </x:c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8" t="str">
        <x:f>IF($A135&lt;&gt;"Yes","",IF($G135&lt;&gt;"",IFERROR(INDEX($O$6:$O$205,MATCH($G135,$B$6:$B$205,0)),"PARENT SEARCH NOT FOUND"),IFERROR(INDEX('Base Searches'!$E$6:$E$35,MATCH($F135,'Base Searches'!$B$6:$B$35,0)),"BASE NOT FOUND")))</x:f>
      </x:c>
      <x:c r="Q135" s="48" t="str">
        <x:f>IF(OR($A135&lt;&gt;"Yes",$B135=""),"",IF($H135&lt;&gt;"","| search "&amp;$H135,"")&amp;IF($I135&lt;&gt;"",IF($H135&lt;&gt;"",CHAR(10),"")&amp;$I135,"")&amp;IF($J135&lt;&gt;"",IF(OR($H135&lt;&gt;"",$I135&lt;&gt;""),CHAR(10),"")&amp;$J135,""))</x:f>
      </x:c>
      <x:c r="R135" s="48" t="str">
        <x:f>IF(OR($A135&lt;&gt;"Yes",$B135=""),"",IF($K135&lt;&gt;"Yes","Count disabled",IF($H135&lt;&gt;"","| search "&amp;$H135,"")&amp;IF($I135&lt;&gt;"",IF($H135&lt;&gt;"",CHAR(10),"")&amp;$I135,"")&amp;IF(OR($H135&lt;&gt;"",$I135&lt;&gt;""),CHAR(10),"")&amp;"| stats count as count"&amp;IF($L135&lt;&gt;""," by "&amp;$L135,"")&amp;IF($M135&lt;&gt;"",CHAR(10)&amp;"| where count &gt;= "&amp;$M135,"")&amp;CHAR(10)&amp;"| sort - count"))</x:f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8" t="str">
        <x:f>IF($A136&lt;&gt;"Yes","",IF($G136&lt;&gt;"",IFERROR(INDEX($O$6:$O$205,MATCH($G136,$B$6:$B$205,0)),"PARENT SEARCH NOT FOUND"),IFERROR(INDEX('Base Searches'!$E$6:$E$35,MATCH($F136,'Base Searches'!$B$6:$B$35,0)),"BASE NOT FOUND")))</x:f>
      </x:c>
      <x:c r="Q136" s="48" t="str">
        <x:f>IF(OR($A136&lt;&gt;"Yes",$B136=""),"",IF($H136&lt;&gt;"","| search "&amp;$H136,"")&amp;IF($I136&lt;&gt;"",IF($H136&lt;&gt;"",CHAR(10),"")&amp;$I136,"")&amp;IF($J136&lt;&gt;"",IF(OR($H136&lt;&gt;"",$I136&lt;&gt;""),CHAR(10),"")&amp;$J136,""))</x:f>
      </x:c>
      <x:c r="R136" s="48" t="str">
        <x:f>IF(OR($A136&lt;&gt;"Yes",$B136=""),"",IF($K136&lt;&gt;"Yes","Count disabled",IF($H136&lt;&gt;"","| search "&amp;$H136,"")&amp;IF($I136&lt;&gt;"",IF($H136&lt;&gt;"",CHAR(10),"")&amp;$I136,"")&amp;IF(OR($H136&lt;&gt;"",$I136&lt;&gt;""),CHAR(10),"")&amp;"| stats count as count"&amp;IF($L136&lt;&gt;""," by "&amp;$L136,"")&amp;IF($M136&lt;&gt;"",CHAR(10)&amp;"| where count &gt;= "&amp;$M136,"")&amp;CHAR(10)&amp;"| sort - count"))</x:f>
      </x:c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8" t="str">
        <x:f>IF($A137&lt;&gt;"Yes","",IF($G137&lt;&gt;"",IFERROR(INDEX($O$6:$O$205,MATCH($G137,$B$6:$B$205,0)),"PARENT SEARCH NOT FOUND"),IFERROR(INDEX('Base Searches'!$E$6:$E$35,MATCH($F137,'Base Searches'!$B$6:$B$35,0)),"BASE NOT FOUND")))</x:f>
      </x:c>
      <x:c r="Q137" s="48" t="str">
        <x:f>IF(OR($A137&lt;&gt;"Yes",$B137=""),"",IF($H137&lt;&gt;"","| search "&amp;$H137,"")&amp;IF($I137&lt;&gt;"",IF($H137&lt;&gt;"",CHAR(10),"")&amp;$I137,"")&amp;IF($J137&lt;&gt;"",IF(OR($H137&lt;&gt;"",$I137&lt;&gt;""),CHAR(10),"")&amp;$J137,""))</x:f>
      </x:c>
      <x:c r="R137" s="48" t="str">
        <x:f>IF(OR($A137&lt;&gt;"Yes",$B137=""),"",IF($K137&lt;&gt;"Yes","Count disabled",IF($H137&lt;&gt;"","| search "&amp;$H137,"")&amp;IF($I137&lt;&gt;"",IF($H137&lt;&gt;"",CHAR(10),"")&amp;$I137,"")&amp;IF(OR($H137&lt;&gt;"",$I137&lt;&gt;""),CHAR(10),"")&amp;"| stats count as count"&amp;IF($L137&lt;&gt;""," by "&amp;$L137,"")&amp;IF($M137&lt;&gt;"",CHAR(10)&amp;"| where count &gt;= "&amp;$M137,"")&amp;CHAR(10)&amp;"| sort - count"))</x:f>
      </x:c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8" t="str">
        <x:f>IF($A138&lt;&gt;"Yes","",IF($G138&lt;&gt;"",IFERROR(INDEX($O$6:$O$205,MATCH($G138,$B$6:$B$205,0)),"PARENT SEARCH NOT FOUND"),IFERROR(INDEX('Base Searches'!$E$6:$E$35,MATCH($F138,'Base Searches'!$B$6:$B$35,0)),"BASE NOT FOUND")))</x:f>
      </x:c>
      <x:c r="Q138" s="48" t="str">
        <x:f>IF(OR($A138&lt;&gt;"Yes",$B138=""),"",IF($H138&lt;&gt;"","| search "&amp;$H138,"")&amp;IF($I138&lt;&gt;"",IF($H138&lt;&gt;"",CHAR(10),"")&amp;$I138,"")&amp;IF($J138&lt;&gt;"",IF(OR($H138&lt;&gt;"",$I138&lt;&gt;""),CHAR(10),"")&amp;$J138,""))</x:f>
      </x:c>
      <x:c r="R138" s="48" t="str">
        <x:f>IF(OR($A138&lt;&gt;"Yes",$B138=""),"",IF($K138&lt;&gt;"Yes","Count disabled",IF($H138&lt;&gt;"","| search "&amp;$H138,"")&amp;IF($I138&lt;&gt;"",IF($H138&lt;&gt;"",CHAR(10),"")&amp;$I138,"")&amp;IF(OR($H138&lt;&gt;"",$I138&lt;&gt;""),CHAR(10),"")&amp;"| stats count as count"&amp;IF($L138&lt;&gt;""," by "&amp;$L138,"")&amp;IF($M138&lt;&gt;"",CHAR(10)&amp;"| where count &gt;= "&amp;$M138,"")&amp;CHAR(10)&amp;"| sort - count"))</x:f>
      </x:c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8" t="str">
        <x:f>IF($A139&lt;&gt;"Yes","",IF($G139&lt;&gt;"",IFERROR(INDEX($O$6:$O$205,MATCH($G139,$B$6:$B$205,0)),"PARENT SEARCH NOT FOUND"),IFERROR(INDEX('Base Searches'!$E$6:$E$35,MATCH($F139,'Base Searches'!$B$6:$B$35,0)),"BASE NOT FOUND")))</x:f>
      </x:c>
      <x:c r="Q139" s="48" t="str">
        <x:f>IF(OR($A139&lt;&gt;"Yes",$B139=""),"",IF($H139&lt;&gt;"","| search "&amp;$H139,"")&amp;IF($I139&lt;&gt;"",IF($H139&lt;&gt;"",CHAR(10),"")&amp;$I139,"")&amp;IF($J139&lt;&gt;"",IF(OR($H139&lt;&gt;"",$I139&lt;&gt;""),CHAR(10),"")&amp;$J139,""))</x:f>
      </x:c>
      <x:c r="R139" s="48" t="str">
        <x:f>IF(OR($A139&lt;&gt;"Yes",$B139=""),"",IF($K139&lt;&gt;"Yes","Count disabled",IF($H139&lt;&gt;"","| search "&amp;$H139,"")&amp;IF($I139&lt;&gt;"",IF($H139&lt;&gt;"",CHAR(10),"")&amp;$I139,"")&amp;IF(OR($H139&lt;&gt;"",$I139&lt;&gt;""),CHAR(10),"")&amp;"| stats count as count"&amp;IF($L139&lt;&gt;""," by "&amp;$L139,"")&amp;IF($M139&lt;&gt;"",CHAR(10)&amp;"| where count &gt;= "&amp;$M139,"")&amp;CHAR(10)&amp;"| sort - count"))</x:f>
      </x:c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8" t="str">
        <x:f>IF($A140&lt;&gt;"Yes","",IF($G140&lt;&gt;"",IFERROR(INDEX($O$6:$O$205,MATCH($G140,$B$6:$B$205,0)),"PARENT SEARCH NOT FOUND"),IFERROR(INDEX('Base Searches'!$E$6:$E$35,MATCH($F140,'Base Searches'!$B$6:$B$35,0)),"BASE NOT FOUND")))</x:f>
      </x:c>
      <x:c r="Q140" s="48" t="str">
        <x:f>IF(OR($A140&lt;&gt;"Yes",$B140=""),"",IF($H140&lt;&gt;"","| search "&amp;$H140,"")&amp;IF($I140&lt;&gt;"",IF($H140&lt;&gt;"",CHAR(10),"")&amp;$I140,"")&amp;IF($J140&lt;&gt;"",IF(OR($H140&lt;&gt;"",$I140&lt;&gt;""),CHAR(10),"")&amp;$J140,""))</x:f>
      </x:c>
      <x:c r="R140" s="48" t="str">
        <x:f>IF(OR($A140&lt;&gt;"Yes",$B140=""),"",IF($K140&lt;&gt;"Yes","Count disabled",IF($H140&lt;&gt;"","| search "&amp;$H140,"")&amp;IF($I140&lt;&gt;"",IF($H140&lt;&gt;"",CHAR(10),"")&amp;$I140,"")&amp;IF(OR($H140&lt;&gt;"",$I140&lt;&gt;""),CHAR(10),"")&amp;"| stats count as count"&amp;IF($L140&lt;&gt;""," by "&amp;$L140,"")&amp;IF($M140&lt;&gt;"",CHAR(10)&amp;"| where count &gt;= "&amp;$M140,"")&amp;CHAR(10)&amp;"| sort - count"))</x:f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8" t="str">
        <x:f>IF($A141&lt;&gt;"Yes","",IF($G141&lt;&gt;"",IFERROR(INDEX($O$6:$O$205,MATCH($G141,$B$6:$B$205,0)),"PARENT SEARCH NOT FOUND"),IFERROR(INDEX('Base Searches'!$E$6:$E$35,MATCH($F141,'Base Searches'!$B$6:$B$35,0)),"BASE NOT FOUND")))</x:f>
      </x:c>
      <x:c r="Q141" s="48" t="str">
        <x:f>IF(OR($A141&lt;&gt;"Yes",$B141=""),"",IF($H141&lt;&gt;"","| search "&amp;$H141,"")&amp;IF($I141&lt;&gt;"",IF($H141&lt;&gt;"",CHAR(10),"")&amp;$I141,"")&amp;IF($J141&lt;&gt;"",IF(OR($H141&lt;&gt;"",$I141&lt;&gt;""),CHAR(10),"")&amp;$J141,""))</x:f>
      </x:c>
      <x:c r="R141" s="48" t="str">
        <x:f>IF(OR($A141&lt;&gt;"Yes",$B141=""),"",IF($K141&lt;&gt;"Yes","Count disabled",IF($H141&lt;&gt;"","| search "&amp;$H141,"")&amp;IF($I141&lt;&gt;"",IF($H141&lt;&gt;"",CHAR(10),"")&amp;$I141,"")&amp;IF(OR($H141&lt;&gt;"",$I141&lt;&gt;""),CHAR(10),"")&amp;"| stats count as count"&amp;IF($L141&lt;&gt;""," by "&amp;$L141,"")&amp;IF($M141&lt;&gt;"",CHAR(10)&amp;"| where count &gt;= "&amp;$M141,"")&amp;CHAR(10)&amp;"| sort - count"))</x:f>
      </x:c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8" t="str">
        <x:f>IF($A142&lt;&gt;"Yes","",IF($G142&lt;&gt;"",IFERROR(INDEX($O$6:$O$205,MATCH($G142,$B$6:$B$205,0)),"PARENT SEARCH NOT FOUND"),IFERROR(INDEX('Base Searches'!$E$6:$E$35,MATCH($F142,'Base Searches'!$B$6:$B$35,0)),"BASE NOT FOUND")))</x:f>
      </x:c>
      <x:c r="Q142" s="48" t="str">
        <x:f>IF(OR($A142&lt;&gt;"Yes",$B142=""),"",IF($H142&lt;&gt;"","| search "&amp;$H142,"")&amp;IF($I142&lt;&gt;"",IF($H142&lt;&gt;"",CHAR(10),"")&amp;$I142,"")&amp;IF($J142&lt;&gt;"",IF(OR($H142&lt;&gt;"",$I142&lt;&gt;""),CHAR(10),"")&amp;$J142,""))</x:f>
      </x:c>
      <x:c r="R142" s="48" t="str">
        <x:f>IF(OR($A142&lt;&gt;"Yes",$B142=""),"",IF($K142&lt;&gt;"Yes","Count disabled",IF($H142&lt;&gt;"","| search "&amp;$H142,"")&amp;IF($I142&lt;&gt;"",IF($H142&lt;&gt;"",CHAR(10),"")&amp;$I142,"")&amp;IF(OR($H142&lt;&gt;"",$I142&lt;&gt;""),CHAR(10),"")&amp;"| stats count as count"&amp;IF($L142&lt;&gt;""," by "&amp;$L142,"")&amp;IF($M142&lt;&gt;"",CHAR(10)&amp;"| where count &gt;= "&amp;$M142,"")&amp;CHAR(10)&amp;"| sort - count"))</x:f>
      </x:c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8" t="str">
        <x:f>IF($A143&lt;&gt;"Yes","",IF($G143&lt;&gt;"",IFERROR(INDEX($O$6:$O$205,MATCH($G143,$B$6:$B$205,0)),"PARENT SEARCH NOT FOUND"),IFERROR(INDEX('Base Searches'!$E$6:$E$35,MATCH($F143,'Base Searches'!$B$6:$B$35,0)),"BASE NOT FOUND")))</x:f>
      </x:c>
      <x:c r="Q143" s="48" t="str">
        <x:f>IF(OR($A143&lt;&gt;"Yes",$B143=""),"",IF($H143&lt;&gt;"","| search "&amp;$H143,"")&amp;IF($I143&lt;&gt;"",IF($H143&lt;&gt;"",CHAR(10),"")&amp;$I143,"")&amp;IF($J143&lt;&gt;"",IF(OR($H143&lt;&gt;"",$I143&lt;&gt;""),CHAR(10),"")&amp;$J143,""))</x:f>
      </x:c>
      <x:c r="R143" s="48" t="str">
        <x:f>IF(OR($A143&lt;&gt;"Yes",$B143=""),"",IF($K143&lt;&gt;"Yes","Count disabled",IF($H143&lt;&gt;"","| search "&amp;$H143,"")&amp;IF($I143&lt;&gt;"",IF($H143&lt;&gt;"",CHAR(10),"")&amp;$I143,"")&amp;IF(OR($H143&lt;&gt;"",$I143&lt;&gt;""),CHAR(10),"")&amp;"| stats count as count"&amp;IF($L143&lt;&gt;""," by "&amp;$L143,"")&amp;IF($M143&lt;&gt;"",CHAR(10)&amp;"| where count &gt;= "&amp;$M143,"")&amp;CHAR(10)&amp;"| sort - count"))</x:f>
      </x:c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8" t="str">
        <x:f>IF($A144&lt;&gt;"Yes","",IF($G144&lt;&gt;"",IFERROR(INDEX($O$6:$O$205,MATCH($G144,$B$6:$B$205,0)),"PARENT SEARCH NOT FOUND"),IFERROR(INDEX('Base Searches'!$E$6:$E$35,MATCH($F144,'Base Searches'!$B$6:$B$35,0)),"BASE NOT FOUND")))</x:f>
      </x:c>
      <x:c r="Q144" s="48" t="str">
        <x:f>IF(OR($A144&lt;&gt;"Yes",$B144=""),"",IF($H144&lt;&gt;"","| search "&amp;$H144,"")&amp;IF($I144&lt;&gt;"",IF($H144&lt;&gt;"",CHAR(10),"")&amp;$I144,"")&amp;IF($J144&lt;&gt;"",IF(OR($H144&lt;&gt;"",$I144&lt;&gt;""),CHAR(10),"")&amp;$J144,""))</x:f>
      </x:c>
      <x:c r="R144" s="48" t="str">
        <x:f>IF(OR($A144&lt;&gt;"Yes",$B144=""),"",IF($K144&lt;&gt;"Yes","Count disabled",IF($H144&lt;&gt;"","| search "&amp;$H144,"")&amp;IF($I144&lt;&gt;"",IF($H144&lt;&gt;"",CHAR(10),"")&amp;$I144,"")&amp;IF(OR($H144&lt;&gt;"",$I144&lt;&gt;""),CHAR(10),"")&amp;"| stats count as count"&amp;IF($L144&lt;&gt;""," by "&amp;$L144,"")&amp;IF($M144&lt;&gt;"",CHAR(10)&amp;"| where count &gt;= "&amp;$M144,"")&amp;CHAR(10)&amp;"| sort - count"))</x:f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8" t="str">
        <x:f>IF($A145&lt;&gt;"Yes","",IF($G145&lt;&gt;"",IFERROR(INDEX($O$6:$O$205,MATCH($G145,$B$6:$B$205,0)),"PARENT SEARCH NOT FOUND"),IFERROR(INDEX('Base Searches'!$E$6:$E$35,MATCH($F145,'Base Searches'!$B$6:$B$35,0)),"BASE NOT FOUND")))</x:f>
      </x:c>
      <x:c r="Q145" s="48" t="str">
        <x:f>IF(OR($A145&lt;&gt;"Yes",$B145=""),"",IF($H145&lt;&gt;"","| search "&amp;$H145,"")&amp;IF($I145&lt;&gt;"",IF($H145&lt;&gt;"",CHAR(10),"")&amp;$I145,"")&amp;IF($J145&lt;&gt;"",IF(OR($H145&lt;&gt;"",$I145&lt;&gt;""),CHAR(10),"")&amp;$J145,""))</x:f>
      </x:c>
      <x:c r="R145" s="48" t="str">
        <x:f>IF(OR($A145&lt;&gt;"Yes",$B145=""),"",IF($K145&lt;&gt;"Yes","Count disabled",IF($H145&lt;&gt;"","| search "&amp;$H145,"")&amp;IF($I145&lt;&gt;"",IF($H145&lt;&gt;"",CHAR(10),"")&amp;$I145,"")&amp;IF(OR($H145&lt;&gt;"",$I145&lt;&gt;""),CHAR(10),"")&amp;"| stats count as count"&amp;IF($L145&lt;&gt;""," by "&amp;$L145,"")&amp;IF($M145&lt;&gt;"",CHAR(10)&amp;"| where count &gt;= "&amp;$M145,"")&amp;CHAR(10)&amp;"| sort - count"))</x:f>
      </x:c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8" t="str">
        <x:f>IF($A146&lt;&gt;"Yes","",IF($G146&lt;&gt;"",IFERROR(INDEX($O$6:$O$205,MATCH($G146,$B$6:$B$205,0)),"PARENT SEARCH NOT FOUND"),IFERROR(INDEX('Base Searches'!$E$6:$E$35,MATCH($F146,'Base Searches'!$B$6:$B$35,0)),"BASE NOT FOUND")))</x:f>
      </x:c>
      <x:c r="Q146" s="48" t="str">
        <x:f>IF(OR($A146&lt;&gt;"Yes",$B146=""),"",IF($H146&lt;&gt;"","| search "&amp;$H146,"")&amp;IF($I146&lt;&gt;"",IF($H146&lt;&gt;"",CHAR(10),"")&amp;$I146,"")&amp;IF($J146&lt;&gt;"",IF(OR($H146&lt;&gt;"",$I146&lt;&gt;""),CHAR(10),"")&amp;$J146,""))</x:f>
      </x:c>
      <x:c r="R146" s="48" t="str">
        <x:f>IF(OR($A146&lt;&gt;"Yes",$B146=""),"",IF($K146&lt;&gt;"Yes","Count disabled",IF($H146&lt;&gt;"","| search "&amp;$H146,"")&amp;IF($I146&lt;&gt;"",IF($H146&lt;&gt;"",CHAR(10),"")&amp;$I146,"")&amp;IF(OR($H146&lt;&gt;"",$I146&lt;&gt;""),CHAR(10),"")&amp;"| stats count as count"&amp;IF($L146&lt;&gt;""," by "&amp;$L146,"")&amp;IF($M146&lt;&gt;"",CHAR(10)&amp;"| where count &gt;= "&amp;$M146,"")&amp;CHAR(10)&amp;"| sort - count"))</x:f>
      </x:c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8" t="str">
        <x:f>IF($A147&lt;&gt;"Yes","",IF($G147&lt;&gt;"",IFERROR(INDEX($O$6:$O$205,MATCH($G147,$B$6:$B$205,0)),"PARENT SEARCH NOT FOUND"),IFERROR(INDEX('Base Searches'!$E$6:$E$35,MATCH($F147,'Base Searches'!$B$6:$B$35,0)),"BASE NOT FOUND")))</x:f>
      </x:c>
      <x:c r="Q147" s="48" t="str">
        <x:f>IF(OR($A147&lt;&gt;"Yes",$B147=""),"",IF($H147&lt;&gt;"","| search "&amp;$H147,"")&amp;IF($I147&lt;&gt;"",IF($H147&lt;&gt;"",CHAR(10),"")&amp;$I147,"")&amp;IF($J147&lt;&gt;"",IF(OR($H147&lt;&gt;"",$I147&lt;&gt;""),CHAR(10),"")&amp;$J147,""))</x:f>
      </x:c>
      <x:c r="R147" s="48" t="str">
        <x:f>IF(OR($A147&lt;&gt;"Yes",$B147=""),"",IF($K147&lt;&gt;"Yes","Count disabled",IF($H147&lt;&gt;"","| search "&amp;$H147,"")&amp;IF($I147&lt;&gt;"",IF($H147&lt;&gt;"",CHAR(10),"")&amp;$I147,"")&amp;IF(OR($H147&lt;&gt;"",$I147&lt;&gt;""),CHAR(10),"")&amp;"| stats count as count"&amp;IF($L147&lt;&gt;""," by "&amp;$L147,"")&amp;IF($M147&lt;&gt;"",CHAR(10)&amp;"| where count &gt;= "&amp;$M147,"")&amp;CHAR(10)&amp;"| sort - count"))</x:f>
      </x:c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8" t="str">
        <x:f>IF($A148&lt;&gt;"Yes","",IF($G148&lt;&gt;"",IFERROR(INDEX($O$6:$O$205,MATCH($G148,$B$6:$B$205,0)),"PARENT SEARCH NOT FOUND"),IFERROR(INDEX('Base Searches'!$E$6:$E$35,MATCH($F148,'Base Searches'!$B$6:$B$35,0)),"BASE NOT FOUND")))</x:f>
      </x:c>
      <x:c r="Q148" s="48" t="str">
        <x:f>IF(OR($A148&lt;&gt;"Yes",$B148=""),"",IF($H148&lt;&gt;"","| search "&amp;$H148,"")&amp;IF($I148&lt;&gt;"",IF($H148&lt;&gt;"",CHAR(10),"")&amp;$I148,"")&amp;IF($J148&lt;&gt;"",IF(OR($H148&lt;&gt;"",$I148&lt;&gt;""),CHAR(10),"")&amp;$J148,""))</x:f>
      </x:c>
      <x:c r="R148" s="48" t="str">
        <x:f>IF(OR($A148&lt;&gt;"Yes",$B148=""),"",IF($K148&lt;&gt;"Yes","Count disabled",IF($H148&lt;&gt;"","| search "&amp;$H148,"")&amp;IF($I148&lt;&gt;"",IF($H148&lt;&gt;"",CHAR(10),"")&amp;$I148,"")&amp;IF(OR($H148&lt;&gt;"",$I148&lt;&gt;""),CHAR(10),"")&amp;"| stats count as count"&amp;IF($L148&lt;&gt;""," by "&amp;$L148,"")&amp;IF($M148&lt;&gt;"",CHAR(10)&amp;"| where count &gt;= "&amp;$M148,"")&amp;CHAR(10)&amp;"| sort - count"))</x:f>
      </x:c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8" t="str">
        <x:f>IF($A149&lt;&gt;"Yes","",IF($G149&lt;&gt;"",IFERROR(INDEX($O$6:$O$205,MATCH($G149,$B$6:$B$205,0)),"PARENT SEARCH NOT FOUND"),IFERROR(INDEX('Base Searches'!$E$6:$E$35,MATCH($F149,'Base Searches'!$B$6:$B$35,0)),"BASE NOT FOUND")))</x:f>
      </x:c>
      <x:c r="Q149" s="48" t="str">
        <x:f>IF(OR($A149&lt;&gt;"Yes",$B149=""),"",IF($H149&lt;&gt;"","| search "&amp;$H149,"")&amp;IF($I149&lt;&gt;"",IF($H149&lt;&gt;"",CHAR(10),"")&amp;$I149,"")&amp;IF($J149&lt;&gt;"",IF(OR($H149&lt;&gt;"",$I149&lt;&gt;""),CHAR(10),"")&amp;$J149,""))</x:f>
      </x:c>
      <x:c r="R149" s="48" t="str">
        <x:f>IF(OR($A149&lt;&gt;"Yes",$B149=""),"",IF($K149&lt;&gt;"Yes","Count disabled",IF($H149&lt;&gt;"","| search "&amp;$H149,"")&amp;IF($I149&lt;&gt;"",IF($H149&lt;&gt;"",CHAR(10),"")&amp;$I149,"")&amp;IF(OR($H149&lt;&gt;"",$I149&lt;&gt;""),CHAR(10),"")&amp;"| stats count as count"&amp;IF($L149&lt;&gt;""," by "&amp;$L149,"")&amp;IF($M149&lt;&gt;"",CHAR(10)&amp;"| where count &gt;= "&amp;$M149,"")&amp;CHAR(10)&amp;"| sort - count"))</x:f>
      </x:c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8" t="str">
        <x:f>IF($A150&lt;&gt;"Yes","",IF($G150&lt;&gt;"",IFERROR(INDEX($O$6:$O$205,MATCH($G150,$B$6:$B$205,0)),"PARENT SEARCH NOT FOUND"),IFERROR(INDEX('Base Searches'!$E$6:$E$35,MATCH($F150,'Base Searches'!$B$6:$B$35,0)),"BASE NOT FOUND")))</x:f>
      </x:c>
      <x:c r="Q150" s="48" t="str">
        <x:f>IF(OR($A150&lt;&gt;"Yes",$B150=""),"",IF($H150&lt;&gt;"","| search "&amp;$H150,"")&amp;IF($I150&lt;&gt;"",IF($H150&lt;&gt;"",CHAR(10),"")&amp;$I150,"")&amp;IF($J150&lt;&gt;"",IF(OR($H150&lt;&gt;"",$I150&lt;&gt;""),CHAR(10),"")&amp;$J150,""))</x:f>
      </x:c>
      <x:c r="R150" s="48" t="str">
        <x:f>IF(OR($A150&lt;&gt;"Yes",$B150=""),"",IF($K150&lt;&gt;"Yes","Count disabled",IF($H150&lt;&gt;"","| search "&amp;$H150,"")&amp;IF($I150&lt;&gt;"",IF($H150&lt;&gt;"",CHAR(10),"")&amp;$I150,"")&amp;IF(OR($H150&lt;&gt;"",$I150&lt;&gt;""),CHAR(10),"")&amp;"| stats count as count"&amp;IF($L150&lt;&gt;""," by "&amp;$L150,"")&amp;IF($M150&lt;&gt;"",CHAR(10)&amp;"| where count &gt;= "&amp;$M150,"")&amp;CHAR(10)&amp;"| sort - count"))</x:f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8" t="str">
        <x:f>IF($A151&lt;&gt;"Yes","",IF($G151&lt;&gt;"",IFERROR(INDEX($O$6:$O$205,MATCH($G151,$B$6:$B$205,0)),"PARENT SEARCH NOT FOUND"),IFERROR(INDEX('Base Searches'!$E$6:$E$35,MATCH($F151,'Base Searches'!$B$6:$B$35,0)),"BASE NOT FOUND")))</x:f>
      </x:c>
      <x:c r="Q151" s="48" t="str">
        <x:f>IF(OR($A151&lt;&gt;"Yes",$B151=""),"",IF($H151&lt;&gt;"","| search "&amp;$H151,"")&amp;IF($I151&lt;&gt;"",IF($H151&lt;&gt;"",CHAR(10),"")&amp;$I151,"")&amp;IF($J151&lt;&gt;"",IF(OR($H151&lt;&gt;"",$I151&lt;&gt;""),CHAR(10),"")&amp;$J151,""))</x:f>
      </x:c>
      <x:c r="R151" s="48" t="str">
        <x:f>IF(OR($A151&lt;&gt;"Yes",$B151=""),"",IF($K151&lt;&gt;"Yes","Count disabled",IF($H151&lt;&gt;"","| search "&amp;$H151,"")&amp;IF($I151&lt;&gt;"",IF($H151&lt;&gt;"",CHAR(10),"")&amp;$I151,"")&amp;IF(OR($H151&lt;&gt;"",$I151&lt;&gt;""),CHAR(10),"")&amp;"| stats count as count"&amp;IF($L151&lt;&gt;""," by "&amp;$L151,"")&amp;IF($M151&lt;&gt;"",CHAR(10)&amp;"| where count &gt;= "&amp;$M151,"")&amp;CHAR(10)&amp;"| sort - count"))</x:f>
      </x:c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8" t="str">
        <x:f>IF($A152&lt;&gt;"Yes","",IF($G152&lt;&gt;"",IFERROR(INDEX($O$6:$O$205,MATCH($G152,$B$6:$B$205,0)),"PARENT SEARCH NOT FOUND"),IFERROR(INDEX('Base Searches'!$E$6:$E$35,MATCH($F152,'Base Searches'!$B$6:$B$35,0)),"BASE NOT FOUND")))</x:f>
      </x:c>
      <x:c r="Q152" s="48" t="str">
        <x:f>IF(OR($A152&lt;&gt;"Yes",$B152=""),"",IF($H152&lt;&gt;"","| search "&amp;$H152,"")&amp;IF($I152&lt;&gt;"",IF($H152&lt;&gt;"",CHAR(10),"")&amp;$I152,"")&amp;IF($J152&lt;&gt;"",IF(OR($H152&lt;&gt;"",$I152&lt;&gt;""),CHAR(10),"")&amp;$J152,""))</x:f>
      </x:c>
      <x:c r="R152" s="48" t="str">
        <x:f>IF(OR($A152&lt;&gt;"Yes",$B152=""),"",IF($K152&lt;&gt;"Yes","Count disabled",IF($H152&lt;&gt;"","| search "&amp;$H152,"")&amp;IF($I152&lt;&gt;"",IF($H152&lt;&gt;"",CHAR(10),"")&amp;$I152,"")&amp;IF(OR($H152&lt;&gt;"",$I152&lt;&gt;""),CHAR(10),"")&amp;"| stats count as count"&amp;IF($L152&lt;&gt;""," by "&amp;$L152,"")&amp;IF($M152&lt;&gt;"",CHAR(10)&amp;"| where count &gt;= "&amp;$M152,"")&amp;CHAR(10)&amp;"| sort - count"))</x:f>
      </x:c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8" t="str">
        <x:f>IF($A153&lt;&gt;"Yes","",IF($G153&lt;&gt;"",IFERROR(INDEX($O$6:$O$205,MATCH($G153,$B$6:$B$205,0)),"PARENT SEARCH NOT FOUND"),IFERROR(INDEX('Base Searches'!$E$6:$E$35,MATCH($F153,'Base Searches'!$B$6:$B$35,0)),"BASE NOT FOUND")))</x:f>
      </x:c>
      <x:c r="Q153" s="48" t="str">
        <x:f>IF(OR($A153&lt;&gt;"Yes",$B153=""),"",IF($H153&lt;&gt;"","| search "&amp;$H153,"")&amp;IF($I153&lt;&gt;"",IF($H153&lt;&gt;"",CHAR(10),"")&amp;$I153,"")&amp;IF($J153&lt;&gt;"",IF(OR($H153&lt;&gt;"",$I153&lt;&gt;""),CHAR(10),"")&amp;$J153,""))</x:f>
      </x:c>
      <x:c r="R153" s="48" t="str">
        <x:f>IF(OR($A153&lt;&gt;"Yes",$B153=""),"",IF($K153&lt;&gt;"Yes","Count disabled",IF($H153&lt;&gt;"","| search "&amp;$H153,"")&amp;IF($I153&lt;&gt;"",IF($H153&lt;&gt;"",CHAR(10),"")&amp;$I153,"")&amp;IF(OR($H153&lt;&gt;"",$I153&lt;&gt;""),CHAR(10),"")&amp;"| stats count as count"&amp;IF($L153&lt;&gt;""," by "&amp;$L153,"")&amp;IF($M153&lt;&gt;"",CHAR(10)&amp;"| where count &gt;= "&amp;$M153,"")&amp;CHAR(10)&amp;"| sort - count"))</x:f>
      </x:c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8" t="str">
        <x:f>IF($A154&lt;&gt;"Yes","",IF($G154&lt;&gt;"",IFERROR(INDEX($O$6:$O$205,MATCH($G154,$B$6:$B$205,0)),"PARENT SEARCH NOT FOUND"),IFERROR(INDEX('Base Searches'!$E$6:$E$35,MATCH($F154,'Base Searches'!$B$6:$B$35,0)),"BASE NOT FOUND")))</x:f>
      </x:c>
      <x:c r="Q154" s="48" t="str">
        <x:f>IF(OR($A154&lt;&gt;"Yes",$B154=""),"",IF($H154&lt;&gt;"","| search "&amp;$H154,"")&amp;IF($I154&lt;&gt;"",IF($H154&lt;&gt;"",CHAR(10),"")&amp;$I154,"")&amp;IF($J154&lt;&gt;"",IF(OR($H154&lt;&gt;"",$I154&lt;&gt;""),CHAR(10),"")&amp;$J154,""))</x:f>
      </x:c>
      <x:c r="R154" s="48" t="str">
        <x:f>IF(OR($A154&lt;&gt;"Yes",$B154=""),"",IF($K154&lt;&gt;"Yes","Count disabled",IF($H154&lt;&gt;"","| search "&amp;$H154,"")&amp;IF($I154&lt;&gt;"",IF($H154&lt;&gt;"",CHAR(10),"")&amp;$I154,"")&amp;IF(OR($H154&lt;&gt;"",$I154&lt;&gt;""),CHAR(10),"")&amp;"| stats count as count"&amp;IF($L154&lt;&gt;""," by "&amp;$L154,"")&amp;IF($M154&lt;&gt;"",CHAR(10)&amp;"| where count &gt;= "&amp;$M154,"")&amp;CHAR(10)&amp;"| sort - count"))</x:f>
      </x:c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8" t="str">
        <x:f>IF($A155&lt;&gt;"Yes","",IF($G155&lt;&gt;"",IFERROR(INDEX($O$6:$O$205,MATCH($G155,$B$6:$B$205,0)),"PARENT SEARCH NOT FOUND"),IFERROR(INDEX('Base Searches'!$E$6:$E$35,MATCH($F155,'Base Searches'!$B$6:$B$35,0)),"BASE NOT FOUND")))</x:f>
      </x:c>
      <x:c r="Q155" s="48" t="str">
        <x:f>IF(OR($A155&lt;&gt;"Yes",$B155=""),"",IF($H155&lt;&gt;"","| search "&amp;$H155,"")&amp;IF($I155&lt;&gt;"",IF($H155&lt;&gt;"",CHAR(10),"")&amp;$I155,"")&amp;IF($J155&lt;&gt;"",IF(OR($H155&lt;&gt;"",$I155&lt;&gt;""),CHAR(10),"")&amp;$J155,""))</x:f>
      </x:c>
      <x:c r="R155" s="48" t="str">
        <x:f>IF(OR($A155&lt;&gt;"Yes",$B155=""),"",IF($K155&lt;&gt;"Yes","Count disabled",IF($H155&lt;&gt;"","| search "&amp;$H155,"")&amp;IF($I155&lt;&gt;"",IF($H155&lt;&gt;"",CHAR(10),"")&amp;$I155,"")&amp;IF(OR($H155&lt;&gt;"",$I155&lt;&gt;""),CHAR(10),"")&amp;"| stats count as count"&amp;IF($L155&lt;&gt;""," by "&amp;$L155,"")&amp;IF($M155&lt;&gt;"",CHAR(10)&amp;"| where count &gt;= "&amp;$M155,"")&amp;CHAR(10)&amp;"| sort - count"))</x:f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8" t="str">
        <x:f>IF($A156&lt;&gt;"Yes","",IF($G156&lt;&gt;"",IFERROR(INDEX($O$6:$O$205,MATCH($G156,$B$6:$B$205,0)),"PARENT SEARCH NOT FOUND"),IFERROR(INDEX('Base Searches'!$E$6:$E$35,MATCH($F156,'Base Searches'!$B$6:$B$35,0)),"BASE NOT FOUND")))</x:f>
      </x:c>
      <x:c r="Q156" s="48" t="str">
        <x:f>IF(OR($A156&lt;&gt;"Yes",$B156=""),"",IF($H156&lt;&gt;"","| search "&amp;$H156,"")&amp;IF($I156&lt;&gt;"",IF($H156&lt;&gt;"",CHAR(10),"")&amp;$I156,"")&amp;IF($J156&lt;&gt;"",IF(OR($H156&lt;&gt;"",$I156&lt;&gt;""),CHAR(10),"")&amp;$J156,""))</x:f>
      </x:c>
      <x:c r="R156" s="48" t="str">
        <x:f>IF(OR($A156&lt;&gt;"Yes",$B156=""),"",IF($K156&lt;&gt;"Yes","Count disabled",IF($H156&lt;&gt;"","| search "&amp;$H156,"")&amp;IF($I156&lt;&gt;"",IF($H156&lt;&gt;"",CHAR(10),"")&amp;$I156,"")&amp;IF(OR($H156&lt;&gt;"",$I156&lt;&gt;""),CHAR(10),"")&amp;"| stats count as count"&amp;IF($L156&lt;&gt;""," by "&amp;$L156,"")&amp;IF($M156&lt;&gt;"",CHAR(10)&amp;"| where count &gt;= "&amp;$M156,"")&amp;CHAR(10)&amp;"| sort - count"))</x:f>
      </x:c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8" t="str">
        <x:f>IF($A157&lt;&gt;"Yes","",IF($G157&lt;&gt;"",IFERROR(INDEX($O$6:$O$205,MATCH($G157,$B$6:$B$205,0)),"PARENT SEARCH NOT FOUND"),IFERROR(INDEX('Base Searches'!$E$6:$E$35,MATCH($F157,'Base Searches'!$B$6:$B$35,0)),"BASE NOT FOUND")))</x:f>
      </x:c>
      <x:c r="Q157" s="48" t="str">
        <x:f>IF(OR($A157&lt;&gt;"Yes",$B157=""),"",IF($H157&lt;&gt;"","| search "&amp;$H157,"")&amp;IF($I157&lt;&gt;"",IF($H157&lt;&gt;"",CHAR(10),"")&amp;$I157,"")&amp;IF($J157&lt;&gt;"",IF(OR($H157&lt;&gt;"",$I157&lt;&gt;""),CHAR(10),"")&amp;$J157,""))</x:f>
      </x:c>
      <x:c r="R157" s="48" t="str">
        <x:f>IF(OR($A157&lt;&gt;"Yes",$B157=""),"",IF($K157&lt;&gt;"Yes","Count disabled",IF($H157&lt;&gt;"","| search "&amp;$H157,"")&amp;IF($I157&lt;&gt;"",IF($H157&lt;&gt;"",CHAR(10),"")&amp;$I157,"")&amp;IF(OR($H157&lt;&gt;"",$I157&lt;&gt;""),CHAR(10),"")&amp;"| stats count as count"&amp;IF($L157&lt;&gt;""," by "&amp;$L157,"")&amp;IF($M157&lt;&gt;"",CHAR(10)&amp;"| where count &gt;= "&amp;$M157,"")&amp;CHAR(10)&amp;"| sort - count"))</x:f>
      </x:c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8" t="str">
        <x:f>IF($A158&lt;&gt;"Yes","",IF($G158&lt;&gt;"",IFERROR(INDEX($O$6:$O$205,MATCH($G158,$B$6:$B$205,0)),"PARENT SEARCH NOT FOUND"),IFERROR(INDEX('Base Searches'!$E$6:$E$35,MATCH($F158,'Base Searches'!$B$6:$B$35,0)),"BASE NOT FOUND")))</x:f>
      </x:c>
      <x:c r="Q158" s="48" t="str">
        <x:f>IF(OR($A158&lt;&gt;"Yes",$B158=""),"",IF($H158&lt;&gt;"","| search "&amp;$H158,"")&amp;IF($I158&lt;&gt;"",IF($H158&lt;&gt;"",CHAR(10),"")&amp;$I158,"")&amp;IF($J158&lt;&gt;"",IF(OR($H158&lt;&gt;"",$I158&lt;&gt;""),CHAR(10),"")&amp;$J158,""))</x:f>
      </x:c>
      <x:c r="R158" s="48" t="str">
        <x:f>IF(OR($A158&lt;&gt;"Yes",$B158=""),"",IF($K158&lt;&gt;"Yes","Count disabled",IF($H158&lt;&gt;"","| search "&amp;$H158,"")&amp;IF($I158&lt;&gt;"",IF($H158&lt;&gt;"",CHAR(10),"")&amp;$I158,"")&amp;IF(OR($H158&lt;&gt;"",$I158&lt;&gt;""),CHAR(10),"")&amp;"| stats count as count"&amp;IF($L158&lt;&gt;""," by "&amp;$L158,"")&amp;IF($M158&lt;&gt;"",CHAR(10)&amp;"| where count &gt;= "&amp;$M158,"")&amp;CHAR(10)&amp;"| sort - count"))</x:f>
      </x:c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8" t="str">
        <x:f>IF($A159&lt;&gt;"Yes","",IF($G159&lt;&gt;"",IFERROR(INDEX($O$6:$O$205,MATCH($G159,$B$6:$B$205,0)),"PARENT SEARCH NOT FOUND"),IFERROR(INDEX('Base Searches'!$E$6:$E$35,MATCH($F159,'Base Searches'!$B$6:$B$35,0)),"BASE NOT FOUND")))</x:f>
      </x:c>
      <x:c r="Q159" s="48" t="str">
        <x:f>IF(OR($A159&lt;&gt;"Yes",$B159=""),"",IF($H159&lt;&gt;"","| search "&amp;$H159,"")&amp;IF($I159&lt;&gt;"",IF($H159&lt;&gt;"",CHAR(10),"")&amp;$I159,"")&amp;IF($J159&lt;&gt;"",IF(OR($H159&lt;&gt;"",$I159&lt;&gt;""),CHAR(10),"")&amp;$J159,""))</x:f>
      </x:c>
      <x:c r="R159" s="48" t="str">
        <x:f>IF(OR($A159&lt;&gt;"Yes",$B159=""),"",IF($K159&lt;&gt;"Yes","Count disabled",IF($H159&lt;&gt;"","| search "&amp;$H159,"")&amp;IF($I159&lt;&gt;"",IF($H159&lt;&gt;"",CHAR(10),"")&amp;$I159,"")&amp;IF(OR($H159&lt;&gt;"",$I159&lt;&gt;""),CHAR(10),"")&amp;"| stats count as count"&amp;IF($L159&lt;&gt;""," by "&amp;$L159,"")&amp;IF($M159&lt;&gt;"",CHAR(10)&amp;"| where count &gt;= "&amp;$M159,"")&amp;CHAR(10)&amp;"| sort - count"))</x:f>
      </x:c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8" t="str">
        <x:f>IF($A160&lt;&gt;"Yes","",IF($G160&lt;&gt;"",IFERROR(INDEX($O$6:$O$205,MATCH($G160,$B$6:$B$205,0)),"PARENT SEARCH NOT FOUND"),IFERROR(INDEX('Base Searches'!$E$6:$E$35,MATCH($F160,'Base Searches'!$B$6:$B$35,0)),"BASE NOT FOUND")))</x:f>
      </x:c>
      <x:c r="Q160" s="48" t="str">
        <x:f>IF(OR($A160&lt;&gt;"Yes",$B160=""),"",IF($H160&lt;&gt;"","| search "&amp;$H160,"")&amp;IF($I160&lt;&gt;"",IF($H160&lt;&gt;"",CHAR(10),"")&amp;$I160,"")&amp;IF($J160&lt;&gt;"",IF(OR($H160&lt;&gt;"",$I160&lt;&gt;""),CHAR(10),"")&amp;$J160,""))</x:f>
      </x:c>
      <x:c r="R160" s="48" t="str">
        <x:f>IF(OR($A160&lt;&gt;"Yes",$B160=""),"",IF($K160&lt;&gt;"Yes","Count disabled",IF($H160&lt;&gt;"","| search "&amp;$H160,"")&amp;IF($I160&lt;&gt;"",IF($H160&lt;&gt;"",CHAR(10),"")&amp;$I160,"")&amp;IF(OR($H160&lt;&gt;"",$I160&lt;&gt;""),CHAR(10),"")&amp;"| stats count as count"&amp;IF($L160&lt;&gt;""," by "&amp;$L160,"")&amp;IF($M160&lt;&gt;"",CHAR(10)&amp;"| where count &gt;= "&amp;$M160,"")&amp;CHAR(10)&amp;"| sort - count"))</x:f>
      </x:c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8" t="str">
        <x:f>IF($A161&lt;&gt;"Yes","",IF($G161&lt;&gt;"",IFERROR(INDEX($O$6:$O$205,MATCH($G161,$B$6:$B$205,0)),"PARENT SEARCH NOT FOUND"),IFERROR(INDEX('Base Searches'!$E$6:$E$35,MATCH($F161,'Base Searches'!$B$6:$B$35,0)),"BASE NOT FOUND")))</x:f>
      </x:c>
      <x:c r="Q161" s="48" t="str">
        <x:f>IF(OR($A161&lt;&gt;"Yes",$B161=""),"",IF($H161&lt;&gt;"","| search "&amp;$H161,"")&amp;IF($I161&lt;&gt;"",IF($H161&lt;&gt;"",CHAR(10),"")&amp;$I161,"")&amp;IF($J161&lt;&gt;"",IF(OR($H161&lt;&gt;"",$I161&lt;&gt;""),CHAR(10),"")&amp;$J161,""))</x:f>
      </x:c>
      <x:c r="R161" s="48" t="str">
        <x:f>IF(OR($A161&lt;&gt;"Yes",$B161=""),"",IF($K161&lt;&gt;"Yes","Count disabled",IF($H161&lt;&gt;"","| search "&amp;$H161,"")&amp;IF($I161&lt;&gt;"",IF($H161&lt;&gt;"",CHAR(10),"")&amp;$I161,"")&amp;IF(OR($H161&lt;&gt;"",$I161&lt;&gt;""),CHAR(10),"")&amp;"| stats count as count"&amp;IF($L161&lt;&gt;""," by "&amp;$L161,"")&amp;IF($M161&lt;&gt;"",CHAR(10)&amp;"| where count &gt;= "&amp;$M161,"")&amp;CHAR(10)&amp;"| sort - count"))</x:f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8" t="str">
        <x:f>IF($A162&lt;&gt;"Yes","",IF($G162&lt;&gt;"",IFERROR(INDEX($O$6:$O$205,MATCH($G162,$B$6:$B$205,0)),"PARENT SEARCH NOT FOUND"),IFERROR(INDEX('Base Searches'!$E$6:$E$35,MATCH($F162,'Base Searches'!$B$6:$B$35,0)),"BASE NOT FOUND")))</x:f>
      </x:c>
      <x:c r="Q162" s="48" t="str">
        <x:f>IF(OR($A162&lt;&gt;"Yes",$B162=""),"",IF($H162&lt;&gt;"","| search "&amp;$H162,"")&amp;IF($I162&lt;&gt;"",IF($H162&lt;&gt;"",CHAR(10),"")&amp;$I162,"")&amp;IF($J162&lt;&gt;"",IF(OR($H162&lt;&gt;"",$I162&lt;&gt;""),CHAR(10),"")&amp;$J162,""))</x:f>
      </x:c>
      <x:c r="R162" s="48" t="str">
        <x:f>IF(OR($A162&lt;&gt;"Yes",$B162=""),"",IF($K162&lt;&gt;"Yes","Count disabled",IF($H162&lt;&gt;"","| search "&amp;$H162,"")&amp;IF($I162&lt;&gt;"",IF($H162&lt;&gt;"",CHAR(10),"")&amp;$I162,"")&amp;IF(OR($H162&lt;&gt;"",$I162&lt;&gt;""),CHAR(10),"")&amp;"| stats count as count"&amp;IF($L162&lt;&gt;""," by "&amp;$L162,"")&amp;IF($M162&lt;&gt;"",CHAR(10)&amp;"| where count &gt;= "&amp;$M162,"")&amp;CHAR(10)&amp;"| sort - count"))</x:f>
      </x:c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8" t="str">
        <x:f>IF($A163&lt;&gt;"Yes","",IF($G163&lt;&gt;"",IFERROR(INDEX($O$6:$O$205,MATCH($G163,$B$6:$B$205,0)),"PARENT SEARCH NOT FOUND"),IFERROR(INDEX('Base Searches'!$E$6:$E$35,MATCH($F163,'Base Searches'!$B$6:$B$35,0)),"BASE NOT FOUND")))</x:f>
      </x:c>
      <x:c r="Q163" s="48" t="str">
        <x:f>IF(OR($A163&lt;&gt;"Yes",$B163=""),"",IF($H163&lt;&gt;"","| search "&amp;$H163,"")&amp;IF($I163&lt;&gt;"",IF($H163&lt;&gt;"",CHAR(10),"")&amp;$I163,"")&amp;IF($J163&lt;&gt;"",IF(OR($H163&lt;&gt;"",$I163&lt;&gt;""),CHAR(10),"")&amp;$J163,""))</x:f>
      </x:c>
      <x:c r="R163" s="48" t="str">
        <x:f>IF(OR($A163&lt;&gt;"Yes",$B163=""),"",IF($K163&lt;&gt;"Yes","Count disabled",IF($H163&lt;&gt;"","| search "&amp;$H163,"")&amp;IF($I163&lt;&gt;"",IF($H163&lt;&gt;"",CHAR(10),"")&amp;$I163,"")&amp;IF(OR($H163&lt;&gt;"",$I163&lt;&gt;""),CHAR(10),"")&amp;"| stats count as count"&amp;IF($L163&lt;&gt;""," by "&amp;$L163,"")&amp;IF($M163&lt;&gt;"",CHAR(10)&amp;"| where count &gt;= "&amp;$M163,"")&amp;CHAR(10)&amp;"| sort - count"))</x:f>
      </x:c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8" t="str">
        <x:f>IF($A164&lt;&gt;"Yes","",IF($G164&lt;&gt;"",IFERROR(INDEX($O$6:$O$205,MATCH($G164,$B$6:$B$205,0)),"PARENT SEARCH NOT FOUND"),IFERROR(INDEX('Base Searches'!$E$6:$E$35,MATCH($F164,'Base Searches'!$B$6:$B$35,0)),"BASE NOT FOUND")))</x:f>
      </x:c>
      <x:c r="Q164" s="48" t="str">
        <x:f>IF(OR($A164&lt;&gt;"Yes",$B164=""),"",IF($H164&lt;&gt;"","| search "&amp;$H164,"")&amp;IF($I164&lt;&gt;"",IF($H164&lt;&gt;"",CHAR(10),"")&amp;$I164,"")&amp;IF($J164&lt;&gt;"",IF(OR($H164&lt;&gt;"",$I164&lt;&gt;""),CHAR(10),"")&amp;$J164,""))</x:f>
      </x:c>
      <x:c r="R164" s="48" t="str">
        <x:f>IF(OR($A164&lt;&gt;"Yes",$B164=""),"",IF($K164&lt;&gt;"Yes","Count disabled",IF($H164&lt;&gt;"","| search "&amp;$H164,"")&amp;IF($I164&lt;&gt;"",IF($H164&lt;&gt;"",CHAR(10),"")&amp;$I164,"")&amp;IF(OR($H164&lt;&gt;"",$I164&lt;&gt;""),CHAR(10),"")&amp;"| stats count as count"&amp;IF($L164&lt;&gt;""," by "&amp;$L164,"")&amp;IF($M164&lt;&gt;"",CHAR(10)&amp;"| where count &gt;= "&amp;$M164,"")&amp;CHAR(10)&amp;"| sort - count"))</x:f>
      </x:c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8" t="str">
        <x:f>IF($A165&lt;&gt;"Yes","",IF($G165&lt;&gt;"",IFERROR(INDEX($O$6:$O$205,MATCH($G165,$B$6:$B$205,0)),"PARENT SEARCH NOT FOUND"),IFERROR(INDEX('Base Searches'!$E$6:$E$35,MATCH($F165,'Base Searches'!$B$6:$B$35,0)),"BASE NOT FOUND")))</x:f>
      </x:c>
      <x:c r="Q165" s="48" t="str">
        <x:f>IF(OR($A165&lt;&gt;"Yes",$B165=""),"",IF($H165&lt;&gt;"","| search "&amp;$H165,"")&amp;IF($I165&lt;&gt;"",IF($H165&lt;&gt;"",CHAR(10),"")&amp;$I165,"")&amp;IF($J165&lt;&gt;"",IF(OR($H165&lt;&gt;"",$I165&lt;&gt;""),CHAR(10),"")&amp;$J165,""))</x:f>
      </x:c>
      <x:c r="R165" s="48" t="str">
        <x:f>IF(OR($A165&lt;&gt;"Yes",$B165=""),"",IF($K165&lt;&gt;"Yes","Count disabled",IF($H165&lt;&gt;"","| search "&amp;$H165,"")&amp;IF($I165&lt;&gt;"",IF($H165&lt;&gt;"",CHAR(10),"")&amp;$I165,"")&amp;IF(OR($H165&lt;&gt;"",$I165&lt;&gt;""),CHAR(10),"")&amp;"| stats count as count"&amp;IF($L165&lt;&gt;""," by "&amp;$L165,"")&amp;IF($M165&lt;&gt;"",CHAR(10)&amp;"| where count &gt;= "&amp;$M165,"")&amp;CHAR(10)&amp;"| sort - count"))</x:f>
      </x:c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8" t="str">
        <x:f>IF($A166&lt;&gt;"Yes","",IF($G166&lt;&gt;"",IFERROR(INDEX($O$6:$O$205,MATCH($G166,$B$6:$B$205,0)),"PARENT SEARCH NOT FOUND"),IFERROR(INDEX('Base Searches'!$E$6:$E$35,MATCH($F166,'Base Searches'!$B$6:$B$35,0)),"BASE NOT FOUND")))</x:f>
      </x:c>
      <x:c r="Q166" s="48" t="str">
        <x:f>IF(OR($A166&lt;&gt;"Yes",$B166=""),"",IF($H166&lt;&gt;"","| search "&amp;$H166,"")&amp;IF($I166&lt;&gt;"",IF($H166&lt;&gt;"",CHAR(10),"")&amp;$I166,"")&amp;IF($J166&lt;&gt;"",IF(OR($H166&lt;&gt;"",$I166&lt;&gt;""),CHAR(10),"")&amp;$J166,""))</x:f>
      </x:c>
      <x:c r="R166" s="48" t="str">
        <x:f>IF(OR($A166&lt;&gt;"Yes",$B166=""),"",IF($K166&lt;&gt;"Yes","Count disabled",IF($H166&lt;&gt;"","| search "&amp;$H166,"")&amp;IF($I166&lt;&gt;"",IF($H166&lt;&gt;"",CHAR(10),"")&amp;$I166,"")&amp;IF(OR($H166&lt;&gt;"",$I166&lt;&gt;""),CHAR(10),"")&amp;"| stats count as count"&amp;IF($L166&lt;&gt;""," by "&amp;$L166,"")&amp;IF($M166&lt;&gt;"",CHAR(10)&amp;"| where count &gt;= "&amp;$M166,"")&amp;CHAR(10)&amp;"| sort - count"))</x:f>
      </x:c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8" t="str">
        <x:f>IF($A167&lt;&gt;"Yes","",IF($G167&lt;&gt;"",IFERROR(INDEX($O$6:$O$205,MATCH($G167,$B$6:$B$205,0)),"PARENT SEARCH NOT FOUND"),IFERROR(INDEX('Base Searches'!$E$6:$E$35,MATCH($F167,'Base Searches'!$B$6:$B$35,0)),"BASE NOT FOUND")))</x:f>
      </x:c>
      <x:c r="Q167" s="48" t="str">
        <x:f>IF(OR($A167&lt;&gt;"Yes",$B167=""),"",IF($H167&lt;&gt;"","| search "&amp;$H167,"")&amp;IF($I167&lt;&gt;"",IF($H167&lt;&gt;"",CHAR(10),"")&amp;$I167,"")&amp;IF($J167&lt;&gt;"",IF(OR($H167&lt;&gt;"",$I167&lt;&gt;""),CHAR(10),"")&amp;$J167,""))</x:f>
      </x:c>
      <x:c r="R167" s="48" t="str">
        <x:f>IF(OR($A167&lt;&gt;"Yes",$B167=""),"",IF($K167&lt;&gt;"Yes","Count disabled",IF($H167&lt;&gt;"","| search "&amp;$H167,"")&amp;IF($I167&lt;&gt;"",IF($H167&lt;&gt;"",CHAR(10),"")&amp;$I167,"")&amp;IF(OR($H167&lt;&gt;"",$I167&lt;&gt;""),CHAR(10),"")&amp;"| stats count as count"&amp;IF($L167&lt;&gt;""," by "&amp;$L167,"")&amp;IF($M167&lt;&gt;"",CHAR(10)&amp;"| where count &gt;= "&amp;$M167,"")&amp;CHAR(10)&amp;"| sort - count"))</x:f>
      </x:c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8" t="str">
        <x:f>IF($A168&lt;&gt;"Yes","",IF($G168&lt;&gt;"",IFERROR(INDEX($O$6:$O$205,MATCH($G168,$B$6:$B$205,0)),"PARENT SEARCH NOT FOUND"),IFERROR(INDEX('Base Searches'!$E$6:$E$35,MATCH($F168,'Base Searches'!$B$6:$B$35,0)),"BASE NOT FOUND")))</x:f>
      </x:c>
      <x:c r="Q168" s="48" t="str">
        <x:f>IF(OR($A168&lt;&gt;"Yes",$B168=""),"",IF($H168&lt;&gt;"","| search "&amp;$H168,"")&amp;IF($I168&lt;&gt;"",IF($H168&lt;&gt;"",CHAR(10),"")&amp;$I168,"")&amp;IF($J168&lt;&gt;"",IF(OR($H168&lt;&gt;"",$I168&lt;&gt;""),CHAR(10),"")&amp;$J168,""))</x:f>
      </x:c>
      <x:c r="R168" s="48" t="str">
        <x:f>IF(OR($A168&lt;&gt;"Yes",$B168=""),"",IF($K168&lt;&gt;"Yes","Count disabled",IF($H168&lt;&gt;"","| search "&amp;$H168,"")&amp;IF($I168&lt;&gt;"",IF($H168&lt;&gt;"",CHAR(10),"")&amp;$I168,"")&amp;IF(OR($H168&lt;&gt;"",$I168&lt;&gt;""),CHAR(10),"")&amp;"| stats count as count"&amp;IF($L168&lt;&gt;""," by "&amp;$L168,"")&amp;IF($M168&lt;&gt;"",CHAR(10)&amp;"| where count &gt;= "&amp;$M168,"")&amp;CHAR(10)&amp;"| sort - count"))</x:f>
      </x:c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8" t="str">
        <x:f>IF($A169&lt;&gt;"Yes","",IF($G169&lt;&gt;"",IFERROR(INDEX($O$6:$O$205,MATCH($G169,$B$6:$B$205,0)),"PARENT SEARCH NOT FOUND"),IFERROR(INDEX('Base Searches'!$E$6:$E$35,MATCH($F169,'Base Searches'!$B$6:$B$35,0)),"BASE NOT FOUND")))</x:f>
      </x:c>
      <x:c r="Q169" s="48" t="str">
        <x:f>IF(OR($A169&lt;&gt;"Yes",$B169=""),"",IF($H169&lt;&gt;"","| search "&amp;$H169,"")&amp;IF($I169&lt;&gt;"",IF($H169&lt;&gt;"",CHAR(10),"")&amp;$I169,"")&amp;IF($J169&lt;&gt;"",IF(OR($H169&lt;&gt;"",$I169&lt;&gt;""),CHAR(10),"")&amp;$J169,""))</x:f>
      </x:c>
      <x:c r="R169" s="48" t="str">
        <x:f>IF(OR($A169&lt;&gt;"Yes",$B169=""),"",IF($K169&lt;&gt;"Yes","Count disabled",IF($H169&lt;&gt;"","| search "&amp;$H169,"")&amp;IF($I169&lt;&gt;"",IF($H169&lt;&gt;"",CHAR(10),"")&amp;$I169,"")&amp;IF(OR($H169&lt;&gt;"",$I169&lt;&gt;""),CHAR(10),"")&amp;"| stats count as count"&amp;IF($L169&lt;&gt;""," by "&amp;$L169,"")&amp;IF($M169&lt;&gt;"",CHAR(10)&amp;"| where count &gt;= "&amp;$M169,"")&amp;CHAR(10)&amp;"| sort - count"))</x:f>
      </x:c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8" t="str">
        <x:f>IF($A170&lt;&gt;"Yes","",IF($G170&lt;&gt;"",IFERROR(INDEX($O$6:$O$205,MATCH($G170,$B$6:$B$205,0)),"PARENT SEARCH NOT FOUND"),IFERROR(INDEX('Base Searches'!$E$6:$E$35,MATCH($F170,'Base Searches'!$B$6:$B$35,0)),"BASE NOT FOUND")))</x:f>
      </x:c>
      <x:c r="Q170" s="48" t="str">
        <x:f>IF(OR($A170&lt;&gt;"Yes",$B170=""),"",IF($H170&lt;&gt;"","| search "&amp;$H170,"")&amp;IF($I170&lt;&gt;"",IF($H170&lt;&gt;"",CHAR(10),"")&amp;$I170,"")&amp;IF($J170&lt;&gt;"",IF(OR($H170&lt;&gt;"",$I170&lt;&gt;""),CHAR(10),"")&amp;$J170,""))</x:f>
      </x:c>
      <x:c r="R170" s="48" t="str">
        <x:f>IF(OR($A170&lt;&gt;"Yes",$B170=""),"",IF($K170&lt;&gt;"Yes","Count disabled",IF($H170&lt;&gt;"","| search "&amp;$H170,"")&amp;IF($I170&lt;&gt;"",IF($H170&lt;&gt;"",CHAR(10),"")&amp;$I170,"")&amp;IF(OR($H170&lt;&gt;"",$I170&lt;&gt;""),CHAR(10),"")&amp;"| stats count as count"&amp;IF($L170&lt;&gt;""," by "&amp;$L170,"")&amp;IF($M170&lt;&gt;"",CHAR(10)&amp;"| where count &gt;= "&amp;$M170,"")&amp;CHAR(10)&amp;"| sort - count"))</x:f>
      </x:c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8" t="str">
        <x:f>IF($A171&lt;&gt;"Yes","",IF($G171&lt;&gt;"",IFERROR(INDEX($O$6:$O$205,MATCH($G171,$B$6:$B$205,0)),"PARENT SEARCH NOT FOUND"),IFERROR(INDEX('Base Searches'!$E$6:$E$35,MATCH($F171,'Base Searches'!$B$6:$B$35,0)),"BASE NOT FOUND")))</x:f>
      </x:c>
      <x:c r="Q171" s="48" t="str">
        <x:f>IF(OR($A171&lt;&gt;"Yes",$B171=""),"",IF($H171&lt;&gt;"","| search "&amp;$H171,"")&amp;IF($I171&lt;&gt;"",IF($H171&lt;&gt;"",CHAR(10),"")&amp;$I171,"")&amp;IF($J171&lt;&gt;"",IF(OR($H171&lt;&gt;"",$I171&lt;&gt;""),CHAR(10),"")&amp;$J171,""))</x:f>
      </x:c>
      <x:c r="R171" s="48" t="str">
        <x:f>IF(OR($A171&lt;&gt;"Yes",$B171=""),"",IF($K171&lt;&gt;"Yes","Count disabled",IF($H171&lt;&gt;"","| search "&amp;$H171,"")&amp;IF($I171&lt;&gt;"",IF($H171&lt;&gt;"",CHAR(10),"")&amp;$I171,"")&amp;IF(OR($H171&lt;&gt;"",$I171&lt;&gt;""),CHAR(10),"")&amp;"| stats count as count"&amp;IF($L171&lt;&gt;""," by "&amp;$L171,"")&amp;IF($M171&lt;&gt;"",CHAR(10)&amp;"| where count &gt;= "&amp;$M171,"")&amp;CHAR(10)&amp;"| sort - count"))</x:f>
      </x:c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8" t="str">
        <x:f>IF($A172&lt;&gt;"Yes","",IF($G172&lt;&gt;"",IFERROR(INDEX($O$6:$O$205,MATCH($G172,$B$6:$B$205,0)),"PARENT SEARCH NOT FOUND"),IFERROR(INDEX('Base Searches'!$E$6:$E$35,MATCH($F172,'Base Searches'!$B$6:$B$35,0)),"BASE NOT FOUND")))</x:f>
      </x:c>
      <x:c r="Q172" s="48" t="str">
        <x:f>IF(OR($A172&lt;&gt;"Yes",$B172=""),"",IF($H172&lt;&gt;"","| search "&amp;$H172,"")&amp;IF($I172&lt;&gt;"",IF($H172&lt;&gt;"",CHAR(10),"")&amp;$I172,"")&amp;IF($J172&lt;&gt;"",IF(OR($H172&lt;&gt;"",$I172&lt;&gt;""),CHAR(10),"")&amp;$J172,""))</x:f>
      </x:c>
      <x:c r="R172" s="48" t="str">
        <x:f>IF(OR($A172&lt;&gt;"Yes",$B172=""),"",IF($K172&lt;&gt;"Yes","Count disabled",IF($H172&lt;&gt;"","| search "&amp;$H172,"")&amp;IF($I172&lt;&gt;"",IF($H172&lt;&gt;"",CHAR(10),"")&amp;$I172,"")&amp;IF(OR($H172&lt;&gt;"",$I172&lt;&gt;""),CHAR(10),"")&amp;"| stats count as count"&amp;IF($L172&lt;&gt;""," by "&amp;$L172,"")&amp;IF($M172&lt;&gt;"",CHAR(10)&amp;"| where count &gt;= "&amp;$M172,"")&amp;CHAR(10)&amp;"| sort - count"))</x:f>
      </x:c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8" t="str">
        <x:f>IF($A173&lt;&gt;"Yes","",IF($G173&lt;&gt;"",IFERROR(INDEX($O$6:$O$205,MATCH($G173,$B$6:$B$205,0)),"PARENT SEARCH NOT FOUND"),IFERROR(INDEX('Base Searches'!$E$6:$E$35,MATCH($F173,'Base Searches'!$B$6:$B$35,0)),"BASE NOT FOUND")))</x:f>
      </x:c>
      <x:c r="Q173" s="48" t="str">
        <x:f>IF(OR($A173&lt;&gt;"Yes",$B173=""),"",IF($H173&lt;&gt;"","| search "&amp;$H173,"")&amp;IF($I173&lt;&gt;"",IF($H173&lt;&gt;"",CHAR(10),"")&amp;$I173,"")&amp;IF($J173&lt;&gt;"",IF(OR($H173&lt;&gt;"",$I173&lt;&gt;""),CHAR(10),"")&amp;$J173,""))</x:f>
      </x:c>
      <x:c r="R173" s="48" t="str">
        <x:f>IF(OR($A173&lt;&gt;"Yes",$B173=""),"",IF($K173&lt;&gt;"Yes","Count disabled",IF($H173&lt;&gt;"","| search "&amp;$H173,"")&amp;IF($I173&lt;&gt;"",IF($H173&lt;&gt;"",CHAR(10),"")&amp;$I173,"")&amp;IF(OR($H173&lt;&gt;"",$I173&lt;&gt;""),CHAR(10),"")&amp;"| stats count as count"&amp;IF($L173&lt;&gt;""," by "&amp;$L173,"")&amp;IF($M173&lt;&gt;"",CHAR(10)&amp;"| where count &gt;= "&amp;$M173,"")&amp;CHAR(10)&amp;"| sort - count"))</x:f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8" t="str">
        <x:f>IF($A174&lt;&gt;"Yes","",IF($G174&lt;&gt;"",IFERROR(INDEX($O$6:$O$205,MATCH($G174,$B$6:$B$205,0)),"PARENT SEARCH NOT FOUND"),IFERROR(INDEX('Base Searches'!$E$6:$E$35,MATCH($F174,'Base Searches'!$B$6:$B$35,0)),"BASE NOT FOUND")))</x:f>
      </x:c>
      <x:c r="Q174" s="48" t="str">
        <x:f>IF(OR($A174&lt;&gt;"Yes",$B174=""),"",IF($H174&lt;&gt;"","| search "&amp;$H174,"")&amp;IF($I174&lt;&gt;"",IF($H174&lt;&gt;"",CHAR(10),"")&amp;$I174,"")&amp;IF($J174&lt;&gt;"",IF(OR($H174&lt;&gt;"",$I174&lt;&gt;""),CHAR(10),"")&amp;$J174,""))</x:f>
      </x:c>
      <x:c r="R174" s="48" t="str">
        <x:f>IF(OR($A174&lt;&gt;"Yes",$B174=""),"",IF($K174&lt;&gt;"Yes","Count disabled",IF($H174&lt;&gt;"","| search "&amp;$H174,"")&amp;IF($I174&lt;&gt;"",IF($H174&lt;&gt;"",CHAR(10),"")&amp;$I174,"")&amp;IF(OR($H174&lt;&gt;"",$I174&lt;&gt;""),CHAR(10),"")&amp;"| stats count as count"&amp;IF($L174&lt;&gt;""," by "&amp;$L174,"")&amp;IF($M174&lt;&gt;"",CHAR(10)&amp;"| where count &gt;= "&amp;$M174,"")&amp;CHAR(10)&amp;"| sort - count"))</x:f>
      </x:c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8" t="str">
        <x:f>IF($A175&lt;&gt;"Yes","",IF($G175&lt;&gt;"",IFERROR(INDEX($O$6:$O$205,MATCH($G175,$B$6:$B$205,0)),"PARENT SEARCH NOT FOUND"),IFERROR(INDEX('Base Searches'!$E$6:$E$35,MATCH($F175,'Base Searches'!$B$6:$B$35,0)),"BASE NOT FOUND")))</x:f>
      </x:c>
      <x:c r="Q175" s="48" t="str">
        <x:f>IF(OR($A175&lt;&gt;"Yes",$B175=""),"",IF($H175&lt;&gt;"","| search "&amp;$H175,"")&amp;IF($I175&lt;&gt;"",IF($H175&lt;&gt;"",CHAR(10),"")&amp;$I175,"")&amp;IF($J175&lt;&gt;"",IF(OR($H175&lt;&gt;"",$I175&lt;&gt;""),CHAR(10),"")&amp;$J175,""))</x:f>
      </x:c>
      <x:c r="R175" s="48" t="str">
        <x:f>IF(OR($A175&lt;&gt;"Yes",$B175=""),"",IF($K175&lt;&gt;"Yes","Count disabled",IF($H175&lt;&gt;"","| search "&amp;$H175,"")&amp;IF($I175&lt;&gt;"",IF($H175&lt;&gt;"",CHAR(10),"")&amp;$I175,"")&amp;IF(OR($H175&lt;&gt;"",$I175&lt;&gt;""),CHAR(10),"")&amp;"| stats count as count"&amp;IF($L175&lt;&gt;""," by "&amp;$L175,"")&amp;IF($M175&lt;&gt;"",CHAR(10)&amp;"| where count &gt;= "&amp;$M175,"")&amp;CHAR(10)&amp;"| sort - count"))</x:f>
      </x:c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8" t="str">
        <x:f>IF($A176&lt;&gt;"Yes","",IF($G176&lt;&gt;"",IFERROR(INDEX($O$6:$O$205,MATCH($G176,$B$6:$B$205,0)),"PARENT SEARCH NOT FOUND"),IFERROR(INDEX('Base Searches'!$E$6:$E$35,MATCH($F176,'Base Searches'!$B$6:$B$35,0)),"BASE NOT FOUND")))</x:f>
      </x:c>
      <x:c r="Q176" s="48" t="str">
        <x:f>IF(OR($A176&lt;&gt;"Yes",$B176=""),"",IF($H176&lt;&gt;"","| search "&amp;$H176,"")&amp;IF($I176&lt;&gt;"",IF($H176&lt;&gt;"",CHAR(10),"")&amp;$I176,"")&amp;IF($J176&lt;&gt;"",IF(OR($H176&lt;&gt;"",$I176&lt;&gt;""),CHAR(10),"")&amp;$J176,""))</x:f>
      </x:c>
      <x:c r="R176" s="48" t="str">
        <x:f>IF(OR($A176&lt;&gt;"Yes",$B176=""),"",IF($K176&lt;&gt;"Yes","Count disabled",IF($H176&lt;&gt;"","| search "&amp;$H176,"")&amp;IF($I176&lt;&gt;"",IF($H176&lt;&gt;"",CHAR(10),"")&amp;$I176,"")&amp;IF(OR($H176&lt;&gt;"",$I176&lt;&gt;""),CHAR(10),"")&amp;"| stats count as count"&amp;IF($L176&lt;&gt;""," by "&amp;$L176,"")&amp;IF($M176&lt;&gt;"",CHAR(10)&amp;"| where count &gt;= "&amp;$M176,"")&amp;CHAR(10)&amp;"| sort - count"))</x:f>
      </x:c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8" t="str">
        <x:f>IF($A177&lt;&gt;"Yes","",IF($G177&lt;&gt;"",IFERROR(INDEX($O$6:$O$205,MATCH($G177,$B$6:$B$205,0)),"PARENT SEARCH NOT FOUND"),IFERROR(INDEX('Base Searches'!$E$6:$E$35,MATCH($F177,'Base Searches'!$B$6:$B$35,0)),"BASE NOT FOUND")))</x:f>
      </x:c>
      <x:c r="Q177" s="48" t="str">
        <x:f>IF(OR($A177&lt;&gt;"Yes",$B177=""),"",IF($H177&lt;&gt;"","| search "&amp;$H177,"")&amp;IF($I177&lt;&gt;"",IF($H177&lt;&gt;"",CHAR(10),"")&amp;$I177,"")&amp;IF($J177&lt;&gt;"",IF(OR($H177&lt;&gt;"",$I177&lt;&gt;""),CHAR(10),"")&amp;$J177,""))</x:f>
      </x:c>
      <x:c r="R177" s="48" t="str">
        <x:f>IF(OR($A177&lt;&gt;"Yes",$B177=""),"",IF($K177&lt;&gt;"Yes","Count disabled",IF($H177&lt;&gt;"","| search "&amp;$H177,"")&amp;IF($I177&lt;&gt;"",IF($H177&lt;&gt;"",CHAR(10),"")&amp;$I177,"")&amp;IF(OR($H177&lt;&gt;"",$I177&lt;&gt;""),CHAR(10),"")&amp;"| stats count as count"&amp;IF($L177&lt;&gt;""," by "&amp;$L177,"")&amp;IF($M177&lt;&gt;"",CHAR(10)&amp;"| where count &gt;= "&amp;$M177,"")&amp;CHAR(10)&amp;"| sort - count"))</x:f>
      </x:c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8" t="str">
        <x:f>IF($A178&lt;&gt;"Yes","",IF($G178&lt;&gt;"",IFERROR(INDEX($O$6:$O$205,MATCH($G178,$B$6:$B$205,0)),"PARENT SEARCH NOT FOUND"),IFERROR(INDEX('Base Searches'!$E$6:$E$35,MATCH($F178,'Base Searches'!$B$6:$B$35,0)),"BASE NOT FOUND")))</x:f>
      </x:c>
      <x:c r="Q178" s="48" t="str">
        <x:f>IF(OR($A178&lt;&gt;"Yes",$B178=""),"",IF($H178&lt;&gt;"","| search "&amp;$H178,"")&amp;IF($I178&lt;&gt;"",IF($H178&lt;&gt;"",CHAR(10),"")&amp;$I178,"")&amp;IF($J178&lt;&gt;"",IF(OR($H178&lt;&gt;"",$I178&lt;&gt;""),CHAR(10),"")&amp;$J178,""))</x:f>
      </x:c>
      <x:c r="R178" s="48" t="str">
        <x:f>IF(OR($A178&lt;&gt;"Yes",$B178=""),"",IF($K178&lt;&gt;"Yes","Count disabled",IF($H178&lt;&gt;"","| search "&amp;$H178,"")&amp;IF($I178&lt;&gt;"",IF($H178&lt;&gt;"",CHAR(10),"")&amp;$I178,"")&amp;IF(OR($H178&lt;&gt;"",$I178&lt;&gt;""),CHAR(10),"")&amp;"| stats count as count"&amp;IF($L178&lt;&gt;""," by "&amp;$L178,"")&amp;IF($M178&lt;&gt;"",CHAR(10)&amp;"| where count &gt;= "&amp;$M178,"")&amp;CHAR(10)&amp;"| sort - count"))</x:f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8" t="str">
        <x:f>IF($A179&lt;&gt;"Yes","",IF($G179&lt;&gt;"",IFERROR(INDEX($O$6:$O$205,MATCH($G179,$B$6:$B$205,0)),"PARENT SEARCH NOT FOUND"),IFERROR(INDEX('Base Searches'!$E$6:$E$35,MATCH($F179,'Base Searches'!$B$6:$B$35,0)),"BASE NOT FOUND")))</x:f>
      </x:c>
      <x:c r="Q179" s="48" t="str">
        <x:f>IF(OR($A179&lt;&gt;"Yes",$B179=""),"",IF($H179&lt;&gt;"","| search "&amp;$H179,"")&amp;IF($I179&lt;&gt;"",IF($H179&lt;&gt;"",CHAR(10),"")&amp;$I179,"")&amp;IF($J179&lt;&gt;"",IF(OR($H179&lt;&gt;"",$I179&lt;&gt;""),CHAR(10),"")&amp;$J179,""))</x:f>
      </x:c>
      <x:c r="R179" s="48" t="str">
        <x:f>IF(OR($A179&lt;&gt;"Yes",$B179=""),"",IF($K179&lt;&gt;"Yes","Count disabled",IF($H179&lt;&gt;"","| search "&amp;$H179,"")&amp;IF($I179&lt;&gt;"",IF($H179&lt;&gt;"",CHAR(10),"")&amp;$I179,"")&amp;IF(OR($H179&lt;&gt;"",$I179&lt;&gt;""),CHAR(10),"")&amp;"| stats count as count"&amp;IF($L179&lt;&gt;""," by "&amp;$L179,"")&amp;IF($M179&lt;&gt;"",CHAR(10)&amp;"| where count &gt;= "&amp;$M179,"")&amp;CHAR(10)&amp;"| sort - count"))</x:f>
      </x:c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8" t="str">
        <x:f>IF($A180&lt;&gt;"Yes","",IF($G180&lt;&gt;"",IFERROR(INDEX($O$6:$O$205,MATCH($G180,$B$6:$B$205,0)),"PARENT SEARCH NOT FOUND"),IFERROR(INDEX('Base Searches'!$E$6:$E$35,MATCH($F180,'Base Searches'!$B$6:$B$35,0)),"BASE NOT FOUND")))</x:f>
      </x:c>
      <x:c r="Q180" s="48" t="str">
        <x:f>IF(OR($A180&lt;&gt;"Yes",$B180=""),"",IF($H180&lt;&gt;"","| search "&amp;$H180,"")&amp;IF($I180&lt;&gt;"",IF($H180&lt;&gt;"",CHAR(10),"")&amp;$I180,"")&amp;IF($J180&lt;&gt;"",IF(OR($H180&lt;&gt;"",$I180&lt;&gt;""),CHAR(10),"")&amp;$J180,""))</x:f>
      </x:c>
      <x:c r="R180" s="48" t="str">
        <x:f>IF(OR($A180&lt;&gt;"Yes",$B180=""),"",IF($K180&lt;&gt;"Yes","Count disabled",IF($H180&lt;&gt;"","| search "&amp;$H180,"")&amp;IF($I180&lt;&gt;"",IF($H180&lt;&gt;"",CHAR(10),"")&amp;$I180,"")&amp;IF(OR($H180&lt;&gt;"",$I180&lt;&gt;""),CHAR(10),"")&amp;"| stats count as count"&amp;IF($L180&lt;&gt;""," by "&amp;$L180,"")&amp;IF($M180&lt;&gt;"",CHAR(10)&amp;"| where count &gt;= "&amp;$M180,"")&amp;CHAR(10)&amp;"| sort - count"))</x:f>
      </x:c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8" t="str">
        <x:f>IF($A181&lt;&gt;"Yes","",IF($G181&lt;&gt;"",IFERROR(INDEX($O$6:$O$205,MATCH($G181,$B$6:$B$205,0)),"PARENT SEARCH NOT FOUND"),IFERROR(INDEX('Base Searches'!$E$6:$E$35,MATCH($F181,'Base Searches'!$B$6:$B$35,0)),"BASE NOT FOUND")))</x:f>
      </x:c>
      <x:c r="Q181" s="48" t="str">
        <x:f>IF(OR($A181&lt;&gt;"Yes",$B181=""),"",IF($H181&lt;&gt;"","| search "&amp;$H181,"")&amp;IF($I181&lt;&gt;"",IF($H181&lt;&gt;"",CHAR(10),"")&amp;$I181,"")&amp;IF($J181&lt;&gt;"",IF(OR($H181&lt;&gt;"",$I181&lt;&gt;""),CHAR(10),"")&amp;$J181,""))</x:f>
      </x:c>
      <x:c r="R181" s="48" t="str">
        <x:f>IF(OR($A181&lt;&gt;"Yes",$B181=""),"",IF($K181&lt;&gt;"Yes","Count disabled",IF($H181&lt;&gt;"","| search "&amp;$H181,"")&amp;IF($I181&lt;&gt;"",IF($H181&lt;&gt;"",CHAR(10),"")&amp;$I181,"")&amp;IF(OR($H181&lt;&gt;"",$I181&lt;&gt;""),CHAR(10),"")&amp;"| stats count as count"&amp;IF($L181&lt;&gt;""," by "&amp;$L181,"")&amp;IF($M181&lt;&gt;"",CHAR(10)&amp;"| where count &gt;= "&amp;$M181,"")&amp;CHAR(10)&amp;"| sort - count"))</x:f>
      </x:c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8" t="str">
        <x:f>IF($A182&lt;&gt;"Yes","",IF($G182&lt;&gt;"",IFERROR(INDEX($O$6:$O$205,MATCH($G182,$B$6:$B$205,0)),"PARENT SEARCH NOT FOUND"),IFERROR(INDEX('Base Searches'!$E$6:$E$35,MATCH($F182,'Base Searches'!$B$6:$B$35,0)),"BASE NOT FOUND")))</x:f>
      </x:c>
      <x:c r="Q182" s="48" t="str">
        <x:f>IF(OR($A182&lt;&gt;"Yes",$B182=""),"",IF($H182&lt;&gt;"","| search "&amp;$H182,"")&amp;IF($I182&lt;&gt;"",IF($H182&lt;&gt;"",CHAR(10),"")&amp;$I182,"")&amp;IF($J182&lt;&gt;"",IF(OR($H182&lt;&gt;"",$I182&lt;&gt;""),CHAR(10),"")&amp;$J182,""))</x:f>
      </x:c>
      <x:c r="R182" s="48" t="str">
        <x:f>IF(OR($A182&lt;&gt;"Yes",$B182=""),"",IF($K182&lt;&gt;"Yes","Count disabled",IF($H182&lt;&gt;"","| search "&amp;$H182,"")&amp;IF($I182&lt;&gt;"",IF($H182&lt;&gt;"",CHAR(10),"")&amp;$I182,"")&amp;IF(OR($H182&lt;&gt;"",$I182&lt;&gt;""),CHAR(10),"")&amp;"| stats count as count"&amp;IF($L182&lt;&gt;""," by "&amp;$L182,"")&amp;IF($M182&lt;&gt;"",CHAR(10)&amp;"| where count &gt;= "&amp;$M182,"")&amp;CHAR(10)&amp;"| sort - count"))</x:f>
      </x:c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8" t="str">
        <x:f>IF($A183&lt;&gt;"Yes","",IF($G183&lt;&gt;"",IFERROR(INDEX($O$6:$O$205,MATCH($G183,$B$6:$B$205,0)),"PARENT SEARCH NOT FOUND"),IFERROR(INDEX('Base Searches'!$E$6:$E$35,MATCH($F183,'Base Searches'!$B$6:$B$35,0)),"BASE NOT FOUND")))</x:f>
      </x:c>
      <x:c r="Q183" s="48" t="str">
        <x:f>IF(OR($A183&lt;&gt;"Yes",$B183=""),"",IF($H183&lt;&gt;"","| search "&amp;$H183,"")&amp;IF($I183&lt;&gt;"",IF($H183&lt;&gt;"",CHAR(10),"")&amp;$I183,"")&amp;IF($J183&lt;&gt;"",IF(OR($H183&lt;&gt;"",$I183&lt;&gt;""),CHAR(10),"")&amp;$J183,""))</x:f>
      </x:c>
      <x:c r="R183" s="48" t="str">
        <x:f>IF(OR($A183&lt;&gt;"Yes",$B183=""),"",IF($K183&lt;&gt;"Yes","Count disabled",IF($H183&lt;&gt;"","| search "&amp;$H183,"")&amp;IF($I183&lt;&gt;"",IF($H183&lt;&gt;"",CHAR(10),"")&amp;$I183,"")&amp;IF(OR($H183&lt;&gt;"",$I183&lt;&gt;""),CHAR(10),"")&amp;"| stats count as count"&amp;IF($L183&lt;&gt;""," by "&amp;$L183,"")&amp;IF($M183&lt;&gt;"",CHAR(10)&amp;"| where count &gt;= "&amp;$M183,"")&amp;CHAR(10)&amp;"| sort - count"))</x:f>
      </x:c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8" t="str">
        <x:f>IF($A184&lt;&gt;"Yes","",IF($G184&lt;&gt;"",IFERROR(INDEX($O$6:$O$205,MATCH($G184,$B$6:$B$205,0)),"PARENT SEARCH NOT FOUND"),IFERROR(INDEX('Base Searches'!$E$6:$E$35,MATCH($F184,'Base Searches'!$B$6:$B$35,0)),"BASE NOT FOUND")))</x:f>
      </x:c>
      <x:c r="Q184" s="48" t="str">
        <x:f>IF(OR($A184&lt;&gt;"Yes",$B184=""),"",IF($H184&lt;&gt;"","| search "&amp;$H184,"")&amp;IF($I184&lt;&gt;"",IF($H184&lt;&gt;"",CHAR(10),"")&amp;$I184,"")&amp;IF($J184&lt;&gt;"",IF(OR($H184&lt;&gt;"",$I184&lt;&gt;""),CHAR(10),"")&amp;$J184,""))</x:f>
      </x:c>
      <x:c r="R184" s="48" t="str">
        <x:f>IF(OR($A184&lt;&gt;"Yes",$B184=""),"",IF($K184&lt;&gt;"Yes","Count disabled",IF($H184&lt;&gt;"","| search "&amp;$H184,"")&amp;IF($I184&lt;&gt;"",IF($H184&lt;&gt;"",CHAR(10),"")&amp;$I184,"")&amp;IF(OR($H184&lt;&gt;"",$I184&lt;&gt;""),CHAR(10),"")&amp;"| stats count as count"&amp;IF($L184&lt;&gt;""," by "&amp;$L184,"")&amp;IF($M184&lt;&gt;"",CHAR(10)&amp;"| where count &gt;= "&amp;$M184,"")&amp;CHAR(10)&amp;"| sort - count"))</x:f>
      </x:c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8" t="str">
        <x:f>IF($A185&lt;&gt;"Yes","",IF($G185&lt;&gt;"",IFERROR(INDEX($O$6:$O$205,MATCH($G185,$B$6:$B$205,0)),"PARENT SEARCH NOT FOUND"),IFERROR(INDEX('Base Searches'!$E$6:$E$35,MATCH($F185,'Base Searches'!$B$6:$B$35,0)),"BASE NOT FOUND")))</x:f>
      </x:c>
      <x:c r="Q185" s="48" t="str">
        <x:f>IF(OR($A185&lt;&gt;"Yes",$B185=""),"",IF($H185&lt;&gt;"","| search "&amp;$H185,"")&amp;IF($I185&lt;&gt;"",IF($H185&lt;&gt;"",CHAR(10),"")&amp;$I185,"")&amp;IF($J185&lt;&gt;"",IF(OR($H185&lt;&gt;"",$I185&lt;&gt;""),CHAR(10),"")&amp;$J185,""))</x:f>
      </x:c>
      <x:c r="R185" s="48" t="str">
        <x:f>IF(OR($A185&lt;&gt;"Yes",$B185=""),"",IF($K185&lt;&gt;"Yes","Count disabled",IF($H185&lt;&gt;"","| search "&amp;$H185,"")&amp;IF($I185&lt;&gt;"",IF($H185&lt;&gt;"",CHAR(10),"")&amp;$I185,"")&amp;IF(OR($H185&lt;&gt;"",$I185&lt;&gt;""),CHAR(10),"")&amp;"| stats count as count"&amp;IF($L185&lt;&gt;""," by "&amp;$L185,"")&amp;IF($M185&lt;&gt;"",CHAR(10)&amp;"| where count &gt;= "&amp;$M185,"")&amp;CHAR(10)&amp;"| sort - count"))</x:f>
      </x:c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8" t="str">
        <x:f>IF($A186&lt;&gt;"Yes","",IF($G186&lt;&gt;"",IFERROR(INDEX($O$6:$O$205,MATCH($G186,$B$6:$B$205,0)),"PARENT SEARCH NOT FOUND"),IFERROR(INDEX('Base Searches'!$E$6:$E$35,MATCH($F186,'Base Searches'!$B$6:$B$35,0)),"BASE NOT FOUND")))</x:f>
      </x:c>
      <x:c r="Q186" s="48" t="str">
        <x:f>IF(OR($A186&lt;&gt;"Yes",$B186=""),"",IF($H186&lt;&gt;"","| search "&amp;$H186,"")&amp;IF($I186&lt;&gt;"",IF($H186&lt;&gt;"",CHAR(10),"")&amp;$I186,"")&amp;IF($J186&lt;&gt;"",IF(OR($H186&lt;&gt;"",$I186&lt;&gt;""),CHAR(10),"")&amp;$J186,""))</x:f>
      </x:c>
      <x:c r="R186" s="48" t="str">
        <x:f>IF(OR($A186&lt;&gt;"Yes",$B186=""),"",IF($K186&lt;&gt;"Yes","Count disabled",IF($H186&lt;&gt;"","| search "&amp;$H186,"")&amp;IF($I186&lt;&gt;"",IF($H186&lt;&gt;"",CHAR(10),"")&amp;$I186,"")&amp;IF(OR($H186&lt;&gt;"",$I186&lt;&gt;""),CHAR(10),"")&amp;"| stats count as count"&amp;IF($L186&lt;&gt;""," by "&amp;$L186,"")&amp;IF($M186&lt;&gt;"",CHAR(10)&amp;"| where count &gt;= "&amp;$M186,"")&amp;CHAR(10)&amp;"| sort - count"))</x:f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8" t="str">
        <x:f>IF($A187&lt;&gt;"Yes","",IF($G187&lt;&gt;"",IFERROR(INDEX($O$6:$O$205,MATCH($G187,$B$6:$B$205,0)),"PARENT SEARCH NOT FOUND"),IFERROR(INDEX('Base Searches'!$E$6:$E$35,MATCH($F187,'Base Searches'!$B$6:$B$35,0)),"BASE NOT FOUND")))</x:f>
      </x:c>
      <x:c r="Q187" s="48" t="str">
        <x:f>IF(OR($A187&lt;&gt;"Yes",$B187=""),"",IF($H187&lt;&gt;"","| search "&amp;$H187,"")&amp;IF($I187&lt;&gt;"",IF($H187&lt;&gt;"",CHAR(10),"")&amp;$I187,"")&amp;IF($J187&lt;&gt;"",IF(OR($H187&lt;&gt;"",$I187&lt;&gt;""),CHAR(10),"")&amp;$J187,""))</x:f>
      </x:c>
      <x:c r="R187" s="48" t="str">
        <x:f>IF(OR($A187&lt;&gt;"Yes",$B187=""),"",IF($K187&lt;&gt;"Yes","Count disabled",IF($H187&lt;&gt;"","| search "&amp;$H187,"")&amp;IF($I187&lt;&gt;"",IF($H187&lt;&gt;"",CHAR(10),"")&amp;$I187,"")&amp;IF(OR($H187&lt;&gt;"",$I187&lt;&gt;""),CHAR(10),"")&amp;"| stats count as count"&amp;IF($L187&lt;&gt;""," by "&amp;$L187,"")&amp;IF($M187&lt;&gt;"",CHAR(10)&amp;"| where count &gt;= "&amp;$M187,"")&amp;CHAR(10)&amp;"| sort - count"))</x:f>
      </x:c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8" t="str">
        <x:f>IF($A188&lt;&gt;"Yes","",IF($G188&lt;&gt;"",IFERROR(INDEX($O$6:$O$205,MATCH($G188,$B$6:$B$205,0)),"PARENT SEARCH NOT FOUND"),IFERROR(INDEX('Base Searches'!$E$6:$E$35,MATCH($F188,'Base Searches'!$B$6:$B$35,0)),"BASE NOT FOUND")))</x:f>
      </x:c>
      <x:c r="Q188" s="48" t="str">
        <x:f>IF(OR($A188&lt;&gt;"Yes",$B188=""),"",IF($H188&lt;&gt;"","| search "&amp;$H188,"")&amp;IF($I188&lt;&gt;"",IF($H188&lt;&gt;"",CHAR(10),"")&amp;$I188,"")&amp;IF($J188&lt;&gt;"",IF(OR($H188&lt;&gt;"",$I188&lt;&gt;""),CHAR(10),"")&amp;$J188,""))</x:f>
      </x:c>
      <x:c r="R188" s="48" t="str">
        <x:f>IF(OR($A188&lt;&gt;"Yes",$B188=""),"",IF($K188&lt;&gt;"Yes","Count disabled",IF($H188&lt;&gt;"","| search "&amp;$H188,"")&amp;IF($I188&lt;&gt;"",IF($H188&lt;&gt;"",CHAR(10),"")&amp;$I188,"")&amp;IF(OR($H188&lt;&gt;"",$I188&lt;&gt;""),CHAR(10),"")&amp;"| stats count as count"&amp;IF($L188&lt;&gt;""," by "&amp;$L188,"")&amp;IF($M188&lt;&gt;"",CHAR(10)&amp;"| where count &gt;= "&amp;$M188,"")&amp;CHAR(10)&amp;"| sort - count"))</x:f>
      </x:c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8" t="str">
        <x:f>IF($A189&lt;&gt;"Yes","",IF($G189&lt;&gt;"",IFERROR(INDEX($O$6:$O$205,MATCH($G189,$B$6:$B$205,0)),"PARENT SEARCH NOT FOUND"),IFERROR(INDEX('Base Searches'!$E$6:$E$35,MATCH($F189,'Base Searches'!$B$6:$B$35,0)),"BASE NOT FOUND")))</x:f>
      </x:c>
      <x:c r="Q189" s="48" t="str">
        <x:f>IF(OR($A189&lt;&gt;"Yes",$B189=""),"",IF($H189&lt;&gt;"","| search "&amp;$H189,"")&amp;IF($I189&lt;&gt;"",IF($H189&lt;&gt;"",CHAR(10),"")&amp;$I189,"")&amp;IF($J189&lt;&gt;"",IF(OR($H189&lt;&gt;"",$I189&lt;&gt;""),CHAR(10),"")&amp;$J189,""))</x:f>
      </x:c>
      <x:c r="R189" s="48" t="str">
        <x:f>IF(OR($A189&lt;&gt;"Yes",$B189=""),"",IF($K189&lt;&gt;"Yes","Count disabled",IF($H189&lt;&gt;"","| search "&amp;$H189,"")&amp;IF($I189&lt;&gt;"",IF($H189&lt;&gt;"",CHAR(10),"")&amp;$I189,"")&amp;IF(OR($H189&lt;&gt;"",$I189&lt;&gt;""),CHAR(10),"")&amp;"| stats count as count"&amp;IF($L189&lt;&gt;""," by "&amp;$L189,"")&amp;IF($M189&lt;&gt;"",CHAR(10)&amp;"| where count &gt;= "&amp;$M189,"")&amp;CHAR(10)&amp;"| sort - count"))</x:f>
      </x:c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8" t="str">
        <x:f>IF($A190&lt;&gt;"Yes","",IF($G190&lt;&gt;"",IFERROR(INDEX($O$6:$O$205,MATCH($G190,$B$6:$B$205,0)),"PARENT SEARCH NOT FOUND"),IFERROR(INDEX('Base Searches'!$E$6:$E$35,MATCH($F190,'Base Searches'!$B$6:$B$35,0)),"BASE NOT FOUND")))</x:f>
      </x:c>
      <x:c r="Q190" s="48" t="str">
        <x:f>IF(OR($A190&lt;&gt;"Yes",$B190=""),"",IF($H190&lt;&gt;"","| search "&amp;$H190,"")&amp;IF($I190&lt;&gt;"",IF($H190&lt;&gt;"",CHAR(10),"")&amp;$I190,"")&amp;IF($J190&lt;&gt;"",IF(OR($H190&lt;&gt;"",$I190&lt;&gt;""),CHAR(10),"")&amp;$J190,""))</x:f>
      </x:c>
      <x:c r="R190" s="48" t="str">
        <x:f>IF(OR($A190&lt;&gt;"Yes",$B190=""),"",IF($K190&lt;&gt;"Yes","Count disabled",IF($H190&lt;&gt;"","| search "&amp;$H190,"")&amp;IF($I190&lt;&gt;"",IF($H190&lt;&gt;"",CHAR(10),"")&amp;$I190,"")&amp;IF(OR($H190&lt;&gt;"",$I190&lt;&gt;""),CHAR(10),"")&amp;"| stats count as count"&amp;IF($L190&lt;&gt;""," by "&amp;$L190,"")&amp;IF($M190&lt;&gt;"",CHAR(10)&amp;"| where count &gt;= "&amp;$M190,"")&amp;CHAR(10)&amp;"| sort - count"))</x:f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8" t="str">
        <x:f>IF($A191&lt;&gt;"Yes","",IF($G191&lt;&gt;"",IFERROR(INDEX($O$6:$O$205,MATCH($G191,$B$6:$B$205,0)),"PARENT SEARCH NOT FOUND"),IFERROR(INDEX('Base Searches'!$E$6:$E$35,MATCH($F191,'Base Searches'!$B$6:$B$35,0)),"BASE NOT FOUND")))</x:f>
      </x:c>
      <x:c r="Q191" s="48" t="str">
        <x:f>IF(OR($A191&lt;&gt;"Yes",$B191=""),"",IF($H191&lt;&gt;"","| search "&amp;$H191,"")&amp;IF($I191&lt;&gt;"",IF($H191&lt;&gt;"",CHAR(10),"")&amp;$I191,"")&amp;IF($J191&lt;&gt;"",IF(OR($H191&lt;&gt;"",$I191&lt;&gt;""),CHAR(10),"")&amp;$J191,""))</x:f>
      </x:c>
      <x:c r="R191" s="48" t="str">
        <x:f>IF(OR($A191&lt;&gt;"Yes",$B191=""),"",IF($K191&lt;&gt;"Yes","Count disabled",IF($H191&lt;&gt;"","| search "&amp;$H191,"")&amp;IF($I191&lt;&gt;"",IF($H191&lt;&gt;"",CHAR(10),"")&amp;$I191,"")&amp;IF(OR($H191&lt;&gt;"",$I191&lt;&gt;""),CHAR(10),"")&amp;"| stats count as count"&amp;IF($L191&lt;&gt;""," by "&amp;$L191,"")&amp;IF($M191&lt;&gt;"",CHAR(10)&amp;"| where count &gt;= "&amp;$M191,"")&amp;CHAR(10)&amp;"| sort - count"))</x:f>
      </x:c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8" t="str">
        <x:f>IF($A192&lt;&gt;"Yes","",IF($G192&lt;&gt;"",IFERROR(INDEX($O$6:$O$205,MATCH($G192,$B$6:$B$205,0)),"PARENT SEARCH NOT FOUND"),IFERROR(INDEX('Base Searches'!$E$6:$E$35,MATCH($F192,'Base Searches'!$B$6:$B$35,0)),"BASE NOT FOUND")))</x:f>
      </x:c>
      <x:c r="Q192" s="48" t="str">
        <x:f>IF(OR($A192&lt;&gt;"Yes",$B192=""),"",IF($H192&lt;&gt;"","| search "&amp;$H192,"")&amp;IF($I192&lt;&gt;"",IF($H192&lt;&gt;"",CHAR(10),"")&amp;$I192,"")&amp;IF($J192&lt;&gt;"",IF(OR($H192&lt;&gt;"",$I192&lt;&gt;""),CHAR(10),"")&amp;$J192,""))</x:f>
      </x:c>
      <x:c r="R192" s="48" t="str">
        <x:f>IF(OR($A192&lt;&gt;"Yes",$B192=""),"",IF($K192&lt;&gt;"Yes","Count disabled",IF($H192&lt;&gt;"","| search "&amp;$H192,"")&amp;IF($I192&lt;&gt;"",IF($H192&lt;&gt;"",CHAR(10),"")&amp;$I192,"")&amp;IF(OR($H192&lt;&gt;"",$I192&lt;&gt;""),CHAR(10),"")&amp;"| stats count as count"&amp;IF($L192&lt;&gt;""," by "&amp;$L192,"")&amp;IF($M192&lt;&gt;"",CHAR(10)&amp;"| where count &gt;= "&amp;$M192,"")&amp;CHAR(10)&amp;"| sort - count"))</x:f>
      </x:c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8" t="str">
        <x:f>IF($A193&lt;&gt;"Yes","",IF($G193&lt;&gt;"",IFERROR(INDEX($O$6:$O$205,MATCH($G193,$B$6:$B$205,0)),"PARENT SEARCH NOT FOUND"),IFERROR(INDEX('Base Searches'!$E$6:$E$35,MATCH($F193,'Base Searches'!$B$6:$B$35,0)),"BASE NOT FOUND")))</x:f>
      </x:c>
      <x:c r="Q193" s="48" t="str">
        <x:f>IF(OR($A193&lt;&gt;"Yes",$B193=""),"",IF($H193&lt;&gt;"","| search "&amp;$H193,"")&amp;IF($I193&lt;&gt;"",IF($H193&lt;&gt;"",CHAR(10),"")&amp;$I193,"")&amp;IF($J193&lt;&gt;"",IF(OR($H193&lt;&gt;"",$I193&lt;&gt;""),CHAR(10),"")&amp;$J193,""))</x:f>
      </x:c>
      <x:c r="R193" s="48" t="str">
        <x:f>IF(OR($A193&lt;&gt;"Yes",$B193=""),"",IF($K193&lt;&gt;"Yes","Count disabled",IF($H193&lt;&gt;"","| search "&amp;$H193,"")&amp;IF($I193&lt;&gt;"",IF($H193&lt;&gt;"",CHAR(10),"")&amp;$I193,"")&amp;IF(OR($H193&lt;&gt;"",$I193&lt;&gt;""),CHAR(10),"")&amp;"| stats count as count"&amp;IF($L193&lt;&gt;""," by "&amp;$L193,"")&amp;IF($M193&lt;&gt;"",CHAR(10)&amp;"| where count &gt;= "&amp;$M193,"")&amp;CHAR(10)&amp;"| sort - count"))</x:f>
      </x:c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8" t="str">
        <x:f>IF($A194&lt;&gt;"Yes","",IF($G194&lt;&gt;"",IFERROR(INDEX($O$6:$O$205,MATCH($G194,$B$6:$B$205,0)),"PARENT SEARCH NOT FOUND"),IFERROR(INDEX('Base Searches'!$E$6:$E$35,MATCH($F194,'Base Searches'!$B$6:$B$35,0)),"BASE NOT FOUND")))</x:f>
      </x:c>
      <x:c r="Q194" s="48" t="str">
        <x:f>IF(OR($A194&lt;&gt;"Yes",$B194=""),"",IF($H194&lt;&gt;"","| search "&amp;$H194,"")&amp;IF($I194&lt;&gt;"",IF($H194&lt;&gt;"",CHAR(10),"")&amp;$I194,"")&amp;IF($J194&lt;&gt;"",IF(OR($H194&lt;&gt;"",$I194&lt;&gt;""),CHAR(10),"")&amp;$J194,""))</x:f>
      </x:c>
      <x:c r="R194" s="48" t="str">
        <x:f>IF(OR($A194&lt;&gt;"Yes",$B194=""),"",IF($K194&lt;&gt;"Yes","Count disabled",IF($H194&lt;&gt;"","| search "&amp;$H194,"")&amp;IF($I194&lt;&gt;"",IF($H194&lt;&gt;"",CHAR(10),"")&amp;$I194,"")&amp;IF(OR($H194&lt;&gt;"",$I194&lt;&gt;""),CHAR(10),"")&amp;"| stats count as count"&amp;IF($L194&lt;&gt;""," by "&amp;$L194,"")&amp;IF($M194&lt;&gt;"",CHAR(10)&amp;"| where count &gt;= "&amp;$M194,"")&amp;CHAR(10)&amp;"| sort - count"))</x:f>
      </x:c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8" t="str">
        <x:f>IF($A195&lt;&gt;"Yes","",IF($G195&lt;&gt;"",IFERROR(INDEX($O$6:$O$205,MATCH($G195,$B$6:$B$205,0)),"PARENT SEARCH NOT FOUND"),IFERROR(INDEX('Base Searches'!$E$6:$E$35,MATCH($F195,'Base Searches'!$B$6:$B$35,0)),"BASE NOT FOUND")))</x:f>
      </x:c>
      <x:c r="Q195" s="48" t="str">
        <x:f>IF(OR($A195&lt;&gt;"Yes",$B195=""),"",IF($H195&lt;&gt;"","| search "&amp;$H195,"")&amp;IF($I195&lt;&gt;"",IF($H195&lt;&gt;"",CHAR(10),"")&amp;$I195,"")&amp;IF($J195&lt;&gt;"",IF(OR($H195&lt;&gt;"",$I195&lt;&gt;""),CHAR(10),"")&amp;$J195,""))</x:f>
      </x:c>
      <x:c r="R195" s="48" t="str">
        <x:f>IF(OR($A195&lt;&gt;"Yes",$B195=""),"",IF($K195&lt;&gt;"Yes","Count disabled",IF($H195&lt;&gt;"","| search "&amp;$H195,"")&amp;IF($I195&lt;&gt;"",IF($H195&lt;&gt;"",CHAR(10),"")&amp;$I195,"")&amp;IF(OR($H195&lt;&gt;"",$I195&lt;&gt;""),CHAR(10),"")&amp;"| stats count as count"&amp;IF($L195&lt;&gt;""," by "&amp;$L195,"")&amp;IF($M195&lt;&gt;"",CHAR(10)&amp;"| where count &gt;= "&amp;$M195,"")&amp;CHAR(10)&amp;"| sort - count"))</x:f>
      </x:c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8" t="str">
        <x:f>IF($A196&lt;&gt;"Yes","",IF($G196&lt;&gt;"",IFERROR(INDEX($O$6:$O$205,MATCH($G196,$B$6:$B$205,0)),"PARENT SEARCH NOT FOUND"),IFERROR(INDEX('Base Searches'!$E$6:$E$35,MATCH($F196,'Base Searches'!$B$6:$B$35,0)),"BASE NOT FOUND")))</x:f>
      </x:c>
      <x:c r="Q196" s="48" t="str">
        <x:f>IF(OR($A196&lt;&gt;"Yes",$B196=""),"",IF($H196&lt;&gt;"","| search "&amp;$H196,"")&amp;IF($I196&lt;&gt;"",IF($H196&lt;&gt;"",CHAR(10),"")&amp;$I196,"")&amp;IF($J196&lt;&gt;"",IF(OR($H196&lt;&gt;"",$I196&lt;&gt;""),CHAR(10),"")&amp;$J196,""))</x:f>
      </x:c>
      <x:c r="R196" s="48" t="str">
        <x:f>IF(OR($A196&lt;&gt;"Yes",$B196=""),"",IF($K196&lt;&gt;"Yes","Count disabled",IF($H196&lt;&gt;"","| search "&amp;$H196,"")&amp;IF($I196&lt;&gt;"",IF($H196&lt;&gt;"",CHAR(10),"")&amp;$I196,"")&amp;IF(OR($H196&lt;&gt;"",$I196&lt;&gt;""),CHAR(10),"")&amp;"| stats count as count"&amp;IF($L196&lt;&gt;""," by "&amp;$L196,"")&amp;IF($M196&lt;&gt;"",CHAR(10)&amp;"| where count &gt;= "&amp;$M196,"")&amp;CHAR(10)&amp;"| sort - count"))</x:f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8" t="str">
        <x:f>IF($A197&lt;&gt;"Yes","",IF($G197&lt;&gt;"",IFERROR(INDEX($O$6:$O$205,MATCH($G197,$B$6:$B$205,0)),"PARENT SEARCH NOT FOUND"),IFERROR(INDEX('Base Searches'!$E$6:$E$35,MATCH($F197,'Base Searches'!$B$6:$B$35,0)),"BASE NOT FOUND")))</x:f>
      </x:c>
      <x:c r="Q197" s="48" t="str">
        <x:f>IF(OR($A197&lt;&gt;"Yes",$B197=""),"",IF($H197&lt;&gt;"","| search "&amp;$H197,"")&amp;IF($I197&lt;&gt;"",IF($H197&lt;&gt;"",CHAR(10),"")&amp;$I197,"")&amp;IF($J197&lt;&gt;"",IF(OR($H197&lt;&gt;"",$I197&lt;&gt;""),CHAR(10),"")&amp;$J197,""))</x:f>
      </x:c>
      <x:c r="R197" s="48" t="str">
        <x:f>IF(OR($A197&lt;&gt;"Yes",$B197=""),"",IF($K197&lt;&gt;"Yes","Count disabled",IF($H197&lt;&gt;"","| search "&amp;$H197,"")&amp;IF($I197&lt;&gt;"",IF($H197&lt;&gt;"",CHAR(10),"")&amp;$I197,"")&amp;IF(OR($H197&lt;&gt;"",$I197&lt;&gt;""),CHAR(10),"")&amp;"| stats count as count"&amp;IF($L197&lt;&gt;""," by "&amp;$L197,"")&amp;IF($M197&lt;&gt;"",CHAR(10)&amp;"| where count &gt;= "&amp;$M197,"")&amp;CHAR(10)&amp;"| sort - count"))</x:f>
      </x:c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8" t="str">
        <x:f>IF($A198&lt;&gt;"Yes","",IF($G198&lt;&gt;"",IFERROR(INDEX($O$6:$O$205,MATCH($G198,$B$6:$B$205,0)),"PARENT SEARCH NOT FOUND"),IFERROR(INDEX('Base Searches'!$E$6:$E$35,MATCH($F198,'Base Searches'!$B$6:$B$35,0)),"BASE NOT FOUND")))</x:f>
      </x:c>
      <x:c r="Q198" s="48" t="str">
        <x:f>IF(OR($A198&lt;&gt;"Yes",$B198=""),"",IF($H198&lt;&gt;"","| search "&amp;$H198,"")&amp;IF($I198&lt;&gt;"",IF($H198&lt;&gt;"",CHAR(10),"")&amp;$I198,"")&amp;IF($J198&lt;&gt;"",IF(OR($H198&lt;&gt;"",$I198&lt;&gt;""),CHAR(10),"")&amp;$J198,""))</x:f>
      </x:c>
      <x:c r="R198" s="48" t="str">
        <x:f>IF(OR($A198&lt;&gt;"Yes",$B198=""),"",IF($K198&lt;&gt;"Yes","Count disabled",IF($H198&lt;&gt;"","| search "&amp;$H198,"")&amp;IF($I198&lt;&gt;"",IF($H198&lt;&gt;"",CHAR(10),"")&amp;$I198,"")&amp;IF(OR($H198&lt;&gt;"",$I198&lt;&gt;""),CHAR(10),"")&amp;"| stats count as count"&amp;IF($L198&lt;&gt;""," by "&amp;$L198,"")&amp;IF($M198&lt;&gt;"",CHAR(10)&amp;"| where count &gt;= "&amp;$M198,"")&amp;CHAR(10)&amp;"| sort - count"))</x:f>
      </x:c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8" t="str">
        <x:f>IF($A199&lt;&gt;"Yes","",IF($G199&lt;&gt;"",IFERROR(INDEX($O$6:$O$205,MATCH($G199,$B$6:$B$205,0)),"PARENT SEARCH NOT FOUND"),IFERROR(INDEX('Base Searches'!$E$6:$E$35,MATCH($F199,'Base Searches'!$B$6:$B$35,0)),"BASE NOT FOUND")))</x:f>
      </x:c>
      <x:c r="Q199" s="48" t="str">
        <x:f>IF(OR($A199&lt;&gt;"Yes",$B199=""),"",IF($H199&lt;&gt;"","| search "&amp;$H199,"")&amp;IF($I199&lt;&gt;"",IF($H199&lt;&gt;"",CHAR(10),"")&amp;$I199,"")&amp;IF($J199&lt;&gt;"",IF(OR($H199&lt;&gt;"",$I199&lt;&gt;""),CHAR(10),"")&amp;$J199,""))</x:f>
      </x:c>
      <x:c r="R199" s="48" t="str">
        <x:f>IF(OR($A199&lt;&gt;"Yes",$B199=""),"",IF($K199&lt;&gt;"Yes","Count disabled",IF($H199&lt;&gt;"","| search "&amp;$H199,"")&amp;IF($I199&lt;&gt;"",IF($H199&lt;&gt;"",CHAR(10),"")&amp;$I199,"")&amp;IF(OR($H199&lt;&gt;"",$I199&lt;&gt;""),CHAR(10),"")&amp;"| stats count as count"&amp;IF($L199&lt;&gt;""," by "&amp;$L199,"")&amp;IF($M199&lt;&gt;"",CHAR(10)&amp;"| where count &gt;= "&amp;$M199,"")&amp;CHAR(10)&amp;"| sort - count"))</x:f>
      </x:c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8" t="str">
        <x:f>IF($A200&lt;&gt;"Yes","",IF($G200&lt;&gt;"",IFERROR(INDEX($O$6:$O$205,MATCH($G200,$B$6:$B$205,0)),"PARENT SEARCH NOT FOUND"),IFERROR(INDEX('Base Searches'!$E$6:$E$35,MATCH($F200,'Base Searches'!$B$6:$B$35,0)),"BASE NOT FOUND")))</x:f>
      </x:c>
      <x:c r="Q200" s="48" t="str">
        <x:f>IF(OR($A200&lt;&gt;"Yes",$B200=""),"",IF($H200&lt;&gt;"","| search "&amp;$H200,"")&amp;IF($I200&lt;&gt;"",IF($H200&lt;&gt;"",CHAR(10),"")&amp;$I200,"")&amp;IF($J200&lt;&gt;"",IF(OR($H200&lt;&gt;"",$I200&lt;&gt;""),CHAR(10),"")&amp;$J200,""))</x:f>
      </x:c>
      <x:c r="R200" s="48" t="str">
        <x:f>IF(OR($A200&lt;&gt;"Yes",$B200=""),"",IF($K200&lt;&gt;"Yes","Count disabled",IF($H200&lt;&gt;"","| search "&amp;$H200,"")&amp;IF($I200&lt;&gt;"",IF($H200&lt;&gt;"",CHAR(10),"")&amp;$I200,"")&amp;IF(OR($H200&lt;&gt;"",$I200&lt;&gt;""),CHAR(10),"")&amp;"| stats count as count"&amp;IF($L200&lt;&gt;""," by "&amp;$L200,"")&amp;IF($M200&lt;&gt;"",CHAR(10)&amp;"| where count &gt;= "&amp;$M200,"")&amp;CHAR(10)&amp;"| sort - count"))</x:f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8" t="str">
        <x:f>IF($A201&lt;&gt;"Yes","",IF($G201&lt;&gt;"",IFERROR(INDEX($O$6:$O$205,MATCH($G201,$B$6:$B$205,0)),"PARENT SEARCH NOT FOUND"),IFERROR(INDEX('Base Searches'!$E$6:$E$35,MATCH($F201,'Base Searches'!$B$6:$B$35,0)),"BASE NOT FOUND")))</x:f>
      </x:c>
      <x:c r="Q201" s="48" t="str">
        <x:f>IF(OR($A201&lt;&gt;"Yes",$B201=""),"",IF($H201&lt;&gt;"","| search "&amp;$H201,"")&amp;IF($I201&lt;&gt;"",IF($H201&lt;&gt;"",CHAR(10),"")&amp;$I201,"")&amp;IF($J201&lt;&gt;"",IF(OR($H201&lt;&gt;"",$I201&lt;&gt;""),CHAR(10),"")&amp;$J201,""))</x:f>
      </x:c>
      <x:c r="R201" s="48" t="str">
        <x:f>IF(OR($A201&lt;&gt;"Yes",$B201=""),"",IF($K201&lt;&gt;"Yes","Count disabled",IF($H201&lt;&gt;"","| search "&amp;$H201,"")&amp;IF($I201&lt;&gt;"",IF($H201&lt;&gt;"",CHAR(10),"")&amp;$I201,"")&amp;IF(OR($H201&lt;&gt;"",$I201&lt;&gt;""),CHAR(10),"")&amp;"| stats count as count"&amp;IF($L201&lt;&gt;""," by "&amp;$L201,"")&amp;IF($M201&lt;&gt;"",CHAR(10)&amp;"| where count &gt;= "&amp;$M201,"")&amp;CHAR(10)&amp;"| sort - count"))</x:f>
      </x:c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8" t="str">
        <x:f>IF($A202&lt;&gt;"Yes","",IF($G202&lt;&gt;"",IFERROR(INDEX($O$6:$O$205,MATCH($G202,$B$6:$B$205,0)),"PARENT SEARCH NOT FOUND"),IFERROR(INDEX('Base Searches'!$E$6:$E$35,MATCH($F202,'Base Searches'!$B$6:$B$35,0)),"BASE NOT FOUND")))</x:f>
      </x:c>
      <x:c r="Q202" s="48" t="str">
        <x:f>IF(OR($A202&lt;&gt;"Yes",$B202=""),"",IF($H202&lt;&gt;"","| search "&amp;$H202,"")&amp;IF($I202&lt;&gt;"",IF($H202&lt;&gt;"",CHAR(10),"")&amp;$I202,"")&amp;IF($J202&lt;&gt;"",IF(OR($H202&lt;&gt;"",$I202&lt;&gt;""),CHAR(10),"")&amp;$J202,""))</x:f>
      </x:c>
      <x:c r="R202" s="48" t="str">
        <x:f>IF(OR($A202&lt;&gt;"Yes",$B202=""),"",IF($K202&lt;&gt;"Yes","Count disabled",IF($H202&lt;&gt;"","| search "&amp;$H202,"")&amp;IF($I202&lt;&gt;"",IF($H202&lt;&gt;"",CHAR(10),"")&amp;$I202,"")&amp;IF(OR($H202&lt;&gt;"",$I202&lt;&gt;""),CHAR(10),"")&amp;"| stats count as count"&amp;IF($L202&lt;&gt;""," by "&amp;$L202,"")&amp;IF($M202&lt;&gt;"",CHAR(10)&amp;"| where count &gt;= "&amp;$M202,"")&amp;CHAR(10)&amp;"| sort - count"))</x:f>
      </x:c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8" t="str">
        <x:f>IF($A203&lt;&gt;"Yes","",IF($G203&lt;&gt;"",IFERROR(INDEX($O$6:$O$205,MATCH($G203,$B$6:$B$205,0)),"PARENT SEARCH NOT FOUND"),IFERROR(INDEX('Base Searches'!$E$6:$E$35,MATCH($F203,'Base Searches'!$B$6:$B$35,0)),"BASE NOT FOUND")))</x:f>
      </x:c>
      <x:c r="Q203" s="48" t="str">
        <x:f>IF(OR($A203&lt;&gt;"Yes",$B203=""),"",IF($H203&lt;&gt;"","| search "&amp;$H203,"")&amp;IF($I203&lt;&gt;"",IF($H203&lt;&gt;"",CHAR(10),"")&amp;$I203,"")&amp;IF($J203&lt;&gt;"",IF(OR($H203&lt;&gt;"",$I203&lt;&gt;""),CHAR(10),"")&amp;$J203,""))</x:f>
      </x:c>
      <x:c r="R203" s="48" t="str">
        <x:f>IF(OR($A203&lt;&gt;"Yes",$B203=""),"",IF($K203&lt;&gt;"Yes","Count disabled",IF($H203&lt;&gt;"","| search "&amp;$H203,"")&amp;IF($I203&lt;&gt;"",IF($H203&lt;&gt;"",CHAR(10),"")&amp;$I203,"")&amp;IF(OR($H203&lt;&gt;"",$I203&lt;&gt;""),CHAR(10),"")&amp;"| stats count as count"&amp;IF($L203&lt;&gt;""," by "&amp;$L203,"")&amp;IF($M203&lt;&gt;"",CHAR(10)&amp;"| where count &gt;= "&amp;$M203,"")&amp;CHAR(10)&amp;"| sort - count"))</x:f>
      </x:c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8" t="str">
        <x:f>IF($A204&lt;&gt;"Yes","",IF($G204&lt;&gt;"",IFERROR(INDEX($O$6:$O$205,MATCH($G204,$B$6:$B$205,0)),"PARENT SEARCH NOT FOUND"),IFERROR(INDEX('Base Searches'!$E$6:$E$35,MATCH($F204,'Base Searches'!$B$6:$B$35,0)),"BASE NOT FOUND")))</x:f>
      </x:c>
      <x:c r="Q204" s="48" t="str">
        <x:f>IF(OR($A204&lt;&gt;"Yes",$B204=""),"",IF($H204&lt;&gt;"","| search "&amp;$H204,"")&amp;IF($I204&lt;&gt;"",IF($H204&lt;&gt;"",CHAR(10),"")&amp;$I204,"")&amp;IF($J204&lt;&gt;"",IF(OR($H204&lt;&gt;"",$I204&lt;&gt;""),CHAR(10),"")&amp;$J204,""))</x:f>
      </x:c>
      <x:c r="R204" s="48" t="str">
        <x:f>IF(OR($A204&lt;&gt;"Yes",$B204=""),"",IF($K204&lt;&gt;"Yes","Count disabled",IF($H204&lt;&gt;"","| search "&amp;$H204,"")&amp;IF($I204&lt;&gt;"",IF($H204&lt;&gt;"",CHAR(10),"")&amp;$I204,"")&amp;IF(OR($H204&lt;&gt;"",$I204&lt;&gt;""),CHAR(10),"")&amp;"| stats count as count"&amp;IF($L204&lt;&gt;""," by "&amp;$L204,"")&amp;IF($M204&lt;&gt;"",CHAR(10)&amp;"| where count &gt;= "&amp;$M204,"")&amp;CHAR(10)&amp;"| sort - count"))</x:f>
      </x:c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8" t="str">
        <x:f>IF($A205&lt;&gt;"Yes","",IF($G205&lt;&gt;"",IFERROR(INDEX($O$6:$O$205,MATCH($G205,$B$6:$B$205,0)),"PARENT SEARCH NOT FOUND"),IFERROR(INDEX('Base Searches'!$E$6:$E$35,MATCH($F205,'Base Searches'!$B$6:$B$35,0)),"BASE NOT FOUND")))</x:f>
      </x:c>
      <x:c r="Q205" s="48" t="str">
        <x:f>IF(OR($A205&lt;&gt;"Yes",$B205=""),"",IF($H205&lt;&gt;"","| search "&amp;$H205,"")&amp;IF($I205&lt;&gt;"",IF($H205&lt;&gt;"",CHAR(10),"")&amp;$I205,"")&amp;IF($J205&lt;&gt;"",IF(OR($H205&lt;&gt;"",$I205&lt;&gt;""),CHAR(10),"")&amp;$J205,""))</x:f>
      </x:c>
      <x:c r="R205" s="48" t="str">
        <x:f>IF(OR($A205&lt;&gt;"Yes",$B205=""),"",IF($K205&lt;&gt;"Yes","Count disabled",IF($H205&lt;&gt;"","| search "&amp;$H205,"")&amp;IF($I205&lt;&gt;"",IF($H205&lt;&gt;"",CHAR(10),"")&amp;$I205,"")&amp;IF(OR($H205&lt;&gt;"",$I205&lt;&gt;""),CHAR(10),"")&amp;"| stats count as count"&amp;IF($L205&lt;&gt;""," by "&amp;$L205,"")&amp;IF($M205&lt;&gt;"",CHAR(10)&amp;"| where count &gt;= "&amp;$M205,"")&amp;CHAR(10)&amp;"| sort - count"))</x:f>
      </x:c>
    </x:row>
  </x:sheetData>
  <x:mergeCells>
    <x:mergeCell ref="A1:R1"/>
    <x:mergeCell ref="A2:R3"/>
  </x:mergeCells>
  <x:conditionalFormatting sqref="A6:A205">
    <x:cfRule type="expression" dxfId="2" priority="1">
      <x:formula>A6="Yes"</x:formula>
    </x:cfRule>
  </x:conditionalFormatting>
  <x:conditionalFormatting sqref="D6:D205">
    <x:cfRule type="expression" dxfId="3" priority="2">
      <x:formula>D6="Helper"</x:formula>
    </x:cfRule>
  </x:conditionalFormatting>
  <x:conditionalFormatting sqref="K6:K205">
    <x:cfRule type="expression" dxfId="4" priority="3">
      <x:formula>K6="Yes"</x:formula>
    </x:cfRule>
  </x:conditionalFormatting>
  <x:dataValidations count="5">
    <x:dataValidation type="list" sqref="A6:A205">
      <x:formula1>"Yes,No"</x:formula1>
    </x:dataValidation>
    <x:dataValidation type="list" sqref="D6:D205">
      <x:formula1>"Panel,Helper,Standalone"</x:formula1>
    </x:dataValidation>
    <x:dataValidation type="list" sqref="F6:F205">
      <x:formula1>'Base Searches'!$B$6:$B$35</x:formula1>
    </x:dataValidation>
    <x:dataValidation type="list" sqref="G6:G205">
      <x:formula1>Searches!$B$6:$B$205</x:formula1>
    </x:dataValidation>
    <x:dataValidation type="list" sqref="K6:K205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22" hidden="0" customWidth="1"/>
    <x:col min="4" max="4" width="68" hidden="0" customWidth="1"/>
    <x:col min="5" max="5" width="72" hidden="0" customWidth="1"/>
    <x:col min="6" max="6" width="72" hidden="0" customWidth="1"/>
    <x:col min="7" max="7" width="18" hidden="0" customWidth="1"/>
    <x:col min="8" max="8" width="24" hidden="0" customWidth="1"/>
    <x:col min="9" max="9" width="20" hidden="0" customWidth="1"/>
    <x:col min="10" max="10" width="10" hidden="0" customWidth="1"/>
  </x:cols>
  <x:sheetData>
    <x:row r="1">
      <x:c r="A1" s="52" t="str">
        <x:v>Dashboard Studio Copy / Paste Pack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10" t="str">
        <x:v>Deployment view. Site dropdown items, base data sources and chain data sources are generated from the libraries. Blank rows are intentional capacity. Dashboard bases use $site_scope$ and Dashboard Studio's global time token.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5">
      <x:c r="A5" s="16" t="str">
        <x:v>Site dropdown token choices</x:v>
      </x:c>
      <x:c r="B5" s="16"/>
      <x:c r="C5" s="16"/>
      <x:c r="D5" s="16"/>
      <x:c r="F5" s="16" t="str">
        <x:v>Base data sources</x:v>
      </x:c>
      <x:c r="G5" s="16"/>
      <x:c r="H5" s="16"/>
      <x:c r="I5" s="16"/>
      <x:c r="J5" s="16"/>
    </x:row>
    <x:row r="6">
      <x:c r="A6" s="34" t="str">
        <x:v>Label</x:v>
      </x:c>
      <x:c r="B6" s="34" t="str">
        <x:v>Value passed to $site_scope$</x:v>
      </x:c>
      <x:c r="C6" s="34" t="str">
        <x:v>Site ID</x:v>
      </x:c>
      <x:c r="D6" s="34" t="str">
        <x:v>Static item snippet</x:v>
      </x:c>
      <x:c r="F6" s="34" t="str">
        <x:v>Base Name</x:v>
      </x:c>
      <x:c r="G6" s="34" t="str">
        <x:v>Data Source ID</x:v>
      </x:c>
      <x:c r="H6" s="34" t="str">
        <x:v>Query</x:v>
      </x:c>
      <x:c r="I6" s="34" t="str">
        <x:v>Earliest</x:v>
      </x:c>
      <x:c r="J6" s="34" t="str">
        <x:v>Latest</x:v>
      </x:c>
    </x:row>
    <x:row r="7">
      <x:c r="A7" s="48" t="str">
        <x:f>IF(Sites!$A$5&lt;&gt;"Yes","",Sites!$C$5)</x:f>
        <x:v>Current Draft Scope</x:v>
      </x:c>
      <x:c r="B7" s="48" t="str">
        <x:f>IF(Sites!$A$5&lt;&gt;"Yes","",Sites!$AD$5)</x:f>
        <x:v>(host="syr*" OR host="salep*" OR host="144.219.*" OR host="144.221.*")</x:v>
      </x:c>
      <x:c r="C7" s="48" t="str">
        <x:f>IF(Sites!$A$5&lt;&gt;"Yes","",Sites!$B$5)</x:f>
        <x:v>SITE_CURRENT</x:v>
      </x:c>
      <x:c r="D7" s="48" t="str">
        <x:f>IF(Sites!$A$5&lt;&gt;"Yes","",Sites!$AE$5)</x:f>
        <x:v>{"label":"Current Draft Scope","value":"(host=\"syr*\" OR host=\"salep*\" OR host=\"144.219.*\" OR host=\"144.221.*\")"}</x:v>
      </x:c>
      <x:c r="F7" s="48" t="str">
        <x:f>IF('Base Searches'!$A$6&lt;&gt;"Yes","",'Base Searches'!$C$6)</x:f>
        <x:v>Interface State</x:v>
      </x:c>
      <x:c r="G7" s="48" t="str">
        <x:f>IF('Base Searches'!$A$6&lt;&gt;"Yes","",'Base Searches'!$E$6)</x:f>
        <x:v>ds_base_interface</x:v>
      </x:c>
      <x:c r="H7" s="48" t="str">
        <x:f>IF('Base Searches'!$A$6&lt;&gt;"Yes","",'Base Searches'!$I$6)</x:f>
        <x:v>index="network_eo" sourcetype="cisco:ios"
$site_scope$
("%LINK-3-UPDOWN" OR "%LINEPROTO-5-UPDOWN" OR "%PM-4-ERR_DISABLE")
| fields _time host source sourcetype _raw</x:v>
      </x:c>
      <x:c r="I7" s="48" t="str">
        <x:f>IF('Base Searches'!$A$6&lt;&gt;"Yes","","$"&amp;'Dashboard Config'!$B$9&amp;".earliest$")</x:f>
        <x:v>$global_time.earliest$</x:v>
      </x:c>
      <x:c r="J7" s="48" t="str">
        <x:f>IF('Base Searches'!$A$6&lt;&gt;"Yes","","$"&amp;'Dashboard Config'!$B$9&amp;".latest$")</x:f>
        <x:v>$global_time.latest$</x:v>
      </x:c>
    </x:row>
    <x:row r="8">
      <x:c r="A8" s="48" t="str">
        <x:f>IF(Sites!$A$6&lt;&gt;"Yes","",Sites!$C$6)</x:f>
        <x:v>Syracuse</x:v>
      </x:c>
      <x:c r="B8" s="48" t="str">
        <x:f>IF(Sites!$A$6&lt;&gt;"Yes","",Sites!$AD$6)</x:f>
      </x:c>
      <x:c r="C8" s="48" t="str">
        <x:f>IF(Sites!$A$6&lt;&gt;"Yes","",Sites!$B$6)</x:f>
        <x:v>SITE_SYR</x:v>
      </x:c>
      <x:c r="D8" s="48" t="str">
        <x:f>IF(Sites!$A$6&lt;&gt;"Yes","",Sites!$AE$6)</x:f>
      </x:c>
      <x:c r="F8" s="48" t="str">
        <x:f>IF('Base Searches'!$A$7&lt;&gt;"Yes","",'Base Searches'!$C$7)</x:f>
        <x:v>Layer 2 Control</x:v>
      </x:c>
      <x:c r="G8" s="48" t="str">
        <x:f>IF('Base Searches'!$A$7&lt;&gt;"Yes","",'Base Searches'!$E$7)</x:f>
        <x:v>ds_base_l2</x:v>
      </x:c>
      <x:c r="H8" s="48" t="str">
        <x:f>IF('Base Searches'!$A$7&lt;&gt;"Yes","",'Base Searches'!$I$7)</x:f>
        <x:v>index="network_eo" sourcetype="cisco:ios"
$site_scope$
("%SW_MATM-4-MACFLAP_NOTIF" OR "%SPANTREE-" OR "%UDLD-" OR "%EC-" OR "%LACP-" OR "%PAGP-")
| fields _time host source sourcetype _raw</x:v>
      </x:c>
      <x:c r="I8" s="48" t="str">
        <x:f>IF('Base Searches'!$A$7&lt;&gt;"Yes","","$"&amp;'Dashboard Config'!$B$9&amp;".earliest$")</x:f>
        <x:v>$global_time.earliest$</x:v>
      </x:c>
      <x:c r="J8" s="48" t="str">
        <x:f>IF('Base Searches'!$A$7&lt;&gt;"Yes","","$"&amp;'Dashboard Config'!$B$9&amp;".latest$")</x:f>
        <x:v>$global_time.latest$</x:v>
      </x:c>
    </x:row>
    <x:row r="9">
      <x:c r="A9" s="48" t="str">
        <x:f>IF(Sites!$A$7&lt;&gt;"Yes","",Sites!$C$7)</x:f>
      </x:c>
      <x:c r="B9" s="48" t="str">
        <x:f>IF(Sites!$A$7&lt;&gt;"Yes","",Sites!$AD$7)</x:f>
      </x:c>
      <x:c r="C9" s="48" t="str">
        <x:f>IF(Sites!$A$7&lt;&gt;"Yes","",Sites!$B$7)</x:f>
      </x:c>
      <x:c r="D9" s="48" t="str">
        <x:f>IF(Sites!$A$7&lt;&gt;"Yes","",Sites!$AE$7)</x:f>
      </x:c>
      <x:c r="F9" s="48" t="str">
        <x:f>IF('Base Searches'!$A$8&lt;&gt;"Yes","",'Base Searches'!$C$8)</x:f>
        <x:v>Routing / Layer 3</x:v>
      </x:c>
      <x:c r="G9" s="48" t="str">
        <x:f>IF('Base Searches'!$A$8&lt;&gt;"Yes","",'Base Searches'!$E$8)</x:f>
        <x:v>ds_base_l3</x:v>
      </x:c>
      <x:c r="H9" s="48" t="str">
        <x:f>IF('Base Searches'!$A$8&lt;&gt;"Yes","",'Base Searches'!$I$8)</x:f>
        <x:v>index="network_eo" sourcetype="cisco:ios"
$site_scope$
("%OSPF-" OR "%BGP-" OR "%HSRP-" OR "%GLBP-" OR "%BFD-" OR "Duplicate address" OR "%IP-4-DUPADDR")
| fields _time host source sourcetype _raw</x:v>
      </x:c>
      <x:c r="I9" s="48" t="str">
        <x:f>IF('Base Searches'!$A$8&lt;&gt;"Yes","","$"&amp;'Dashboard Config'!$B$9&amp;".earliest$")</x:f>
        <x:v>$global_time.earliest$</x:v>
      </x:c>
      <x:c r="J9" s="48" t="str">
        <x:f>IF('Base Searches'!$A$8&lt;&gt;"Yes","","$"&amp;'Dashboard Config'!$B$9&amp;".latest$")</x:f>
        <x:v>$global_time.latest$</x:v>
      </x:c>
    </x:row>
    <x:row r="10">
      <x:c r="A10" s="48" t="str">
        <x:f>IF(Sites!$A$8&lt;&gt;"Yes","",Sites!$C$8)</x:f>
      </x:c>
      <x:c r="B10" s="48" t="str">
        <x:f>IF(Sites!$A$8&lt;&gt;"Yes","",Sites!$AD$8)</x:f>
      </x:c>
      <x:c r="C10" s="48" t="str">
        <x:f>IF(Sites!$A$8&lt;&gt;"Yes","",Sites!$B$8)</x:f>
      </x:c>
      <x:c r="D10" s="48" t="str">
        <x:f>IF(Sites!$A$8&lt;&gt;"Yes","",Sites!$AE$8)</x:f>
      </x:c>
      <x:c r="F10" s="48" t="str">
        <x:f>IF('Base Searches'!$A$9&lt;&gt;"Yes","",'Base Searches'!$C$9)</x:f>
        <x:v>Physical / Hardware</x:v>
      </x:c>
      <x:c r="G10" s="48" t="str">
        <x:f>IF('Base Searches'!$A$9&lt;&gt;"Yes","",'Base Searches'!$E$9)</x:f>
        <x:v>ds_base_physical</x:v>
      </x:c>
      <x:c r="H10" s="48" t="str">
        <x:f>IF('Base Searches'!$A$9&lt;&gt;"Yes","",'Base Searches'!$I$9)</x:f>
        <x:v>index="network_eo" sourcetype="cisco:ios"
$site_scope$
("%SFF8472-" OR "%PLATFORM_ENV-" OR "%ENVIRONMENT-" OR "%FAN-" OR "%POWER-" OR "%STACKMGR-" OR "%STACKWISE-")
| fields _time host source sourcetype _raw</x:v>
      </x:c>
      <x:c r="I10" s="48" t="str">
        <x:f>IF('Base Searches'!$A$9&lt;&gt;"Yes","","$"&amp;'Dashboard Config'!$B$9&amp;".earliest$")</x:f>
        <x:v>$global_time.earliest$</x:v>
      </x:c>
      <x:c r="J10" s="48" t="str">
        <x:f>IF('Base Searches'!$A$9&lt;&gt;"Yes","","$"&amp;'Dashboard Config'!$B$9&amp;".latest$")</x:f>
        <x:v>$global_time.latest$</x:v>
      </x:c>
    </x:row>
    <x:row r="11">
      <x:c r="A11" s="48" t="str">
        <x:f>IF(Sites!$A$9&lt;&gt;"Yes","",Sites!$C$9)</x:f>
      </x:c>
      <x:c r="B11" s="48" t="str">
        <x:f>IF(Sites!$A$9&lt;&gt;"Yes","",Sites!$AD$9)</x:f>
      </x:c>
      <x:c r="C11" s="48" t="str">
        <x:f>IF(Sites!$A$9&lt;&gt;"Yes","",Sites!$B$9)</x:f>
      </x:c>
      <x:c r="D11" s="48" t="str">
        <x:f>IF(Sites!$A$9&lt;&gt;"Yes","",Sites!$AE$9)</x:f>
      </x:c>
      <x:c r="F11" s="48" t="str">
        <x:f>IF('Base Searches'!$A$10&lt;&gt;"Yes","",'Base Searches'!$C$10)</x:f>
        <x:v>Access / Authentication</x:v>
      </x:c>
      <x:c r="G11" s="48" t="str">
        <x:f>IF('Base Searches'!$A$10&lt;&gt;"Yes","",'Base Searches'!$E$10)</x:f>
        <x:v>ds_base_access</x:v>
      </x:c>
      <x:c r="H11" s="48" t="str">
        <x:f>IF('Base Searches'!$A$10&lt;&gt;"Yes","",'Base Searches'!$I$10)</x:f>
        <x:v>index="network_eo" sourcetype="cisco:ios"
$site_scope$
("%DOT1X-" OR "%MAB-" OR "%SESSION_MGR-" OR "%AUTHMGR-" OR "%ILPOWER-")
| fields _time host source sourcetype _raw</x:v>
      </x:c>
      <x:c r="I11" s="48" t="str">
        <x:f>IF('Base Searches'!$A$10&lt;&gt;"Yes","","$"&amp;'Dashboard Config'!$B$9&amp;".earliest$")</x:f>
        <x:v>$global_time.earliest$</x:v>
      </x:c>
      <x:c r="J11" s="48" t="str">
        <x:f>IF('Base Searches'!$A$10&lt;&gt;"Yes","","$"&amp;'Dashboard Config'!$B$9&amp;".latest$")</x:f>
        <x:v>$global_time.latest$</x:v>
      </x:c>
    </x:row>
    <x:row r="12">
      <x:c r="A12" s="48" t="str">
        <x:f>IF(Sites!$A$10&lt;&gt;"Yes","",Sites!$C$10)</x:f>
      </x:c>
      <x:c r="B12" s="48" t="str">
        <x:f>IF(Sites!$A$10&lt;&gt;"Yes","",Sites!$AD$10)</x:f>
      </x:c>
      <x:c r="C12" s="48" t="str">
        <x:f>IF(Sites!$A$10&lt;&gt;"Yes","",Sites!$B$10)</x:f>
      </x:c>
      <x:c r="D12" s="48" t="str">
        <x:f>IF(Sites!$A$10&lt;&gt;"Yes","",Sites!$AE$10)</x:f>
      </x:c>
      <x:c r="F12" s="48" t="str">
        <x:f>IF('Base Searches'!$A$11&lt;&gt;"Yes","",'Base Searches'!$C$11)</x:f>
        <x:v>Operations</x:v>
      </x:c>
      <x:c r="G12" s="48" t="str">
        <x:f>IF('Base Searches'!$A$11&lt;&gt;"Yes","",'Base Searches'!$E$11)</x:f>
        <x:v>ds_base_operations</x:v>
      </x:c>
      <x:c r="H12" s="48" t="str">
        <x:f>IF('Base Searches'!$A$11&lt;&gt;"Yes","",'Base Searches'!$I$11)</x:f>
        <x:v>index="network_eo" sourcetype="cisco:ios"
$site_scope$
("%SYS-5-CONFIG_I" OR "%SYS-5-RELOAD" OR "%SYS-5-RESTART" OR "%LOGIN-" OR "%SSH-" OR "%AAA-")
| fields _time host source sourcetype _raw</x:v>
      </x:c>
      <x:c r="I12" s="48" t="str">
        <x:f>IF('Base Searches'!$A$11&lt;&gt;"Yes","","$"&amp;'Dashboard Config'!$B$9&amp;".earliest$")</x:f>
        <x:v>$global_time.earliest$</x:v>
      </x:c>
      <x:c r="J12" s="48" t="str">
        <x:f>IF('Base Searches'!$A$11&lt;&gt;"Yes","","$"&amp;'Dashboard Config'!$B$9&amp;".latest$")</x:f>
        <x:v>$global_time.latest$</x:v>
      </x:c>
    </x:row>
    <x:row r="13">
      <x:c r="A13" s="48" t="str">
        <x:f>IF(Sites!$A$11&lt;&gt;"Yes","",Sites!$C$11)</x:f>
      </x:c>
      <x:c r="B13" s="48" t="str">
        <x:f>IF(Sites!$A$11&lt;&gt;"Yes","",Sites!$AD$11)</x:f>
      </x:c>
      <x:c r="C13" s="48" t="str">
        <x:f>IF(Sites!$A$11&lt;&gt;"Yes","",Sites!$B$11)</x:f>
      </x:c>
      <x:c r="D13" s="48" t="str">
        <x:f>IF(Sites!$A$11&lt;&gt;"Yes","",Sites!$AE$11)</x:f>
      </x:c>
      <x:c r="F13" s="48" t="str">
        <x:f>IF('Base Searches'!$A$12&lt;&gt;"Yes","",'Base Searches'!$C$12)</x:f>
      </x:c>
      <x:c r="G13" s="48" t="str">
        <x:f>IF('Base Searches'!$A$12&lt;&gt;"Yes","",'Base Searches'!$E$12)</x:f>
      </x:c>
      <x:c r="H13" s="48" t="str">
        <x:f>IF('Base Searches'!$A$12&lt;&gt;"Yes","",'Base Searches'!$I$12)</x:f>
      </x:c>
      <x:c r="I13" s="48" t="str">
        <x:f>IF('Base Searches'!$A$12&lt;&gt;"Yes","","$"&amp;'Dashboard Config'!$B$9&amp;".earliest$")</x:f>
      </x:c>
      <x:c r="J13" s="48" t="str">
        <x:f>IF('Base Searches'!$A$12&lt;&gt;"Yes","","$"&amp;'Dashboard Config'!$B$9&amp;".latest$")</x:f>
      </x:c>
    </x:row>
    <x:row r="14">
      <x:c r="A14" s="48" t="str">
        <x:f>IF(Sites!$A$12&lt;&gt;"Yes","",Sites!$C$12)</x:f>
      </x:c>
      <x:c r="B14" s="48" t="str">
        <x:f>IF(Sites!$A$12&lt;&gt;"Yes","",Sites!$AD$12)</x:f>
      </x:c>
      <x:c r="C14" s="48" t="str">
        <x:f>IF(Sites!$A$12&lt;&gt;"Yes","",Sites!$B$12)</x:f>
      </x:c>
      <x:c r="D14" s="48" t="str">
        <x:f>IF(Sites!$A$12&lt;&gt;"Yes","",Sites!$AE$12)</x:f>
      </x:c>
      <x:c r="F14" s="48" t="str">
        <x:f>IF('Base Searches'!$A$13&lt;&gt;"Yes","",'Base Searches'!$C$13)</x:f>
      </x:c>
      <x:c r="G14" s="48" t="str">
        <x:f>IF('Base Searches'!$A$13&lt;&gt;"Yes","",'Base Searches'!$E$13)</x:f>
      </x:c>
      <x:c r="H14" s="48" t="str">
        <x:f>IF('Base Searches'!$A$13&lt;&gt;"Yes","",'Base Searches'!$I$13)</x:f>
      </x:c>
      <x:c r="I14" s="48" t="str">
        <x:f>IF('Base Searches'!$A$13&lt;&gt;"Yes","","$"&amp;'Dashboard Config'!$B$9&amp;".earliest$")</x:f>
      </x:c>
      <x:c r="J14" s="48" t="str">
        <x:f>IF('Base Searches'!$A$13&lt;&gt;"Yes","","$"&amp;'Dashboard Config'!$B$9&amp;".latest$")</x:f>
      </x:c>
    </x:row>
    <x:row r="15">
      <x:c r="A15" s="48" t="str">
        <x:f>IF(Sites!$A$13&lt;&gt;"Yes","",Sites!$C$13)</x:f>
      </x:c>
      <x:c r="B15" s="48" t="str">
        <x:f>IF(Sites!$A$13&lt;&gt;"Yes","",Sites!$AD$13)</x:f>
      </x:c>
      <x:c r="C15" s="48" t="str">
        <x:f>IF(Sites!$A$13&lt;&gt;"Yes","",Sites!$B$13)</x:f>
      </x:c>
      <x:c r="D15" s="48" t="str">
        <x:f>IF(Sites!$A$13&lt;&gt;"Yes","",Sites!$AE$13)</x:f>
      </x:c>
      <x:c r="F15" s="48" t="str">
        <x:f>IF('Base Searches'!$A$14&lt;&gt;"Yes","",'Base Searches'!$C$14)</x:f>
      </x:c>
      <x:c r="G15" s="48" t="str">
        <x:f>IF('Base Searches'!$A$14&lt;&gt;"Yes","",'Base Searches'!$E$14)</x:f>
      </x:c>
      <x:c r="H15" s="48" t="str">
        <x:f>IF('Base Searches'!$A$14&lt;&gt;"Yes","",'Base Searches'!$I$14)</x:f>
      </x:c>
      <x:c r="I15" s="48" t="str">
        <x:f>IF('Base Searches'!$A$14&lt;&gt;"Yes","","$"&amp;'Dashboard Config'!$B$9&amp;".earliest$")</x:f>
      </x:c>
      <x:c r="J15" s="48" t="str">
        <x:f>IF('Base Searches'!$A$14&lt;&gt;"Yes","","$"&amp;'Dashboard Config'!$B$9&amp;".latest$")</x:f>
      </x:c>
    </x:row>
    <x:row r="16">
      <x:c r="A16" s="48" t="str">
        <x:f>IF(Sites!$A$14&lt;&gt;"Yes","",Sites!$C$14)</x:f>
      </x:c>
      <x:c r="B16" s="48" t="str">
        <x:f>IF(Sites!$A$14&lt;&gt;"Yes","",Sites!$AD$14)</x:f>
      </x:c>
      <x:c r="C16" s="48" t="str">
        <x:f>IF(Sites!$A$14&lt;&gt;"Yes","",Sites!$B$14)</x:f>
      </x:c>
      <x:c r="D16" s="48" t="str">
        <x:f>IF(Sites!$A$14&lt;&gt;"Yes","",Sites!$AE$14)</x:f>
      </x:c>
      <x:c r="F16" s="48" t="str">
        <x:f>IF('Base Searches'!$A$15&lt;&gt;"Yes","",'Base Searches'!$C$15)</x:f>
      </x:c>
      <x:c r="G16" s="48" t="str">
        <x:f>IF('Base Searches'!$A$15&lt;&gt;"Yes","",'Base Searches'!$E$15)</x:f>
      </x:c>
      <x:c r="H16" s="48" t="str">
        <x:f>IF('Base Searches'!$A$15&lt;&gt;"Yes","",'Base Searches'!$I$15)</x:f>
      </x:c>
      <x:c r="I16" s="48" t="str">
        <x:f>IF('Base Searches'!$A$15&lt;&gt;"Yes","","$"&amp;'Dashboard Config'!$B$9&amp;".earliest$")</x:f>
      </x:c>
      <x:c r="J16" s="48" t="str">
        <x:f>IF('Base Searches'!$A$15&lt;&gt;"Yes","","$"&amp;'Dashboard Config'!$B$9&amp;".latest$")</x:f>
      </x:c>
    </x:row>
    <x:row r="17">
      <x:c r="A17" s="48" t="str">
        <x:f>IF(Sites!$A$15&lt;&gt;"Yes","",Sites!$C$15)</x:f>
      </x:c>
      <x:c r="B17" s="48" t="str">
        <x:f>IF(Sites!$A$15&lt;&gt;"Yes","",Sites!$AD$15)</x:f>
      </x:c>
      <x:c r="C17" s="48" t="str">
        <x:f>IF(Sites!$A$15&lt;&gt;"Yes","",Sites!$B$15)</x:f>
      </x:c>
      <x:c r="D17" s="48" t="str">
        <x:f>IF(Sites!$A$15&lt;&gt;"Yes","",Sites!$AE$15)</x:f>
      </x:c>
      <x:c r="F17" s="48" t="str">
        <x:f>IF('Base Searches'!$A$16&lt;&gt;"Yes","",'Base Searches'!$C$16)</x:f>
      </x:c>
      <x:c r="G17" s="48" t="str">
        <x:f>IF('Base Searches'!$A$16&lt;&gt;"Yes","",'Base Searches'!$E$16)</x:f>
      </x:c>
      <x:c r="H17" s="48" t="str">
        <x:f>IF('Base Searches'!$A$16&lt;&gt;"Yes","",'Base Searches'!$I$16)</x:f>
      </x:c>
      <x:c r="I17" s="48" t="str">
        <x:f>IF('Base Searches'!$A$16&lt;&gt;"Yes","","$"&amp;'Dashboard Config'!$B$9&amp;".earliest$")</x:f>
      </x:c>
      <x:c r="J17" s="48" t="str">
        <x:f>IF('Base Searches'!$A$16&lt;&gt;"Yes","","$"&amp;'Dashboard Config'!$B$9&amp;".latest$")</x:f>
      </x:c>
    </x:row>
    <x:row r="18">
      <x:c r="A18" s="48" t="str">
        <x:f>IF(Sites!$A$16&lt;&gt;"Yes","",Sites!$C$16)</x:f>
      </x:c>
      <x:c r="B18" s="48" t="str">
        <x:f>IF(Sites!$A$16&lt;&gt;"Yes","",Sites!$AD$16)</x:f>
      </x:c>
      <x:c r="C18" s="48" t="str">
        <x:f>IF(Sites!$A$16&lt;&gt;"Yes","",Sites!$B$16)</x:f>
      </x:c>
      <x:c r="D18" s="48" t="str">
        <x:f>IF(Sites!$A$16&lt;&gt;"Yes","",Sites!$AE$16)</x:f>
      </x:c>
      <x:c r="F18" s="48" t="str">
        <x:f>IF('Base Searches'!$A$17&lt;&gt;"Yes","",'Base Searches'!$C$17)</x:f>
      </x:c>
      <x:c r="G18" s="48" t="str">
        <x:f>IF('Base Searches'!$A$17&lt;&gt;"Yes","",'Base Searches'!$E$17)</x:f>
      </x:c>
      <x:c r="H18" s="48" t="str">
        <x:f>IF('Base Searches'!$A$17&lt;&gt;"Yes","",'Base Searches'!$I$17)</x:f>
      </x:c>
      <x:c r="I18" s="48" t="str">
        <x:f>IF('Base Searches'!$A$17&lt;&gt;"Yes","","$"&amp;'Dashboard Config'!$B$9&amp;".earliest$")</x:f>
      </x:c>
      <x:c r="J18" s="48" t="str">
        <x:f>IF('Base Searches'!$A$17&lt;&gt;"Yes","","$"&amp;'Dashboard Config'!$B$9&amp;".latest$")</x:f>
      </x:c>
    </x:row>
    <x:row r="19">
      <x:c r="A19" s="48" t="str">
        <x:f>IF(Sites!$A$17&lt;&gt;"Yes","",Sites!$C$17)</x:f>
      </x:c>
      <x:c r="B19" s="48" t="str">
        <x:f>IF(Sites!$A$17&lt;&gt;"Yes","",Sites!$AD$17)</x:f>
      </x:c>
      <x:c r="C19" s="48" t="str">
        <x:f>IF(Sites!$A$17&lt;&gt;"Yes","",Sites!$B$17)</x:f>
      </x:c>
      <x:c r="D19" s="48" t="str">
        <x:f>IF(Sites!$A$17&lt;&gt;"Yes","",Sites!$AE$17)</x:f>
      </x:c>
      <x:c r="F19" s="48" t="str">
        <x:f>IF('Base Searches'!$A$18&lt;&gt;"Yes","",'Base Searches'!$C$18)</x:f>
      </x:c>
      <x:c r="G19" s="48" t="str">
        <x:f>IF('Base Searches'!$A$18&lt;&gt;"Yes","",'Base Searches'!$E$18)</x:f>
      </x:c>
      <x:c r="H19" s="48" t="str">
        <x:f>IF('Base Searches'!$A$18&lt;&gt;"Yes","",'Base Searches'!$I$18)</x:f>
      </x:c>
      <x:c r="I19" s="48" t="str">
        <x:f>IF('Base Searches'!$A$18&lt;&gt;"Yes","","$"&amp;'Dashboard Config'!$B$9&amp;".earliest$")</x:f>
      </x:c>
      <x:c r="J19" s="48" t="str">
        <x:f>IF('Base Searches'!$A$18&lt;&gt;"Yes","","$"&amp;'Dashboard Config'!$B$9&amp;".latest$")</x:f>
      </x:c>
    </x:row>
    <x:row r="20">
      <x:c r="A20" s="48" t="str">
        <x:f>IF(Sites!$A$18&lt;&gt;"Yes","",Sites!$C$18)</x:f>
      </x:c>
      <x:c r="B20" s="48" t="str">
        <x:f>IF(Sites!$A$18&lt;&gt;"Yes","",Sites!$AD$18)</x:f>
      </x:c>
      <x:c r="C20" s="48" t="str">
        <x:f>IF(Sites!$A$18&lt;&gt;"Yes","",Sites!$B$18)</x:f>
      </x:c>
      <x:c r="D20" s="48" t="str">
        <x:f>IF(Sites!$A$18&lt;&gt;"Yes","",Sites!$AE$18)</x:f>
      </x:c>
      <x:c r="F20" s="48" t="str">
        <x:f>IF('Base Searches'!$A$19&lt;&gt;"Yes","",'Base Searches'!$C$19)</x:f>
      </x:c>
      <x:c r="G20" s="48" t="str">
        <x:f>IF('Base Searches'!$A$19&lt;&gt;"Yes","",'Base Searches'!$E$19)</x:f>
      </x:c>
      <x:c r="H20" s="48" t="str">
        <x:f>IF('Base Searches'!$A$19&lt;&gt;"Yes","",'Base Searches'!$I$19)</x:f>
      </x:c>
      <x:c r="I20" s="48" t="str">
        <x:f>IF('Base Searches'!$A$19&lt;&gt;"Yes","","$"&amp;'Dashboard Config'!$B$9&amp;".earliest$")</x:f>
      </x:c>
      <x:c r="J20" s="48" t="str">
        <x:f>IF('Base Searches'!$A$19&lt;&gt;"Yes","","$"&amp;'Dashboard Config'!$B$9&amp;".latest$")</x:f>
      </x:c>
    </x:row>
    <x:row r="21">
      <x:c r="A21" s="48" t="str">
        <x:f>IF(Sites!$A$19&lt;&gt;"Yes","",Sites!$C$19)</x:f>
      </x:c>
      <x:c r="B21" s="48" t="str">
        <x:f>IF(Sites!$A$19&lt;&gt;"Yes","",Sites!$AD$19)</x:f>
      </x:c>
      <x:c r="C21" s="48" t="str">
        <x:f>IF(Sites!$A$19&lt;&gt;"Yes","",Sites!$B$19)</x:f>
      </x:c>
      <x:c r="D21" s="48" t="str">
        <x:f>IF(Sites!$A$19&lt;&gt;"Yes","",Sites!$AE$19)</x:f>
      </x:c>
      <x:c r="F21" s="48" t="str">
        <x:f>IF('Base Searches'!$A$20&lt;&gt;"Yes","",'Base Searches'!$C$20)</x:f>
      </x:c>
      <x:c r="G21" s="48" t="str">
        <x:f>IF('Base Searches'!$A$20&lt;&gt;"Yes","",'Base Searches'!$E$20)</x:f>
      </x:c>
      <x:c r="H21" s="48" t="str">
        <x:f>IF('Base Searches'!$A$20&lt;&gt;"Yes","",'Base Searches'!$I$20)</x:f>
      </x:c>
      <x:c r="I21" s="48" t="str">
        <x:f>IF('Base Searches'!$A$20&lt;&gt;"Yes","","$"&amp;'Dashboard Config'!$B$9&amp;".earliest$")</x:f>
      </x:c>
      <x:c r="J21" s="48" t="str">
        <x:f>IF('Base Searches'!$A$20&lt;&gt;"Yes","","$"&amp;'Dashboard Config'!$B$9&amp;".latest$")</x:f>
      </x:c>
    </x:row>
    <x:row r="22">
      <x:c r="A22" s="48" t="str">
        <x:f>IF(Sites!$A$20&lt;&gt;"Yes","",Sites!$C$20)</x:f>
      </x:c>
      <x:c r="B22" s="48" t="str">
        <x:f>IF(Sites!$A$20&lt;&gt;"Yes","",Sites!$AD$20)</x:f>
      </x:c>
      <x:c r="C22" s="48" t="str">
        <x:f>IF(Sites!$A$20&lt;&gt;"Yes","",Sites!$B$20)</x:f>
      </x:c>
      <x:c r="D22" s="48" t="str">
        <x:f>IF(Sites!$A$20&lt;&gt;"Yes","",Sites!$AE$20)</x:f>
      </x:c>
      <x:c r="F22" s="48" t="str">
        <x:f>IF('Base Searches'!$A$21&lt;&gt;"Yes","",'Base Searches'!$C$21)</x:f>
      </x:c>
      <x:c r="G22" s="48" t="str">
        <x:f>IF('Base Searches'!$A$21&lt;&gt;"Yes","",'Base Searches'!$E$21)</x:f>
      </x:c>
      <x:c r="H22" s="48" t="str">
        <x:f>IF('Base Searches'!$A$21&lt;&gt;"Yes","",'Base Searches'!$I$21)</x:f>
      </x:c>
      <x:c r="I22" s="48" t="str">
        <x:f>IF('Base Searches'!$A$21&lt;&gt;"Yes","","$"&amp;'Dashboard Config'!$B$9&amp;".earliest$")</x:f>
      </x:c>
      <x:c r="J22" s="48" t="str">
        <x:f>IF('Base Searches'!$A$21&lt;&gt;"Yes","","$"&amp;'Dashboard Config'!$B$9&amp;".latest$")</x:f>
      </x:c>
    </x:row>
    <x:row r="23">
      <x:c r="A23" s="48" t="str">
        <x:f>IF(Sites!$A$21&lt;&gt;"Yes","",Sites!$C$21)</x:f>
      </x:c>
      <x:c r="B23" s="48" t="str">
        <x:f>IF(Sites!$A$21&lt;&gt;"Yes","",Sites!$AD$21)</x:f>
      </x:c>
      <x:c r="C23" s="48" t="str">
        <x:f>IF(Sites!$A$21&lt;&gt;"Yes","",Sites!$B$21)</x:f>
      </x:c>
      <x:c r="D23" s="48" t="str">
        <x:f>IF(Sites!$A$21&lt;&gt;"Yes","",Sites!$AE$21)</x:f>
      </x:c>
      <x:c r="F23" s="48" t="str">
        <x:f>IF('Base Searches'!$A$22&lt;&gt;"Yes","",'Base Searches'!$C$22)</x:f>
      </x:c>
      <x:c r="G23" s="48" t="str">
        <x:f>IF('Base Searches'!$A$22&lt;&gt;"Yes","",'Base Searches'!$E$22)</x:f>
      </x:c>
      <x:c r="H23" s="48" t="str">
        <x:f>IF('Base Searches'!$A$22&lt;&gt;"Yes","",'Base Searches'!$I$22)</x:f>
      </x:c>
      <x:c r="I23" s="48" t="str">
        <x:f>IF('Base Searches'!$A$22&lt;&gt;"Yes","","$"&amp;'Dashboard Config'!$B$9&amp;".earliest$")</x:f>
      </x:c>
      <x:c r="J23" s="48" t="str">
        <x:f>IF('Base Searches'!$A$22&lt;&gt;"Yes","","$"&amp;'Dashboard Config'!$B$9&amp;".latest$")</x:f>
      </x:c>
    </x:row>
    <x:row r="24">
      <x:c r="A24" s="48" t="str">
        <x:f>IF(Sites!$A$22&lt;&gt;"Yes","",Sites!$C$22)</x:f>
      </x:c>
      <x:c r="B24" s="48" t="str">
        <x:f>IF(Sites!$A$22&lt;&gt;"Yes","",Sites!$AD$22)</x:f>
      </x:c>
      <x:c r="C24" s="48" t="str">
        <x:f>IF(Sites!$A$22&lt;&gt;"Yes","",Sites!$B$22)</x:f>
      </x:c>
      <x:c r="D24" s="48" t="str">
        <x:f>IF(Sites!$A$22&lt;&gt;"Yes","",Sites!$AE$22)</x:f>
      </x:c>
      <x:c r="F24" s="48" t="str">
        <x:f>IF('Base Searches'!$A$23&lt;&gt;"Yes","",'Base Searches'!$C$23)</x:f>
      </x:c>
      <x:c r="G24" s="48" t="str">
        <x:f>IF('Base Searches'!$A$23&lt;&gt;"Yes","",'Base Searches'!$E$23)</x:f>
      </x:c>
      <x:c r="H24" s="48" t="str">
        <x:f>IF('Base Searches'!$A$23&lt;&gt;"Yes","",'Base Searches'!$I$23)</x:f>
      </x:c>
      <x:c r="I24" s="48" t="str">
        <x:f>IF('Base Searches'!$A$23&lt;&gt;"Yes","","$"&amp;'Dashboard Config'!$B$9&amp;".earliest$")</x:f>
      </x:c>
      <x:c r="J24" s="48" t="str">
        <x:f>IF('Base Searches'!$A$23&lt;&gt;"Yes","","$"&amp;'Dashboard Config'!$B$9&amp;".latest$")</x:f>
      </x:c>
    </x:row>
    <x:row r="25">
      <x:c r="A25" s="48" t="str">
        <x:f>IF(Sites!$A$23&lt;&gt;"Yes","",Sites!$C$23)</x:f>
      </x:c>
      <x:c r="B25" s="48" t="str">
        <x:f>IF(Sites!$A$23&lt;&gt;"Yes","",Sites!$AD$23)</x:f>
      </x:c>
      <x:c r="C25" s="48" t="str">
        <x:f>IF(Sites!$A$23&lt;&gt;"Yes","",Sites!$B$23)</x:f>
      </x:c>
      <x:c r="D25" s="48" t="str">
        <x:f>IF(Sites!$A$23&lt;&gt;"Yes","",Sites!$AE$23)</x:f>
      </x:c>
      <x:c r="F25" s="48" t="str">
        <x:f>IF('Base Searches'!$A$24&lt;&gt;"Yes","",'Base Searches'!$C$24)</x:f>
      </x:c>
      <x:c r="G25" s="48" t="str">
        <x:f>IF('Base Searches'!$A$24&lt;&gt;"Yes","",'Base Searches'!$E$24)</x:f>
      </x:c>
      <x:c r="H25" s="48" t="str">
        <x:f>IF('Base Searches'!$A$24&lt;&gt;"Yes","",'Base Searches'!$I$24)</x:f>
      </x:c>
      <x:c r="I25" s="48" t="str">
        <x:f>IF('Base Searches'!$A$24&lt;&gt;"Yes","","$"&amp;'Dashboard Config'!$B$9&amp;".earliest$")</x:f>
      </x:c>
      <x:c r="J25" s="48" t="str">
        <x:f>IF('Base Searches'!$A$24&lt;&gt;"Yes","","$"&amp;'Dashboard Config'!$B$9&amp;".latest$")</x:f>
      </x:c>
    </x:row>
    <x:row r="26">
      <x:c r="A26" s="48" t="str">
        <x:f>IF(Sites!$A$24&lt;&gt;"Yes","",Sites!$C$24)</x:f>
      </x:c>
      <x:c r="B26" s="48" t="str">
        <x:f>IF(Sites!$A$24&lt;&gt;"Yes","",Sites!$AD$24)</x:f>
      </x:c>
      <x:c r="C26" s="48" t="str">
        <x:f>IF(Sites!$A$24&lt;&gt;"Yes","",Sites!$B$24)</x:f>
      </x:c>
      <x:c r="D26" s="48" t="str">
        <x:f>IF(Sites!$A$24&lt;&gt;"Yes","",Sites!$AE$24)</x:f>
      </x:c>
      <x:c r="F26" s="48" t="str">
        <x:f>IF('Base Searches'!$A$25&lt;&gt;"Yes","",'Base Searches'!$C$25)</x:f>
      </x:c>
      <x:c r="G26" s="48" t="str">
        <x:f>IF('Base Searches'!$A$25&lt;&gt;"Yes","",'Base Searches'!$E$25)</x:f>
      </x:c>
      <x:c r="H26" s="48" t="str">
        <x:f>IF('Base Searches'!$A$25&lt;&gt;"Yes","",'Base Searches'!$I$25)</x:f>
      </x:c>
      <x:c r="I26" s="48" t="str">
        <x:f>IF('Base Searches'!$A$25&lt;&gt;"Yes","","$"&amp;'Dashboard Config'!$B$9&amp;".earliest$")</x:f>
      </x:c>
      <x:c r="J26" s="48" t="str">
        <x:f>IF('Base Searches'!$A$25&lt;&gt;"Yes","","$"&amp;'Dashboard Config'!$B$9&amp;".latest$")</x:f>
      </x:c>
    </x:row>
    <x:row r="27">
      <x:c r="A27" s="48" t="str">
        <x:f>IF(Sites!$A$25&lt;&gt;"Yes","",Sites!$C$25)</x:f>
      </x:c>
      <x:c r="B27" s="48" t="str">
        <x:f>IF(Sites!$A$25&lt;&gt;"Yes","",Sites!$AD$25)</x:f>
      </x:c>
      <x:c r="C27" s="48" t="str">
        <x:f>IF(Sites!$A$25&lt;&gt;"Yes","",Sites!$B$25)</x:f>
      </x:c>
      <x:c r="D27" s="48" t="str">
        <x:f>IF(Sites!$A$25&lt;&gt;"Yes","",Sites!$AE$25)</x:f>
      </x:c>
      <x:c r="F27" s="48" t="str">
        <x:f>IF('Base Searches'!$A$26&lt;&gt;"Yes","",'Base Searches'!$C$26)</x:f>
      </x:c>
      <x:c r="G27" s="48" t="str">
        <x:f>IF('Base Searches'!$A$26&lt;&gt;"Yes","",'Base Searches'!$E$26)</x:f>
      </x:c>
      <x:c r="H27" s="48" t="str">
        <x:f>IF('Base Searches'!$A$26&lt;&gt;"Yes","",'Base Searches'!$I$26)</x:f>
      </x:c>
      <x:c r="I27" s="48" t="str">
        <x:f>IF('Base Searches'!$A$26&lt;&gt;"Yes","","$"&amp;'Dashboard Config'!$B$9&amp;".earliest$")</x:f>
      </x:c>
      <x:c r="J27" s="48" t="str">
        <x:f>IF('Base Searches'!$A$26&lt;&gt;"Yes","","$"&amp;'Dashboard Config'!$B$9&amp;".latest$")</x:f>
      </x:c>
    </x:row>
    <x:row r="28">
      <x:c r="A28" s="48" t="str">
        <x:f>IF(Sites!$A$26&lt;&gt;"Yes","",Sites!$C$26)</x:f>
      </x:c>
      <x:c r="B28" s="48" t="str">
        <x:f>IF(Sites!$A$26&lt;&gt;"Yes","",Sites!$AD$26)</x:f>
      </x:c>
      <x:c r="C28" s="48" t="str">
        <x:f>IF(Sites!$A$26&lt;&gt;"Yes","",Sites!$B$26)</x:f>
      </x:c>
      <x:c r="D28" s="48" t="str">
        <x:f>IF(Sites!$A$26&lt;&gt;"Yes","",Sites!$AE$26)</x:f>
      </x:c>
      <x:c r="F28" s="48" t="str">
        <x:f>IF('Base Searches'!$A$27&lt;&gt;"Yes","",'Base Searches'!$C$27)</x:f>
      </x:c>
      <x:c r="G28" s="48" t="str">
        <x:f>IF('Base Searches'!$A$27&lt;&gt;"Yes","",'Base Searches'!$E$27)</x:f>
      </x:c>
      <x:c r="H28" s="48" t="str">
        <x:f>IF('Base Searches'!$A$27&lt;&gt;"Yes","",'Base Searches'!$I$27)</x:f>
      </x:c>
      <x:c r="I28" s="48" t="str">
        <x:f>IF('Base Searches'!$A$27&lt;&gt;"Yes","","$"&amp;'Dashboard Config'!$B$9&amp;".earliest$")</x:f>
      </x:c>
      <x:c r="J28" s="48" t="str">
        <x:f>IF('Base Searches'!$A$27&lt;&gt;"Yes","","$"&amp;'Dashboard Config'!$B$9&amp;".latest$")</x:f>
      </x:c>
    </x:row>
    <x:row r="29">
      <x:c r="A29" s="48" t="str">
        <x:f>IF(Sites!$A$27&lt;&gt;"Yes","",Sites!$C$27)</x:f>
      </x:c>
      <x:c r="B29" s="48" t="str">
        <x:f>IF(Sites!$A$27&lt;&gt;"Yes","",Sites!$AD$27)</x:f>
      </x:c>
      <x:c r="C29" s="48" t="str">
        <x:f>IF(Sites!$A$27&lt;&gt;"Yes","",Sites!$B$27)</x:f>
      </x:c>
      <x:c r="D29" s="48" t="str">
        <x:f>IF(Sites!$A$27&lt;&gt;"Yes","",Sites!$AE$27)</x:f>
      </x:c>
      <x:c r="F29" s="48" t="str">
        <x:f>IF('Base Searches'!$A$28&lt;&gt;"Yes","",'Base Searches'!$C$28)</x:f>
      </x:c>
      <x:c r="G29" s="48" t="str">
        <x:f>IF('Base Searches'!$A$28&lt;&gt;"Yes","",'Base Searches'!$E$28)</x:f>
      </x:c>
      <x:c r="H29" s="48" t="str">
        <x:f>IF('Base Searches'!$A$28&lt;&gt;"Yes","",'Base Searches'!$I$28)</x:f>
      </x:c>
      <x:c r="I29" s="48" t="str">
        <x:f>IF('Base Searches'!$A$28&lt;&gt;"Yes","","$"&amp;'Dashboard Config'!$B$9&amp;".earliest$")</x:f>
      </x:c>
      <x:c r="J29" s="48" t="str">
        <x:f>IF('Base Searches'!$A$28&lt;&gt;"Yes","","$"&amp;'Dashboard Config'!$B$9&amp;".latest$")</x:f>
      </x:c>
    </x:row>
    <x:row r="30">
      <x:c r="A30" s="48" t="str">
        <x:f>IF(Sites!$A$28&lt;&gt;"Yes","",Sites!$C$28)</x:f>
      </x:c>
      <x:c r="B30" s="48" t="str">
        <x:f>IF(Sites!$A$28&lt;&gt;"Yes","",Sites!$AD$28)</x:f>
      </x:c>
      <x:c r="C30" s="48" t="str">
        <x:f>IF(Sites!$A$28&lt;&gt;"Yes","",Sites!$B$28)</x:f>
      </x:c>
      <x:c r="D30" s="48" t="str">
        <x:f>IF(Sites!$A$28&lt;&gt;"Yes","",Sites!$AE$28)</x:f>
      </x:c>
      <x:c r="F30" s="48" t="str">
        <x:f>IF('Base Searches'!$A$29&lt;&gt;"Yes","",'Base Searches'!$C$29)</x:f>
      </x:c>
      <x:c r="G30" s="48" t="str">
        <x:f>IF('Base Searches'!$A$29&lt;&gt;"Yes","",'Base Searches'!$E$29)</x:f>
      </x:c>
      <x:c r="H30" s="48" t="str">
        <x:f>IF('Base Searches'!$A$29&lt;&gt;"Yes","",'Base Searches'!$I$29)</x:f>
      </x:c>
      <x:c r="I30" s="48" t="str">
        <x:f>IF('Base Searches'!$A$29&lt;&gt;"Yes","","$"&amp;'Dashboard Config'!$B$9&amp;".earliest$")</x:f>
      </x:c>
      <x:c r="J30" s="48" t="str">
        <x:f>IF('Base Searches'!$A$29&lt;&gt;"Yes","","$"&amp;'Dashboard Config'!$B$9&amp;".latest$")</x:f>
      </x:c>
    </x:row>
    <x:row r="31">
      <x:c r="A31" s="48" t="str">
        <x:f>IF(Sites!$A$29&lt;&gt;"Yes","",Sites!$C$29)</x:f>
      </x:c>
      <x:c r="B31" s="48" t="str">
        <x:f>IF(Sites!$A$29&lt;&gt;"Yes","",Sites!$AD$29)</x:f>
      </x:c>
      <x:c r="C31" s="48" t="str">
        <x:f>IF(Sites!$A$29&lt;&gt;"Yes","",Sites!$B$29)</x:f>
      </x:c>
      <x:c r="D31" s="48" t="str">
        <x:f>IF(Sites!$A$29&lt;&gt;"Yes","",Sites!$AE$29)</x:f>
      </x:c>
      <x:c r="F31" s="48" t="str">
        <x:f>IF('Base Searches'!$A$30&lt;&gt;"Yes","",'Base Searches'!$C$30)</x:f>
      </x:c>
      <x:c r="G31" s="48" t="str">
        <x:f>IF('Base Searches'!$A$30&lt;&gt;"Yes","",'Base Searches'!$E$30)</x:f>
      </x:c>
      <x:c r="H31" s="48" t="str">
        <x:f>IF('Base Searches'!$A$30&lt;&gt;"Yes","",'Base Searches'!$I$30)</x:f>
      </x:c>
      <x:c r="I31" s="48" t="str">
        <x:f>IF('Base Searches'!$A$30&lt;&gt;"Yes","","$"&amp;'Dashboard Config'!$B$9&amp;".earliest$")</x:f>
      </x:c>
      <x:c r="J31" s="48" t="str">
        <x:f>IF('Base Searches'!$A$30&lt;&gt;"Yes","","$"&amp;'Dashboard Config'!$B$9&amp;".latest$")</x:f>
      </x:c>
    </x:row>
    <x:row r="32">
      <x:c r="A32" s="48" t="str">
        <x:f>IF(Sites!$A$30&lt;&gt;"Yes","",Sites!$C$30)</x:f>
      </x:c>
      <x:c r="B32" s="48" t="str">
        <x:f>IF(Sites!$A$30&lt;&gt;"Yes","",Sites!$AD$30)</x:f>
      </x:c>
      <x:c r="C32" s="48" t="str">
        <x:f>IF(Sites!$A$30&lt;&gt;"Yes","",Sites!$B$30)</x:f>
      </x:c>
      <x:c r="D32" s="48" t="str">
        <x:f>IF(Sites!$A$30&lt;&gt;"Yes","",Sites!$AE$30)</x:f>
      </x:c>
      <x:c r="F32" s="48" t="str">
        <x:f>IF('Base Searches'!$A$31&lt;&gt;"Yes","",'Base Searches'!$C$31)</x:f>
      </x:c>
      <x:c r="G32" s="48" t="str">
        <x:f>IF('Base Searches'!$A$31&lt;&gt;"Yes","",'Base Searches'!$E$31)</x:f>
      </x:c>
      <x:c r="H32" s="48" t="str">
        <x:f>IF('Base Searches'!$A$31&lt;&gt;"Yes","",'Base Searches'!$I$31)</x:f>
      </x:c>
      <x:c r="I32" s="48" t="str">
        <x:f>IF('Base Searches'!$A$31&lt;&gt;"Yes","","$"&amp;'Dashboard Config'!$B$9&amp;".earliest$")</x:f>
      </x:c>
      <x:c r="J32" s="48" t="str">
        <x:f>IF('Base Searches'!$A$31&lt;&gt;"Yes","","$"&amp;'Dashboard Config'!$B$9&amp;".latest$")</x:f>
      </x:c>
    </x:row>
    <x:row r="33">
      <x:c r="A33" s="48" t="str">
        <x:f>IF(Sites!$A$31&lt;&gt;"Yes","",Sites!$C$31)</x:f>
      </x:c>
      <x:c r="B33" s="48" t="str">
        <x:f>IF(Sites!$A$31&lt;&gt;"Yes","",Sites!$AD$31)</x:f>
      </x:c>
      <x:c r="C33" s="48" t="str">
        <x:f>IF(Sites!$A$31&lt;&gt;"Yes","",Sites!$B$31)</x:f>
      </x:c>
      <x:c r="D33" s="48" t="str">
        <x:f>IF(Sites!$A$31&lt;&gt;"Yes","",Sites!$AE$31)</x:f>
      </x:c>
      <x:c r="F33" s="48" t="str">
        <x:f>IF('Base Searches'!$A$32&lt;&gt;"Yes","",'Base Searches'!$C$32)</x:f>
      </x:c>
      <x:c r="G33" s="48" t="str">
        <x:f>IF('Base Searches'!$A$32&lt;&gt;"Yes","",'Base Searches'!$E$32)</x:f>
      </x:c>
      <x:c r="H33" s="48" t="str">
        <x:f>IF('Base Searches'!$A$32&lt;&gt;"Yes","",'Base Searches'!$I$32)</x:f>
      </x:c>
      <x:c r="I33" s="48" t="str">
        <x:f>IF('Base Searches'!$A$32&lt;&gt;"Yes","","$"&amp;'Dashboard Config'!$B$9&amp;".earliest$")</x:f>
      </x:c>
      <x:c r="J33" s="48" t="str">
        <x:f>IF('Base Searches'!$A$32&lt;&gt;"Yes","","$"&amp;'Dashboard Config'!$B$9&amp;".latest$")</x:f>
      </x:c>
    </x:row>
    <x:row r="34">
      <x:c r="A34" s="48" t="str">
        <x:f>IF(Sites!$A$32&lt;&gt;"Yes","",Sites!$C$32)</x:f>
      </x:c>
      <x:c r="B34" s="48" t="str">
        <x:f>IF(Sites!$A$32&lt;&gt;"Yes","",Sites!$AD$32)</x:f>
      </x:c>
      <x:c r="C34" s="48" t="str">
        <x:f>IF(Sites!$A$32&lt;&gt;"Yes","",Sites!$B$32)</x:f>
      </x:c>
      <x:c r="D34" s="48" t="str">
        <x:f>IF(Sites!$A$32&lt;&gt;"Yes","",Sites!$AE$32)</x:f>
      </x:c>
      <x:c r="F34" s="48" t="str">
        <x:f>IF('Base Searches'!$A$33&lt;&gt;"Yes","",'Base Searches'!$C$33)</x:f>
      </x:c>
      <x:c r="G34" s="48" t="str">
        <x:f>IF('Base Searches'!$A$33&lt;&gt;"Yes","",'Base Searches'!$E$33)</x:f>
      </x:c>
      <x:c r="H34" s="48" t="str">
        <x:f>IF('Base Searches'!$A$33&lt;&gt;"Yes","",'Base Searches'!$I$33)</x:f>
      </x:c>
      <x:c r="I34" s="48" t="str">
        <x:f>IF('Base Searches'!$A$33&lt;&gt;"Yes","","$"&amp;'Dashboard Config'!$B$9&amp;".earliest$")</x:f>
      </x:c>
      <x:c r="J34" s="48" t="str">
        <x:f>IF('Base Searches'!$A$33&lt;&gt;"Yes","","$"&amp;'Dashboard Config'!$B$9&amp;".latest$")</x:f>
      </x:c>
    </x:row>
    <x:row r="35">
      <x:c r="A35" s="48" t="str">
        <x:f>IF(Sites!$A$33&lt;&gt;"Yes","",Sites!$C$33)</x:f>
      </x:c>
      <x:c r="B35" s="48" t="str">
        <x:f>IF(Sites!$A$33&lt;&gt;"Yes","",Sites!$AD$33)</x:f>
      </x:c>
      <x:c r="C35" s="48" t="str">
        <x:f>IF(Sites!$A$33&lt;&gt;"Yes","",Sites!$B$33)</x:f>
      </x:c>
      <x:c r="D35" s="48" t="str">
        <x:f>IF(Sites!$A$33&lt;&gt;"Yes","",Sites!$AE$33)</x:f>
      </x:c>
      <x:c r="F35" s="48" t="str">
        <x:f>IF('Base Searches'!$A$34&lt;&gt;"Yes","",'Base Searches'!$C$34)</x:f>
      </x:c>
      <x:c r="G35" s="48" t="str">
        <x:f>IF('Base Searches'!$A$34&lt;&gt;"Yes","",'Base Searches'!$E$34)</x:f>
      </x:c>
      <x:c r="H35" s="48" t="str">
        <x:f>IF('Base Searches'!$A$34&lt;&gt;"Yes","",'Base Searches'!$I$34)</x:f>
      </x:c>
      <x:c r="I35" s="48" t="str">
        <x:f>IF('Base Searches'!$A$34&lt;&gt;"Yes","","$"&amp;'Dashboard Config'!$B$9&amp;".earliest$")</x:f>
      </x:c>
      <x:c r="J35" s="48" t="str">
        <x:f>IF('Base Searches'!$A$34&lt;&gt;"Yes","","$"&amp;'Dashboard Config'!$B$9&amp;".latest$")</x:f>
      </x:c>
    </x:row>
    <x:row r="36">
      <x:c r="A36" s="48" t="str">
        <x:f>IF(Sites!$A$34&lt;&gt;"Yes","",Sites!$C$34)</x:f>
      </x:c>
      <x:c r="B36" s="48" t="str">
        <x:f>IF(Sites!$A$34&lt;&gt;"Yes","",Sites!$AD$34)</x:f>
      </x:c>
      <x:c r="C36" s="48" t="str">
        <x:f>IF(Sites!$A$34&lt;&gt;"Yes","",Sites!$B$34)</x:f>
      </x:c>
      <x:c r="D36" s="48" t="str">
        <x:f>IF(Sites!$A$34&lt;&gt;"Yes","",Sites!$AE$34)</x:f>
      </x:c>
      <x:c r="F36" s="48" t="str">
        <x:f>IF('Base Searches'!$A$35&lt;&gt;"Yes","",'Base Searches'!$C$35)</x:f>
      </x:c>
      <x:c r="G36" s="48" t="str">
        <x:f>IF('Base Searches'!$A$35&lt;&gt;"Yes","",'Base Searches'!$E$35)</x:f>
      </x:c>
      <x:c r="H36" s="48" t="str">
        <x:f>IF('Base Searches'!$A$35&lt;&gt;"Yes","",'Base Searches'!$I$35)</x:f>
      </x:c>
      <x:c r="I36" s="48" t="str">
        <x:f>IF('Base Searches'!$A$35&lt;&gt;"Yes","","$"&amp;'Dashboard Config'!$B$9&amp;".earliest$")</x:f>
      </x:c>
      <x:c r="J36" s="48" t="str">
        <x:f>IF('Base Searches'!$A$35&lt;&gt;"Yes","","$"&amp;'Dashboard Config'!$B$9&amp;".latest$")</x:f>
      </x:c>
    </x:row>
    <x:row r="37">
      <x:c r="A37" s="48" t="str">
        <x:f>IF(Sites!$A$35&lt;&gt;"Yes","",Sites!$C$35)</x:f>
      </x:c>
      <x:c r="B37" s="48" t="str">
        <x:f>IF(Sites!$A$35&lt;&gt;"Yes","",Sites!$AD$35)</x:f>
      </x:c>
      <x:c r="C37" s="48" t="str">
        <x:f>IF(Sites!$A$35&lt;&gt;"Yes","",Sites!$B$35)</x:f>
      </x:c>
      <x:c r="D37" s="48" t="str">
        <x:f>IF(Sites!$A$35&lt;&gt;"Yes","",Sites!$AE$35)</x:f>
      </x:c>
    </x:row>
    <x:row r="38">
      <x:c r="A38" s="48" t="str">
        <x:f>IF(Sites!$A$36&lt;&gt;"Yes","",Sites!$C$36)</x:f>
      </x:c>
      <x:c r="B38" s="48" t="str">
        <x:f>IF(Sites!$A$36&lt;&gt;"Yes","",Sites!$AD$36)</x:f>
      </x:c>
      <x:c r="C38" s="48" t="str">
        <x:f>IF(Sites!$A$36&lt;&gt;"Yes","",Sites!$B$36)</x:f>
      </x:c>
      <x:c r="D38" s="48" t="str">
        <x:f>IF(Sites!$A$36&lt;&gt;"Yes","",Sites!$AE$36)</x:f>
      </x:c>
    </x:row>
    <x:row r="39">
      <x:c r="A39" s="48" t="str">
        <x:f>IF(Sites!$A$37&lt;&gt;"Yes","",Sites!$C$37)</x:f>
      </x:c>
      <x:c r="B39" s="48" t="str">
        <x:f>IF(Sites!$A$37&lt;&gt;"Yes","",Sites!$AD$37)</x:f>
      </x:c>
      <x:c r="C39" s="48" t="str">
        <x:f>IF(Sites!$A$37&lt;&gt;"Yes","",Sites!$B$37)</x:f>
      </x:c>
      <x:c r="D39" s="48" t="str">
        <x:f>IF(Sites!$A$37&lt;&gt;"Yes","",Sites!$AE$37)</x:f>
      </x:c>
    </x:row>
    <x:row r="40">
      <x:c r="A40" s="48" t="str">
        <x:f>IF(Sites!$A$38&lt;&gt;"Yes","",Sites!$C$38)</x:f>
      </x:c>
      <x:c r="B40" s="48" t="str">
        <x:f>IF(Sites!$A$38&lt;&gt;"Yes","",Sites!$AD$38)</x:f>
      </x:c>
      <x:c r="C40" s="48" t="str">
        <x:f>IF(Sites!$A$38&lt;&gt;"Yes","",Sites!$B$38)</x:f>
      </x:c>
      <x:c r="D40" s="48" t="str">
        <x:f>IF(Sites!$A$38&lt;&gt;"Yes","",Sites!$AE$38)</x:f>
      </x:c>
    </x:row>
    <x:row r="41">
      <x:c r="A41" s="48" t="str">
        <x:f>IF(Sites!$A$39&lt;&gt;"Yes","",Sites!$C$39)</x:f>
      </x:c>
      <x:c r="B41" s="48" t="str">
        <x:f>IF(Sites!$A$39&lt;&gt;"Yes","",Sites!$AD$39)</x:f>
      </x:c>
      <x:c r="C41" s="48" t="str">
        <x:f>IF(Sites!$A$39&lt;&gt;"Yes","",Sites!$B$39)</x:f>
      </x:c>
      <x:c r="D41" s="48" t="str">
        <x:f>IF(Sites!$A$39&lt;&gt;"Yes","",Sites!$AE$39)</x:f>
      </x:c>
    </x:row>
    <x:row r="42">
      <x:c r="A42" s="48" t="str">
        <x:f>IF(Sites!$A$40&lt;&gt;"Yes","",Sites!$C$40)</x:f>
      </x:c>
      <x:c r="B42" s="48" t="str">
        <x:f>IF(Sites!$A$40&lt;&gt;"Yes","",Sites!$AD$40)</x:f>
      </x:c>
      <x:c r="C42" s="48" t="str">
        <x:f>IF(Sites!$A$40&lt;&gt;"Yes","",Sites!$B$40)</x:f>
      </x:c>
      <x:c r="D42" s="48" t="str">
        <x:f>IF(Sites!$A$40&lt;&gt;"Yes","",Sites!$AE$40)</x:f>
      </x:c>
    </x:row>
    <x:row r="43">
      <x:c r="A43" s="48" t="str">
        <x:f>IF(Sites!$A$41&lt;&gt;"Yes","",Sites!$C$41)</x:f>
      </x:c>
      <x:c r="B43" s="48" t="str">
        <x:f>IF(Sites!$A$41&lt;&gt;"Yes","",Sites!$AD$41)</x:f>
      </x:c>
      <x:c r="C43" s="48" t="str">
        <x:f>IF(Sites!$A$41&lt;&gt;"Yes","",Sites!$B$41)</x:f>
      </x:c>
      <x:c r="D43" s="48" t="str">
        <x:f>IF(Sites!$A$41&lt;&gt;"Yes","",Sites!$AE$41)</x:f>
      </x:c>
    </x:row>
    <x:row r="44">
      <x:c r="A44" s="48" t="str">
        <x:f>IF(Sites!$A$42&lt;&gt;"Yes","",Sites!$C$42)</x:f>
      </x:c>
      <x:c r="B44" s="48" t="str">
        <x:f>IF(Sites!$A$42&lt;&gt;"Yes","",Sites!$AD$42)</x:f>
      </x:c>
      <x:c r="C44" s="48" t="str">
        <x:f>IF(Sites!$A$42&lt;&gt;"Yes","",Sites!$B$42)</x:f>
      </x:c>
      <x:c r="D44" s="48" t="str">
        <x:f>IF(Sites!$A$42&lt;&gt;"Yes","",Sites!$AE$42)</x:f>
      </x:c>
    </x:row>
    <x:row r="45">
      <x:c r="A45" s="48" t="str">
        <x:f>IF(Sites!$A$43&lt;&gt;"Yes","",Sites!$C$43)</x:f>
      </x:c>
      <x:c r="B45" s="48" t="str">
        <x:f>IF(Sites!$A$43&lt;&gt;"Yes","",Sites!$AD$43)</x:f>
      </x:c>
      <x:c r="C45" s="48" t="str">
        <x:f>IF(Sites!$A$43&lt;&gt;"Yes","",Sites!$B$43)</x:f>
      </x:c>
      <x:c r="D45" s="48" t="str">
        <x:f>IF(Sites!$A$43&lt;&gt;"Yes","",Sites!$AE$43)</x:f>
      </x:c>
    </x:row>
    <x:row r="46">
      <x:c r="A46" s="48" t="str">
        <x:f>IF(Sites!$A$44&lt;&gt;"Yes","",Sites!$C$44)</x:f>
      </x:c>
      <x:c r="B46" s="48" t="str">
        <x:f>IF(Sites!$A$44&lt;&gt;"Yes","",Sites!$AD$44)</x:f>
      </x:c>
      <x:c r="C46" s="48" t="str">
        <x:f>IF(Sites!$A$44&lt;&gt;"Yes","",Sites!$B$44)</x:f>
      </x:c>
      <x:c r="D46" s="48" t="str">
        <x:f>IF(Sites!$A$44&lt;&gt;"Yes","",Sites!$AE$44)</x:f>
      </x:c>
    </x:row>
    <x:row r="47">
      <x:c r="A47" s="48" t="str">
        <x:f>IF(Sites!$A$45&lt;&gt;"Yes","",Sites!$C$45)</x:f>
      </x:c>
      <x:c r="B47" s="48" t="str">
        <x:f>IF(Sites!$A$45&lt;&gt;"Yes","",Sites!$AD$45)</x:f>
      </x:c>
      <x:c r="C47" s="48" t="str">
        <x:f>IF(Sites!$A$45&lt;&gt;"Yes","",Sites!$B$45)</x:f>
      </x:c>
      <x:c r="D47" s="48" t="str">
        <x:f>IF(Sites!$A$45&lt;&gt;"Yes","",Sites!$AE$45)</x:f>
      </x:c>
    </x:row>
    <x:row r="48">
      <x:c r="A48" s="48" t="str">
        <x:f>IF(Sites!$A$46&lt;&gt;"Yes","",Sites!$C$46)</x:f>
      </x:c>
      <x:c r="B48" s="48" t="str">
        <x:f>IF(Sites!$A$46&lt;&gt;"Yes","",Sites!$AD$46)</x:f>
      </x:c>
      <x:c r="C48" s="48" t="str">
        <x:f>IF(Sites!$A$46&lt;&gt;"Yes","",Sites!$B$46)</x:f>
      </x:c>
      <x:c r="D48" s="48" t="str">
        <x:f>IF(Sites!$A$46&lt;&gt;"Yes","",Sites!$AE$46)</x:f>
      </x:c>
    </x:row>
    <x:row r="49">
      <x:c r="A49" s="48" t="str">
        <x:f>IF(Sites!$A$47&lt;&gt;"Yes","",Sites!$C$47)</x:f>
      </x:c>
      <x:c r="B49" s="48" t="str">
        <x:f>IF(Sites!$A$47&lt;&gt;"Yes","",Sites!$AD$47)</x:f>
      </x:c>
      <x:c r="C49" s="48" t="str">
        <x:f>IF(Sites!$A$47&lt;&gt;"Yes","",Sites!$B$47)</x:f>
      </x:c>
      <x:c r="D49" s="48" t="str">
        <x:f>IF(Sites!$A$47&lt;&gt;"Yes","",Sites!$AE$47)</x:f>
      </x:c>
    </x:row>
    <x:row r="50">
      <x:c r="A50" s="48" t="str">
        <x:f>IF(Sites!$A$48&lt;&gt;"Yes","",Sites!$C$48)</x:f>
      </x:c>
      <x:c r="B50" s="48" t="str">
        <x:f>IF(Sites!$A$48&lt;&gt;"Yes","",Sites!$AD$48)</x:f>
      </x:c>
      <x:c r="C50" s="48" t="str">
        <x:f>IF(Sites!$A$48&lt;&gt;"Yes","",Sites!$B$48)</x:f>
      </x:c>
      <x:c r="D50" s="48" t="str">
        <x:f>IF(Sites!$A$48&lt;&gt;"Yes","",Sites!$AE$48)</x:f>
      </x:c>
    </x:row>
    <x:row r="51">
      <x:c r="A51" s="48" t="str">
        <x:f>IF(Sites!$A$49&lt;&gt;"Yes","",Sites!$C$49)</x:f>
      </x:c>
      <x:c r="B51" s="48" t="str">
        <x:f>IF(Sites!$A$49&lt;&gt;"Yes","",Sites!$AD$49)</x:f>
      </x:c>
      <x:c r="C51" s="48" t="str">
        <x:f>IF(Sites!$A$49&lt;&gt;"Yes","",Sites!$B$49)</x:f>
      </x:c>
      <x:c r="D51" s="48" t="str">
        <x:f>IF(Sites!$A$49&lt;&gt;"Yes","",Sites!$AE$49)</x:f>
      </x:c>
    </x:row>
    <x:row r="52">
      <x:c r="A52" s="48" t="str">
        <x:f>IF(Sites!$A$50&lt;&gt;"Yes","",Sites!$C$50)</x:f>
      </x:c>
      <x:c r="B52" s="48" t="str">
        <x:f>IF(Sites!$A$50&lt;&gt;"Yes","",Sites!$AD$50)</x:f>
      </x:c>
      <x:c r="C52" s="48" t="str">
        <x:f>IF(Sites!$A$50&lt;&gt;"Yes","",Sites!$B$50)</x:f>
      </x:c>
      <x:c r="D52" s="48" t="str">
        <x:f>IF(Sites!$A$50&lt;&gt;"Yes","",Sites!$AE$50)</x:f>
      </x:c>
    </x:row>
    <x:row r="53">
      <x:c r="A53" s="48" t="str">
        <x:f>IF(Sites!$A$51&lt;&gt;"Yes","",Sites!$C$51)</x:f>
      </x:c>
      <x:c r="B53" s="48" t="str">
        <x:f>IF(Sites!$A$51&lt;&gt;"Yes","",Sites!$AD$51)</x:f>
      </x:c>
      <x:c r="C53" s="48" t="str">
        <x:f>IF(Sites!$A$51&lt;&gt;"Yes","",Sites!$B$51)</x:f>
      </x:c>
      <x:c r="D53" s="48" t="str">
        <x:f>IF(Sites!$A$51&lt;&gt;"Yes","",Sites!$AE$51)</x:f>
      </x:c>
    </x:row>
    <x:row r="54">
      <x:c r="A54" s="48" t="str">
        <x:f>IF(Sites!$A$52&lt;&gt;"Yes","",Sites!$C$52)</x:f>
      </x:c>
      <x:c r="B54" s="48" t="str">
        <x:f>IF(Sites!$A$52&lt;&gt;"Yes","",Sites!$AD$52)</x:f>
      </x:c>
      <x:c r="C54" s="48" t="str">
        <x:f>IF(Sites!$A$52&lt;&gt;"Yes","",Sites!$B$52)</x:f>
      </x:c>
      <x:c r="D54" s="48" t="str">
        <x:f>IF(Sites!$A$52&lt;&gt;"Yes","",Sites!$AE$52)</x:f>
      </x:c>
    </x:row>
    <x:row r="55">
      <x:c r="A55" s="48" t="str">
        <x:f>IF(Sites!$A$53&lt;&gt;"Yes","",Sites!$C$53)</x:f>
      </x:c>
      <x:c r="B55" s="48" t="str">
        <x:f>IF(Sites!$A$53&lt;&gt;"Yes","",Sites!$AD$53)</x:f>
      </x:c>
      <x:c r="C55" s="48" t="str">
        <x:f>IF(Sites!$A$53&lt;&gt;"Yes","",Sites!$B$53)</x:f>
      </x:c>
      <x:c r="D55" s="48" t="str">
        <x:f>IF(Sites!$A$53&lt;&gt;"Yes","",Sites!$AE$53)</x:f>
      </x:c>
    </x:row>
    <x:row r="56">
      <x:c r="A56" s="48" t="str">
        <x:f>IF(Sites!$A$54&lt;&gt;"Yes","",Sites!$C$54)</x:f>
      </x:c>
      <x:c r="B56" s="48" t="str">
        <x:f>IF(Sites!$A$54&lt;&gt;"Yes","",Sites!$AD$54)</x:f>
      </x:c>
      <x:c r="C56" s="48" t="str">
        <x:f>IF(Sites!$A$54&lt;&gt;"Yes","",Sites!$B$54)</x:f>
      </x:c>
      <x:c r="D56" s="48" t="str">
        <x:f>IF(Sites!$A$54&lt;&gt;"Yes","",Sites!$AE$54)</x:f>
      </x:c>
    </x:row>
    <x:row r="57">
      <x:c r="A57" s="48" t="str">
        <x:f>IF(Sites!$A$55&lt;&gt;"Yes","",Sites!$C$55)</x:f>
      </x:c>
      <x:c r="B57" s="48" t="str">
        <x:f>IF(Sites!$A$55&lt;&gt;"Yes","",Sites!$AD$55)</x:f>
      </x:c>
      <x:c r="C57" s="48" t="str">
        <x:f>IF(Sites!$A$55&lt;&gt;"Yes","",Sites!$B$55)</x:f>
      </x:c>
      <x:c r="D57" s="48" t="str">
        <x:f>IF(Sites!$A$55&lt;&gt;"Yes","",Sites!$AE$55)</x:f>
      </x:c>
    </x:row>
    <x:row r="58">
      <x:c r="A58" s="48" t="str">
        <x:f>IF(Sites!$A$56&lt;&gt;"Yes","",Sites!$C$56)</x:f>
      </x:c>
      <x:c r="B58" s="48" t="str">
        <x:f>IF(Sites!$A$56&lt;&gt;"Yes","",Sites!$AD$56)</x:f>
      </x:c>
      <x:c r="C58" s="48" t="str">
        <x:f>IF(Sites!$A$56&lt;&gt;"Yes","",Sites!$B$56)</x:f>
      </x:c>
      <x:c r="D58" s="48" t="str">
        <x:f>IF(Sites!$A$56&lt;&gt;"Yes","",Sites!$AE$56)</x:f>
      </x:c>
    </x:row>
    <x:row r="59">
      <x:c r="A59" s="48" t="str">
        <x:f>IF(Sites!$A$57&lt;&gt;"Yes","",Sites!$C$57)</x:f>
      </x:c>
      <x:c r="B59" s="48" t="str">
        <x:f>IF(Sites!$A$57&lt;&gt;"Yes","",Sites!$AD$57)</x:f>
      </x:c>
      <x:c r="C59" s="48" t="str">
        <x:f>IF(Sites!$A$57&lt;&gt;"Yes","",Sites!$B$57)</x:f>
      </x:c>
      <x:c r="D59" s="48" t="str">
        <x:f>IF(Sites!$A$57&lt;&gt;"Yes","",Sites!$AE$57)</x:f>
      </x:c>
    </x:row>
    <x:row r="60">
      <x:c r="A60" s="48" t="str">
        <x:f>IF(Sites!$A$58&lt;&gt;"Yes","",Sites!$C$58)</x:f>
      </x:c>
      <x:c r="B60" s="48" t="str">
        <x:f>IF(Sites!$A$58&lt;&gt;"Yes","",Sites!$AD$58)</x:f>
      </x:c>
      <x:c r="C60" s="48" t="str">
        <x:f>IF(Sites!$A$58&lt;&gt;"Yes","",Sites!$B$58)</x:f>
      </x:c>
      <x:c r="D60" s="48" t="str">
        <x:f>IF(Sites!$A$58&lt;&gt;"Yes","",Sites!$AE$58)</x:f>
      </x:c>
    </x:row>
    <x:row r="61">
      <x:c r="A61" s="48" t="str">
        <x:f>IF(Sites!$A$59&lt;&gt;"Yes","",Sites!$C$59)</x:f>
      </x:c>
      <x:c r="B61" s="48" t="str">
        <x:f>IF(Sites!$A$59&lt;&gt;"Yes","",Sites!$AD$59)</x:f>
      </x:c>
      <x:c r="C61" s="48" t="str">
        <x:f>IF(Sites!$A$59&lt;&gt;"Yes","",Sites!$B$59)</x:f>
      </x:c>
      <x:c r="D61" s="48" t="str">
        <x:f>IF(Sites!$A$59&lt;&gt;"Yes","",Sites!$AE$59)</x:f>
      </x:c>
    </x:row>
    <x:row r="62">
      <x:c r="A62" s="48" t="str">
        <x:f>IF(Sites!$A$60&lt;&gt;"Yes","",Sites!$C$60)</x:f>
      </x:c>
      <x:c r="B62" s="48" t="str">
        <x:f>IF(Sites!$A$60&lt;&gt;"Yes","",Sites!$AD$60)</x:f>
      </x:c>
      <x:c r="C62" s="48" t="str">
        <x:f>IF(Sites!$A$60&lt;&gt;"Yes","",Sites!$B$60)</x:f>
      </x:c>
      <x:c r="D62" s="48" t="str">
        <x:f>IF(Sites!$A$60&lt;&gt;"Yes","",Sites!$AE$60)</x:f>
      </x:c>
    </x:row>
    <x:row r="63">
      <x:c r="A63" s="48" t="str">
        <x:f>IF(Sites!$A$61&lt;&gt;"Yes","",Sites!$C$61)</x:f>
      </x:c>
      <x:c r="B63" s="48" t="str">
        <x:f>IF(Sites!$A$61&lt;&gt;"Yes","",Sites!$AD$61)</x:f>
      </x:c>
      <x:c r="C63" s="48" t="str">
        <x:f>IF(Sites!$A$61&lt;&gt;"Yes","",Sites!$B$61)</x:f>
      </x:c>
      <x:c r="D63" s="48" t="str">
        <x:f>IF(Sites!$A$61&lt;&gt;"Yes","",Sites!$AE$61)</x:f>
      </x:c>
    </x:row>
    <x:row r="64">
      <x:c r="A64" s="48" t="str">
        <x:f>IF(Sites!$A$62&lt;&gt;"Yes","",Sites!$C$62)</x:f>
      </x:c>
      <x:c r="B64" s="48" t="str">
        <x:f>IF(Sites!$A$62&lt;&gt;"Yes","",Sites!$AD$62)</x:f>
      </x:c>
      <x:c r="C64" s="48" t="str">
        <x:f>IF(Sites!$A$62&lt;&gt;"Yes","",Sites!$B$62)</x:f>
      </x:c>
      <x:c r="D64" s="48" t="str">
        <x:f>IF(Sites!$A$62&lt;&gt;"Yes","",Sites!$AE$62)</x:f>
      </x:c>
    </x:row>
    <x:row r="65">
      <x:c r="A65" s="48" t="str">
        <x:f>IF(Sites!$A$63&lt;&gt;"Yes","",Sites!$C$63)</x:f>
      </x:c>
      <x:c r="B65" s="48" t="str">
        <x:f>IF(Sites!$A$63&lt;&gt;"Yes","",Sites!$AD$63)</x:f>
      </x:c>
      <x:c r="C65" s="48" t="str">
        <x:f>IF(Sites!$A$63&lt;&gt;"Yes","",Sites!$B$63)</x:f>
      </x:c>
      <x:c r="D65" s="48" t="str">
        <x:f>IF(Sites!$A$63&lt;&gt;"Yes","",Sites!$AE$63)</x:f>
      </x:c>
    </x:row>
    <x:row r="66">
      <x:c r="A66" s="48" t="str">
        <x:f>IF(Sites!$A$64&lt;&gt;"Yes","",Sites!$C$64)</x:f>
      </x:c>
      <x:c r="B66" s="48" t="str">
        <x:f>IF(Sites!$A$64&lt;&gt;"Yes","",Sites!$AD$64)</x:f>
      </x:c>
      <x:c r="C66" s="48" t="str">
        <x:f>IF(Sites!$A$64&lt;&gt;"Yes","",Sites!$B$64)</x:f>
      </x:c>
      <x:c r="D66" s="48" t="str">
        <x:f>IF(Sites!$A$64&lt;&gt;"Yes","",Sites!$AE$64)</x:f>
      </x:c>
    </x:row>
    <x:row r="67">
      <x:c r="A67" s="48" t="str">
        <x:f>IF(Sites!$A$65&lt;&gt;"Yes","",Sites!$C$65)</x:f>
      </x:c>
      <x:c r="B67" s="48" t="str">
        <x:f>IF(Sites!$A$65&lt;&gt;"Yes","",Sites!$AD$65)</x:f>
      </x:c>
      <x:c r="C67" s="48" t="str">
        <x:f>IF(Sites!$A$65&lt;&gt;"Yes","",Sites!$B$65)</x:f>
      </x:c>
      <x:c r="D67" s="48" t="str">
        <x:f>IF(Sites!$A$65&lt;&gt;"Yes","",Sites!$AE$65)</x:f>
      </x:c>
    </x:row>
    <x:row r="68">
      <x:c r="A68" s="48" t="str">
        <x:f>IF(Sites!$A$66&lt;&gt;"Yes","",Sites!$C$66)</x:f>
      </x:c>
      <x:c r="B68" s="48" t="str">
        <x:f>IF(Sites!$A$66&lt;&gt;"Yes","",Sites!$AD$66)</x:f>
      </x:c>
      <x:c r="C68" s="48" t="str">
        <x:f>IF(Sites!$A$66&lt;&gt;"Yes","",Sites!$B$66)</x:f>
      </x:c>
      <x:c r="D68" s="48" t="str">
        <x:f>IF(Sites!$A$66&lt;&gt;"Yes","",Sites!$AE$66)</x:f>
      </x:c>
    </x:row>
    <x:row r="69">
      <x:c r="A69" s="48" t="str">
        <x:f>IF(Sites!$A$67&lt;&gt;"Yes","",Sites!$C$67)</x:f>
      </x:c>
      <x:c r="B69" s="48" t="str">
        <x:f>IF(Sites!$A$67&lt;&gt;"Yes","",Sites!$AD$67)</x:f>
      </x:c>
      <x:c r="C69" s="48" t="str">
        <x:f>IF(Sites!$A$67&lt;&gt;"Yes","",Sites!$B$67)</x:f>
      </x:c>
      <x:c r="D69" s="48" t="str">
        <x:f>IF(Sites!$A$67&lt;&gt;"Yes","",Sites!$AE$67)</x:f>
      </x:c>
    </x:row>
    <x:row r="70">
      <x:c r="A70" s="48" t="str">
        <x:f>IF(Sites!$A$68&lt;&gt;"Yes","",Sites!$C$68)</x:f>
      </x:c>
      <x:c r="B70" s="48" t="str">
        <x:f>IF(Sites!$A$68&lt;&gt;"Yes","",Sites!$AD$68)</x:f>
      </x:c>
      <x:c r="C70" s="48" t="str">
        <x:f>IF(Sites!$A$68&lt;&gt;"Yes","",Sites!$B$68)</x:f>
      </x:c>
      <x:c r="D70" s="48" t="str">
        <x:f>IF(Sites!$A$68&lt;&gt;"Yes","",Sites!$AE$68)</x:f>
      </x:c>
    </x:row>
    <x:row r="71">
      <x:c r="A71" s="48" t="str">
        <x:f>IF(Sites!$A$69&lt;&gt;"Yes","",Sites!$C$69)</x:f>
      </x:c>
      <x:c r="B71" s="48" t="str">
        <x:f>IF(Sites!$A$69&lt;&gt;"Yes","",Sites!$AD$69)</x:f>
      </x:c>
      <x:c r="C71" s="48" t="str">
        <x:f>IF(Sites!$A$69&lt;&gt;"Yes","",Sites!$B$69)</x:f>
      </x:c>
      <x:c r="D71" s="48" t="str">
        <x:f>IF(Sites!$A$69&lt;&gt;"Yes","",Sites!$AE$69)</x:f>
      </x:c>
    </x:row>
    <x:row r="72">
      <x:c r="A72" s="48" t="str">
        <x:f>IF(Sites!$A$70&lt;&gt;"Yes","",Sites!$C$70)</x:f>
      </x:c>
      <x:c r="B72" s="48" t="str">
        <x:f>IF(Sites!$A$70&lt;&gt;"Yes","",Sites!$AD$70)</x:f>
      </x:c>
      <x:c r="C72" s="48" t="str">
        <x:f>IF(Sites!$A$70&lt;&gt;"Yes","",Sites!$B$70)</x:f>
      </x:c>
      <x:c r="D72" s="48" t="str">
        <x:f>IF(Sites!$A$70&lt;&gt;"Yes","",Sites!$AE$70)</x:f>
      </x:c>
    </x:row>
    <x:row r="73">
      <x:c r="A73" s="48" t="str">
        <x:f>IF(Sites!$A$71&lt;&gt;"Yes","",Sites!$C$71)</x:f>
      </x:c>
      <x:c r="B73" s="48" t="str">
        <x:f>IF(Sites!$A$71&lt;&gt;"Yes","",Sites!$AD$71)</x:f>
      </x:c>
      <x:c r="C73" s="48" t="str">
        <x:f>IF(Sites!$A$71&lt;&gt;"Yes","",Sites!$B$71)</x:f>
      </x:c>
      <x:c r="D73" s="48" t="str">
        <x:f>IF(Sites!$A$71&lt;&gt;"Yes","",Sites!$AE$71)</x:f>
      </x:c>
    </x:row>
    <x:row r="74">
      <x:c r="A74" s="48" t="str">
        <x:f>IF(Sites!$A$72&lt;&gt;"Yes","",Sites!$C$72)</x:f>
      </x:c>
      <x:c r="B74" s="48" t="str">
        <x:f>IF(Sites!$A$72&lt;&gt;"Yes","",Sites!$AD$72)</x:f>
      </x:c>
      <x:c r="C74" s="48" t="str">
        <x:f>IF(Sites!$A$72&lt;&gt;"Yes","",Sites!$B$72)</x:f>
      </x:c>
      <x:c r="D74" s="48" t="str">
        <x:f>IF(Sites!$A$72&lt;&gt;"Yes","",Sites!$AE$72)</x:f>
      </x:c>
    </x:row>
    <x:row r="75">
      <x:c r="A75" s="48" t="str">
        <x:f>IF(Sites!$A$73&lt;&gt;"Yes","",Sites!$C$73)</x:f>
      </x:c>
      <x:c r="B75" s="48" t="str">
        <x:f>IF(Sites!$A$73&lt;&gt;"Yes","",Sites!$AD$73)</x:f>
      </x:c>
      <x:c r="C75" s="48" t="str">
        <x:f>IF(Sites!$A$73&lt;&gt;"Yes","",Sites!$B$73)</x:f>
      </x:c>
      <x:c r="D75" s="48" t="str">
        <x:f>IF(Sites!$A$73&lt;&gt;"Yes","",Sites!$AE$73)</x:f>
      </x:c>
    </x:row>
    <x:row r="76">
      <x:c r="A76" s="48" t="str">
        <x:f>IF(Sites!$A$74&lt;&gt;"Yes","",Sites!$C$74)</x:f>
      </x:c>
      <x:c r="B76" s="48" t="str">
        <x:f>IF(Sites!$A$74&lt;&gt;"Yes","",Sites!$AD$74)</x:f>
      </x:c>
      <x:c r="C76" s="48" t="str">
        <x:f>IF(Sites!$A$74&lt;&gt;"Yes","",Sites!$B$74)</x:f>
      </x:c>
      <x:c r="D76" s="48" t="str">
        <x:f>IF(Sites!$A$74&lt;&gt;"Yes","",Sites!$AE$74)</x:f>
      </x:c>
    </x:row>
    <x:row r="77">
      <x:c r="A77" s="48" t="str">
        <x:f>IF(Sites!$A$75&lt;&gt;"Yes","",Sites!$C$75)</x:f>
      </x:c>
      <x:c r="B77" s="48" t="str">
        <x:f>IF(Sites!$A$75&lt;&gt;"Yes","",Sites!$AD$75)</x:f>
      </x:c>
      <x:c r="C77" s="48" t="str">
        <x:f>IF(Sites!$A$75&lt;&gt;"Yes","",Sites!$B$75)</x:f>
      </x:c>
      <x:c r="D77" s="48" t="str">
        <x:f>IF(Sites!$A$75&lt;&gt;"Yes","",Sites!$AE$75)</x:f>
      </x:c>
    </x:row>
    <x:row r="78">
      <x:c r="A78" s="48" t="str">
        <x:f>IF(Sites!$A$76&lt;&gt;"Yes","",Sites!$C$76)</x:f>
      </x:c>
      <x:c r="B78" s="48" t="str">
        <x:f>IF(Sites!$A$76&lt;&gt;"Yes","",Sites!$AD$76)</x:f>
      </x:c>
      <x:c r="C78" s="48" t="str">
        <x:f>IF(Sites!$A$76&lt;&gt;"Yes","",Sites!$B$76)</x:f>
      </x:c>
      <x:c r="D78" s="48" t="str">
        <x:f>IF(Sites!$A$76&lt;&gt;"Yes","",Sites!$AE$76)</x:f>
      </x:c>
    </x:row>
    <x:row r="79">
      <x:c r="A79" s="48" t="str">
        <x:f>IF(Sites!$A$77&lt;&gt;"Yes","",Sites!$C$77)</x:f>
      </x:c>
      <x:c r="B79" s="48" t="str">
        <x:f>IF(Sites!$A$77&lt;&gt;"Yes","",Sites!$AD$77)</x:f>
      </x:c>
      <x:c r="C79" s="48" t="str">
        <x:f>IF(Sites!$A$77&lt;&gt;"Yes","",Sites!$B$77)</x:f>
      </x:c>
      <x:c r="D79" s="48" t="str">
        <x:f>IF(Sites!$A$77&lt;&gt;"Yes","",Sites!$AE$77)</x:f>
      </x:c>
    </x:row>
    <x:row r="80">
      <x:c r="A80" s="48" t="str">
        <x:f>IF(Sites!$A$78&lt;&gt;"Yes","",Sites!$C$78)</x:f>
      </x:c>
      <x:c r="B80" s="48" t="str">
        <x:f>IF(Sites!$A$78&lt;&gt;"Yes","",Sites!$AD$78)</x:f>
      </x:c>
      <x:c r="C80" s="48" t="str">
        <x:f>IF(Sites!$A$78&lt;&gt;"Yes","",Sites!$B$78)</x:f>
      </x:c>
      <x:c r="D80" s="48" t="str">
        <x:f>IF(Sites!$A$78&lt;&gt;"Yes","",Sites!$AE$78)</x:f>
      </x:c>
    </x:row>
    <x:row r="81">
      <x:c r="A81" s="48" t="str">
        <x:f>IF(Sites!$A$79&lt;&gt;"Yes","",Sites!$C$79)</x:f>
      </x:c>
      <x:c r="B81" s="48" t="str">
        <x:f>IF(Sites!$A$79&lt;&gt;"Yes","",Sites!$AD$79)</x:f>
      </x:c>
      <x:c r="C81" s="48" t="str">
        <x:f>IF(Sites!$A$79&lt;&gt;"Yes","",Sites!$B$79)</x:f>
      </x:c>
      <x:c r="D81" s="48" t="str">
        <x:f>IF(Sites!$A$79&lt;&gt;"Yes","",Sites!$AE$79)</x:f>
      </x:c>
    </x:row>
    <x:row r="82">
      <x:c r="A82" s="48" t="str">
        <x:f>IF(Sites!$A$80&lt;&gt;"Yes","",Sites!$C$80)</x:f>
      </x:c>
      <x:c r="B82" s="48" t="str">
        <x:f>IF(Sites!$A$80&lt;&gt;"Yes","",Sites!$AD$80)</x:f>
      </x:c>
      <x:c r="C82" s="48" t="str">
        <x:f>IF(Sites!$A$80&lt;&gt;"Yes","",Sites!$B$80)</x:f>
      </x:c>
      <x:c r="D82" s="48" t="str">
        <x:f>IF(Sites!$A$80&lt;&gt;"Yes","",Sites!$AE$80)</x:f>
      </x:c>
    </x:row>
    <x:row r="83">
      <x:c r="A83" s="48" t="str">
        <x:f>IF(Sites!$A$81&lt;&gt;"Yes","",Sites!$C$81)</x:f>
      </x:c>
      <x:c r="B83" s="48" t="str">
        <x:f>IF(Sites!$A$81&lt;&gt;"Yes","",Sites!$AD$81)</x:f>
      </x:c>
      <x:c r="C83" s="48" t="str">
        <x:f>IF(Sites!$A$81&lt;&gt;"Yes","",Sites!$B$81)</x:f>
      </x:c>
      <x:c r="D83" s="48" t="str">
        <x:f>IF(Sites!$A$81&lt;&gt;"Yes","",Sites!$AE$81)</x:f>
      </x:c>
    </x:row>
    <x:row r="84">
      <x:c r="A84" s="48" t="str">
        <x:f>IF(Sites!$A$82&lt;&gt;"Yes","",Sites!$C$82)</x:f>
      </x:c>
      <x:c r="B84" s="48" t="str">
        <x:f>IF(Sites!$A$82&lt;&gt;"Yes","",Sites!$AD$82)</x:f>
      </x:c>
      <x:c r="C84" s="48" t="str">
        <x:f>IF(Sites!$A$82&lt;&gt;"Yes","",Sites!$B$82)</x:f>
      </x:c>
      <x:c r="D84" s="48" t="str">
        <x:f>IF(Sites!$A$82&lt;&gt;"Yes","",Sites!$AE$82)</x:f>
      </x:c>
    </x:row>
    <x:row r="85">
      <x:c r="A85" s="48" t="str">
        <x:f>IF(Sites!$A$83&lt;&gt;"Yes","",Sites!$C$83)</x:f>
      </x:c>
      <x:c r="B85" s="48" t="str">
        <x:f>IF(Sites!$A$83&lt;&gt;"Yes","",Sites!$AD$83)</x:f>
      </x:c>
      <x:c r="C85" s="48" t="str">
        <x:f>IF(Sites!$A$83&lt;&gt;"Yes","",Sites!$B$83)</x:f>
      </x:c>
      <x:c r="D85" s="48" t="str">
        <x:f>IF(Sites!$A$83&lt;&gt;"Yes","",Sites!$AE$83)</x:f>
      </x:c>
    </x:row>
    <x:row r="86">
      <x:c r="A86" s="48" t="str">
        <x:f>IF(Sites!$A$84&lt;&gt;"Yes","",Sites!$C$84)</x:f>
      </x:c>
      <x:c r="B86" s="48" t="str">
        <x:f>IF(Sites!$A$84&lt;&gt;"Yes","",Sites!$AD$84)</x:f>
      </x:c>
      <x:c r="C86" s="48" t="str">
        <x:f>IF(Sites!$A$84&lt;&gt;"Yes","",Sites!$B$84)</x:f>
      </x:c>
      <x:c r="D86" s="48" t="str">
        <x:f>IF(Sites!$A$84&lt;&gt;"Yes","",Sites!$AE$84)</x:f>
      </x:c>
    </x:row>
    <x:row r="87">
      <x:c r="A87" s="48" t="str">
        <x:f>IF(Sites!$A$85&lt;&gt;"Yes","",Sites!$C$85)</x:f>
      </x:c>
      <x:c r="B87" s="48" t="str">
        <x:f>IF(Sites!$A$85&lt;&gt;"Yes","",Sites!$AD$85)</x:f>
      </x:c>
      <x:c r="C87" s="48" t="str">
        <x:f>IF(Sites!$A$85&lt;&gt;"Yes","",Sites!$B$85)</x:f>
      </x:c>
      <x:c r="D87" s="48" t="str">
        <x:f>IF(Sites!$A$85&lt;&gt;"Yes","",Sites!$AE$85)</x:f>
      </x:c>
    </x:row>
    <x:row r="88">
      <x:c r="A88" s="48" t="str">
        <x:f>IF(Sites!$A$86&lt;&gt;"Yes","",Sites!$C$86)</x:f>
      </x:c>
      <x:c r="B88" s="48" t="str">
        <x:f>IF(Sites!$A$86&lt;&gt;"Yes","",Sites!$AD$86)</x:f>
      </x:c>
      <x:c r="C88" s="48" t="str">
        <x:f>IF(Sites!$A$86&lt;&gt;"Yes","",Sites!$B$86)</x:f>
      </x:c>
      <x:c r="D88" s="48" t="str">
        <x:f>IF(Sites!$A$86&lt;&gt;"Yes","",Sites!$AE$86)</x:f>
      </x:c>
    </x:row>
    <x:row r="89">
      <x:c r="A89" s="48" t="str">
        <x:f>IF(Sites!$A$87&lt;&gt;"Yes","",Sites!$C$87)</x:f>
      </x:c>
      <x:c r="B89" s="48" t="str">
        <x:f>IF(Sites!$A$87&lt;&gt;"Yes","",Sites!$AD$87)</x:f>
      </x:c>
      <x:c r="C89" s="48" t="str">
        <x:f>IF(Sites!$A$87&lt;&gt;"Yes","",Sites!$B$87)</x:f>
      </x:c>
      <x:c r="D89" s="48" t="str">
        <x:f>IF(Sites!$A$87&lt;&gt;"Yes","",Sites!$AE$87)</x:f>
      </x:c>
    </x:row>
    <x:row r="90">
      <x:c r="A90" s="48" t="str">
        <x:f>IF(Sites!$A$88&lt;&gt;"Yes","",Sites!$C$88)</x:f>
      </x:c>
      <x:c r="B90" s="48" t="str">
        <x:f>IF(Sites!$A$88&lt;&gt;"Yes","",Sites!$AD$88)</x:f>
      </x:c>
      <x:c r="C90" s="48" t="str">
        <x:f>IF(Sites!$A$88&lt;&gt;"Yes","",Sites!$B$88)</x:f>
      </x:c>
      <x:c r="D90" s="48" t="str">
        <x:f>IF(Sites!$A$88&lt;&gt;"Yes","",Sites!$AE$88)</x:f>
      </x:c>
    </x:row>
    <x:row r="91">
      <x:c r="A91" s="48" t="str">
        <x:f>IF(Sites!$A$89&lt;&gt;"Yes","",Sites!$C$89)</x:f>
      </x:c>
      <x:c r="B91" s="48" t="str">
        <x:f>IF(Sites!$A$89&lt;&gt;"Yes","",Sites!$AD$89)</x:f>
      </x:c>
      <x:c r="C91" s="48" t="str">
        <x:f>IF(Sites!$A$89&lt;&gt;"Yes","",Sites!$B$89)</x:f>
      </x:c>
      <x:c r="D91" s="48" t="str">
        <x:f>IF(Sites!$A$89&lt;&gt;"Yes","",Sites!$AE$89)</x:f>
      </x:c>
    </x:row>
    <x:row r="92">
      <x:c r="A92" s="48" t="str">
        <x:f>IF(Sites!$A$90&lt;&gt;"Yes","",Sites!$C$90)</x:f>
      </x:c>
      <x:c r="B92" s="48" t="str">
        <x:f>IF(Sites!$A$90&lt;&gt;"Yes","",Sites!$AD$90)</x:f>
      </x:c>
      <x:c r="C92" s="48" t="str">
        <x:f>IF(Sites!$A$90&lt;&gt;"Yes","",Sites!$B$90)</x:f>
      </x:c>
      <x:c r="D92" s="48" t="str">
        <x:f>IF(Sites!$A$90&lt;&gt;"Yes","",Sites!$AE$90)</x:f>
      </x:c>
    </x:row>
    <x:row r="93">
      <x:c r="A93" s="48" t="str">
        <x:f>IF(Sites!$A$91&lt;&gt;"Yes","",Sites!$C$91)</x:f>
      </x:c>
      <x:c r="B93" s="48" t="str">
        <x:f>IF(Sites!$A$91&lt;&gt;"Yes","",Sites!$AD$91)</x:f>
      </x:c>
      <x:c r="C93" s="48" t="str">
        <x:f>IF(Sites!$A$91&lt;&gt;"Yes","",Sites!$B$91)</x:f>
      </x:c>
      <x:c r="D93" s="48" t="str">
        <x:f>IF(Sites!$A$91&lt;&gt;"Yes","",Sites!$AE$91)</x:f>
      </x:c>
    </x:row>
    <x:row r="94">
      <x:c r="A94" s="48" t="str">
        <x:f>IF(Sites!$A$92&lt;&gt;"Yes","",Sites!$C$92)</x:f>
      </x:c>
      <x:c r="B94" s="48" t="str">
        <x:f>IF(Sites!$A$92&lt;&gt;"Yes","",Sites!$AD$92)</x:f>
      </x:c>
      <x:c r="C94" s="48" t="str">
        <x:f>IF(Sites!$A$92&lt;&gt;"Yes","",Sites!$B$92)</x:f>
      </x:c>
      <x:c r="D94" s="48" t="str">
        <x:f>IF(Sites!$A$92&lt;&gt;"Yes","",Sites!$AE$92)</x:f>
      </x:c>
    </x:row>
    <x:row r="95">
      <x:c r="A95" s="48" t="str">
        <x:f>IF(Sites!$A$93&lt;&gt;"Yes","",Sites!$C$93)</x:f>
      </x:c>
      <x:c r="B95" s="48" t="str">
        <x:f>IF(Sites!$A$93&lt;&gt;"Yes","",Sites!$AD$93)</x:f>
      </x:c>
      <x:c r="C95" s="48" t="str">
        <x:f>IF(Sites!$A$93&lt;&gt;"Yes","",Sites!$B$93)</x:f>
      </x:c>
      <x:c r="D95" s="48" t="str">
        <x:f>IF(Sites!$A$93&lt;&gt;"Yes","",Sites!$AE$93)</x:f>
      </x:c>
    </x:row>
    <x:row r="96">
      <x:c r="A96" s="48" t="str">
        <x:f>IF(Sites!$A$94&lt;&gt;"Yes","",Sites!$C$94)</x:f>
      </x:c>
      <x:c r="B96" s="48" t="str">
        <x:f>IF(Sites!$A$94&lt;&gt;"Yes","",Sites!$AD$94)</x:f>
      </x:c>
      <x:c r="C96" s="48" t="str">
        <x:f>IF(Sites!$A$94&lt;&gt;"Yes","",Sites!$B$94)</x:f>
      </x:c>
      <x:c r="D96" s="48" t="str">
        <x:f>IF(Sites!$A$94&lt;&gt;"Yes","",Sites!$AE$94)</x:f>
      </x:c>
    </x:row>
    <x:row r="97">
      <x:c r="A97" s="48" t="str">
        <x:f>IF(Sites!$A$95&lt;&gt;"Yes","",Sites!$C$95)</x:f>
      </x:c>
      <x:c r="B97" s="48" t="str">
        <x:f>IF(Sites!$A$95&lt;&gt;"Yes","",Sites!$AD$95)</x:f>
      </x:c>
      <x:c r="C97" s="48" t="str">
        <x:f>IF(Sites!$A$95&lt;&gt;"Yes","",Sites!$B$95)</x:f>
      </x:c>
      <x:c r="D97" s="48" t="str">
        <x:f>IF(Sites!$A$95&lt;&gt;"Yes","",Sites!$AE$95)</x:f>
      </x:c>
    </x:row>
    <x:row r="98">
      <x:c r="A98" s="48" t="str">
        <x:f>IF(Sites!$A$96&lt;&gt;"Yes","",Sites!$C$96)</x:f>
      </x:c>
      <x:c r="B98" s="48" t="str">
        <x:f>IF(Sites!$A$96&lt;&gt;"Yes","",Sites!$AD$96)</x:f>
      </x:c>
      <x:c r="C98" s="48" t="str">
        <x:f>IF(Sites!$A$96&lt;&gt;"Yes","",Sites!$B$96)</x:f>
      </x:c>
      <x:c r="D98" s="48" t="str">
        <x:f>IF(Sites!$A$96&lt;&gt;"Yes","",Sites!$AE$96)</x:f>
      </x:c>
    </x:row>
    <x:row r="99">
      <x:c r="A99" s="48" t="str">
        <x:f>IF(Sites!$A$97&lt;&gt;"Yes","",Sites!$C$97)</x:f>
      </x:c>
      <x:c r="B99" s="48" t="str">
        <x:f>IF(Sites!$A$97&lt;&gt;"Yes","",Sites!$AD$97)</x:f>
      </x:c>
      <x:c r="C99" s="48" t="str">
        <x:f>IF(Sites!$A$97&lt;&gt;"Yes","",Sites!$B$97)</x:f>
      </x:c>
      <x:c r="D99" s="48" t="str">
        <x:f>IF(Sites!$A$97&lt;&gt;"Yes","",Sites!$AE$97)</x:f>
      </x:c>
    </x:row>
    <x:row r="100">
      <x:c r="A100" s="48" t="str">
        <x:f>IF(Sites!$A$98&lt;&gt;"Yes","",Sites!$C$98)</x:f>
      </x:c>
      <x:c r="B100" s="48" t="str">
        <x:f>IF(Sites!$A$98&lt;&gt;"Yes","",Sites!$AD$98)</x:f>
      </x:c>
      <x:c r="C100" s="48" t="str">
        <x:f>IF(Sites!$A$98&lt;&gt;"Yes","",Sites!$B$98)</x:f>
      </x:c>
      <x:c r="D100" s="48" t="str">
        <x:f>IF(Sites!$A$98&lt;&gt;"Yes","",Sites!$AE$98)</x:f>
      </x:c>
    </x:row>
    <x:row r="101">
      <x:c r="A101" s="48" t="str">
        <x:f>IF(Sites!$A$99&lt;&gt;"Yes","",Sites!$C$99)</x:f>
      </x:c>
      <x:c r="B101" s="48" t="str">
        <x:f>IF(Sites!$A$99&lt;&gt;"Yes","",Sites!$AD$99)</x:f>
      </x:c>
      <x:c r="C101" s="48" t="str">
        <x:f>IF(Sites!$A$99&lt;&gt;"Yes","",Sites!$B$99)</x:f>
      </x:c>
      <x:c r="D101" s="48" t="str">
        <x:f>IF(Sites!$A$99&lt;&gt;"Yes","",Sites!$AE$99)</x:f>
      </x:c>
    </x:row>
    <x:row r="102">
      <x:c r="A102" s="48" t="str">
        <x:f>IF(Sites!$A$100&lt;&gt;"Yes","",Sites!$C$100)</x:f>
      </x:c>
      <x:c r="B102" s="48" t="str">
        <x:f>IF(Sites!$A$100&lt;&gt;"Yes","",Sites!$AD$100)</x:f>
      </x:c>
      <x:c r="C102" s="48" t="str">
        <x:f>IF(Sites!$A$100&lt;&gt;"Yes","",Sites!$B$100)</x:f>
      </x:c>
      <x:c r="D102" s="48" t="str">
        <x:f>IF(Sites!$A$100&lt;&gt;"Yes","",Sites!$AE$100)</x:f>
      </x:c>
    </x:row>
    <x:row r="103">
      <x:c r="A103" s="48" t="str">
        <x:f>IF(Sites!$A$101&lt;&gt;"Yes","",Sites!$C$101)</x:f>
      </x:c>
      <x:c r="B103" s="48" t="str">
        <x:f>IF(Sites!$A$101&lt;&gt;"Yes","",Sites!$AD$101)</x:f>
      </x:c>
      <x:c r="C103" s="48" t="str">
        <x:f>IF(Sites!$A$101&lt;&gt;"Yes","",Sites!$B$101)</x:f>
      </x:c>
      <x:c r="D103" s="48" t="str">
        <x:f>IF(Sites!$A$101&lt;&gt;"Yes","",Sites!$AE$101)</x:f>
      </x:c>
    </x:row>
    <x:row r="104">
      <x:c r="A104" s="48" t="str">
        <x:f>IF(Sites!$A$102&lt;&gt;"Yes","",Sites!$C$102)</x:f>
      </x:c>
      <x:c r="B104" s="48" t="str">
        <x:f>IF(Sites!$A$102&lt;&gt;"Yes","",Sites!$AD$102)</x:f>
      </x:c>
      <x:c r="C104" s="48" t="str">
        <x:f>IF(Sites!$A$102&lt;&gt;"Yes","",Sites!$B$102)</x:f>
      </x:c>
      <x:c r="D104" s="48" t="str">
        <x:f>IF(Sites!$A$102&lt;&gt;"Yes","",Sites!$AE$102)</x:f>
      </x:c>
    </x:row>
    <x:row r="105">
      <x:c r="A105" s="48" t="str">
        <x:f>IF(Sites!$A$103&lt;&gt;"Yes","",Sites!$C$103)</x:f>
      </x:c>
      <x:c r="B105" s="48" t="str">
        <x:f>IF(Sites!$A$103&lt;&gt;"Yes","",Sites!$AD$103)</x:f>
      </x:c>
      <x:c r="C105" s="48" t="str">
        <x:f>IF(Sites!$A$103&lt;&gt;"Yes","",Sites!$B$103)</x:f>
      </x:c>
      <x:c r="D105" s="48" t="str">
        <x:f>IF(Sites!$A$103&lt;&gt;"Yes","",Sites!$AE$103)</x:f>
      </x:c>
    </x:row>
    <x:row r="106">
      <x:c r="A106" s="48" t="str">
        <x:f>IF(Sites!$A$104&lt;&gt;"Yes","",Sites!$C$104)</x:f>
      </x:c>
      <x:c r="B106" s="48" t="str">
        <x:f>IF(Sites!$A$104&lt;&gt;"Yes","",Sites!$AD$104)</x:f>
      </x:c>
      <x:c r="C106" s="48" t="str">
        <x:f>IF(Sites!$A$104&lt;&gt;"Yes","",Sites!$B$104)</x:f>
      </x:c>
      <x:c r="D106" s="48" t="str">
        <x:f>IF(Sites!$A$104&lt;&gt;"Yes","",Sites!$AE$104)</x:f>
      </x:c>
    </x:row>
    <x:row r="109">
      <x:c r="A109" s="16" t="str">
        <x:v>Chain data sources</x:v>
      </x:c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34" t="str">
        <x:v>Search Name</x:v>
      </x:c>
      <x:c r="B110" s="34" t="str">
        <x:v>Role</x:v>
      </x:c>
      <x:c r="C110" s="34" t="str">
        <x:v>Data Source ID</x:v>
      </x:c>
      <x:c r="D110" s="34" t="str">
        <x:v>Parent Data Source</x:v>
      </x:c>
      <x:c r="E110" s="34" t="str">
        <x:v>Chain SPL</x:v>
      </x:c>
      <x:c r="F110" s="34" t="str">
        <x:v>Count SPL</x:v>
      </x:c>
      <x:c r="G110" s="34" t="str">
        <x:v>Category</x:v>
      </x:c>
      <x:c r="H110" s="34" t="str">
        <x:v>Suggested Viz</x:v>
      </x:c>
      <x:c r="I110" s="34" t="str">
        <x:v>Search ID</x:v>
      </x:c>
      <x:c r="J110" s="34" t="str">
        <x:v>Count?</x:v>
      </x:c>
    </x:row>
    <x:row r="111">
      <x:c r="A111" s="48" t="str">
        <x:f>IF(Searches!$A$6&lt;&gt;"Yes","",Searches!$C$6)</x:f>
        <x:v>Interface Parsed Fields</x:v>
      </x:c>
      <x:c r="B111" s="48" t="str">
        <x:f>IF(Searches!$A$6&lt;&gt;"Yes","",Searches!$D$6)</x:f>
        <x:v>Helper</x:v>
      </x:c>
      <x:c r="C111" s="48" t="str">
        <x:f>IF(Searches!$A$6&lt;&gt;"Yes","",Searches!$O$6)</x:f>
        <x:v>ds_iface_parse</x:v>
      </x:c>
      <x:c r="D111" s="48" t="str">
        <x:f>IF(Searches!$A$6&lt;&gt;"Yes","",Searches!$P$6)</x:f>
        <x:v>ds_base_interface</x:v>
      </x:c>
      <x:c r="E111" s="48" t="str">
        <x:f>IF(Searches!$A$6&lt;&gt;"Yes","",Searches!$Q$6)</x:f>
        <x:v>| rex field=_raw "(?i)(?:Interface|Line protocol on Interface)\s+(?&lt;interface&gt;[^,]+),\s+changed state to\s+(?&lt;state&gt;up|down)"</x:v>
      </x:c>
      <x:c r="F111" s="48" t="str">
        <x:f>IF(Searches!$A$6&lt;&gt;"Yes","",Searches!$R$6)</x:f>
        <x:v>Count disabled</x:v>
      </x:c>
      <x:c r="G111" s="48" t="str">
        <x:f>IF(Searches!$A$6&lt;&gt;"Yes","",Searches!$E$6)</x:f>
        <x:v>Interfaces</x:v>
      </x:c>
      <x:c r="H111" s="48" t="str">
        <x:f>IF(Searches!$A$6&lt;&gt;"Yes","",Searches!$N$6)</x:f>
        <x:v>Helper</x:v>
      </x:c>
      <x:c r="I111" s="48" t="str">
        <x:f>IF(Searches!$A$6&lt;&gt;"Yes","",Searches!$B$6)</x:f>
        <x:v>S_IFACE_PARSE</x:v>
      </x:c>
      <x:c r="J111" s="48" t="str">
        <x:f>IF(Searches!$A$6&lt;&gt;"Yes","",Searches!$K$6)</x:f>
        <x:v>No</x:v>
      </x:c>
    </x:row>
    <x:row r="112">
      <x:c r="A112" s="48" t="str">
        <x:f>IF(Searches!$A$7&lt;&gt;"Yes","",Searches!$C$7)</x:f>
        <x:v>Interface Up / Down</x:v>
      </x:c>
      <x:c r="B112" s="48" t="str">
        <x:f>IF(Searches!$A$7&lt;&gt;"Yes","",Searches!$D$7)</x:f>
        <x:v>Panel</x:v>
      </x:c>
      <x:c r="C112" s="48" t="str">
        <x:f>IF(Searches!$A$7&lt;&gt;"Yes","",Searches!$O$7)</x:f>
        <x:v>ds_iface_detail</x:v>
      </x:c>
      <x:c r="D112" s="48" t="str">
        <x:f>IF(Searches!$A$7&lt;&gt;"Yes","",Searches!$P$7)</x:f>
        <x:v>ds_iface_parse</x:v>
      </x:c>
      <x:c r="E112" s="48" t="str">
        <x:f>IF(Searches!$A$7&lt;&gt;"Yes","",Searches!$Q$7)</x:f>
        <x:v>| search interface=*
| table _time host interface state _raw | sort - _time</x:v>
      </x:c>
      <x:c r="F112" s="48" t="str">
        <x:f>IF(Searches!$A$7&lt;&gt;"Yes","",Searches!$R$7)</x:f>
        <x:v>| search interface=*
| stats count as count by host interface state
| where count &gt;= 1
| sort - count</x:v>
      </x:c>
      <x:c r="G112" s="48" t="str">
        <x:f>IF(Searches!$A$7&lt;&gt;"Yes","",Searches!$E$7)</x:f>
        <x:v>Interfaces</x:v>
      </x:c>
      <x:c r="H112" s="48" t="str">
        <x:f>IF(Searches!$A$7&lt;&gt;"Yes","",Searches!$N$7)</x:f>
        <x:v>Table</x:v>
      </x:c>
      <x:c r="I112" s="48" t="str">
        <x:f>IF(Searches!$A$7&lt;&gt;"Yes","",Searches!$B$7)</x:f>
        <x:v>S_IFACE_DETAIL</x:v>
      </x:c>
      <x:c r="J112" s="48" t="str">
        <x:f>IF(Searches!$A$7&lt;&gt;"Yes","",Searches!$K$7)</x:f>
        <x:v>Yes</x:v>
      </x:c>
    </x:row>
    <x:row r="113">
      <x:c r="A113" s="48" t="str">
        <x:f>IF(Searches!$A$8&lt;&gt;"Yes","",Searches!$C$8)</x:f>
        <x:v>Interfaces Down</x:v>
      </x:c>
      <x:c r="B113" s="48" t="str">
        <x:f>IF(Searches!$A$8&lt;&gt;"Yes","",Searches!$D$8)</x:f>
        <x:v>Panel</x:v>
      </x:c>
      <x:c r="C113" s="48" t="str">
        <x:f>IF(Searches!$A$8&lt;&gt;"Yes","",Searches!$O$8)</x:f>
        <x:v>ds_iface_down</x:v>
      </x:c>
      <x:c r="D113" s="48" t="str">
        <x:f>IF(Searches!$A$8&lt;&gt;"Yes","",Searches!$P$8)</x:f>
        <x:v>ds_iface_parse</x:v>
      </x:c>
      <x:c r="E113" s="48" t="str">
        <x:f>IF(Searches!$A$8&lt;&gt;"Yes","",Searches!$Q$8)</x:f>
        <x:v>| search state="down"
| table _time host interface state _raw | sort - _time</x:v>
      </x:c>
      <x:c r="F113" s="48" t="str">
        <x:f>IF(Searches!$A$8&lt;&gt;"Yes","",Searches!$R$8)</x:f>
        <x:v>| search state="down"
| stats count as count by host interface
| where count &gt;= 1
| sort - count</x:v>
      </x:c>
      <x:c r="G113" s="48" t="str">
        <x:f>IF(Searches!$A$8&lt;&gt;"Yes","",Searches!$E$8)</x:f>
        <x:v>Interfaces</x:v>
      </x:c>
      <x:c r="H113" s="48" t="str">
        <x:f>IF(Searches!$A$8&lt;&gt;"Yes","",Searches!$N$8)</x:f>
        <x:v>Table / Single Value</x:v>
      </x:c>
      <x:c r="I113" s="48" t="str">
        <x:f>IF(Searches!$A$8&lt;&gt;"Yes","",Searches!$B$8)</x:f>
        <x:v>S_IFACE_DOWN</x:v>
      </x:c>
      <x:c r="J113" s="48" t="str">
        <x:f>IF(Searches!$A$8&lt;&gt;"Yes","",Searches!$K$8)</x:f>
        <x:v>Yes</x:v>
      </x:c>
    </x:row>
    <x:row r="114">
      <x:c r="A114" s="48" t="str">
        <x:f>IF(Searches!$A$9&lt;&gt;"Yes","",Searches!$C$9)</x:f>
        <x:v>Interface Flap Candidates</x:v>
      </x:c>
      <x:c r="B114" s="48" t="str">
        <x:f>IF(Searches!$A$9&lt;&gt;"Yes","",Searches!$D$9)</x:f>
        <x:v>Panel</x:v>
      </x:c>
      <x:c r="C114" s="48" t="str">
        <x:f>IF(Searches!$A$9&lt;&gt;"Yes","",Searches!$O$9)</x:f>
        <x:v>ds_iface_flap</x:v>
      </x:c>
      <x:c r="D114" s="48" t="str">
        <x:f>IF(Searches!$A$9&lt;&gt;"Yes","",Searches!$P$9)</x:f>
        <x:v>ds_iface_parse</x:v>
      </x:c>
      <x:c r="E114" s="48" t="str">
        <x:f>IF(Searches!$A$9&lt;&gt;"Yes","",Searches!$Q$9)</x:f>
        <x:v>| search interface=*
| bin _time span=15m
| stats count by _time host interface | where count&gt;=4 | sort - count</x:v>
      </x:c>
      <x:c r="F114" s="48" t="str">
        <x:f>IF(Searches!$A$9&lt;&gt;"Yes","",Searches!$R$9)</x:f>
        <x:v>| search interface=*
| bin _time span=15m
| stats count as count by _time host interface
| where count &gt;= 4
| sort - count</x:v>
      </x:c>
      <x:c r="G114" s="48" t="str">
        <x:f>IF(Searches!$A$9&lt;&gt;"Yes","",Searches!$E$9)</x:f>
        <x:v>Interfaces</x:v>
      </x:c>
      <x:c r="H114" s="48" t="str">
        <x:f>IF(Searches!$A$9&lt;&gt;"Yes","",Searches!$N$9)</x:f>
        <x:v>Table</x:v>
      </x:c>
      <x:c r="I114" s="48" t="str">
        <x:f>IF(Searches!$A$9&lt;&gt;"Yes","",Searches!$B$9)</x:f>
        <x:v>S_IFACE_FLAP</x:v>
      </x:c>
      <x:c r="J114" s="48" t="str">
        <x:f>IF(Searches!$A$9&lt;&gt;"Yes","",Searches!$K$9)</x:f>
        <x:v>Yes</x:v>
      </x:c>
    </x:row>
    <x:row r="115">
      <x:c r="A115" s="48" t="str">
        <x:f>IF(Searches!$A$10&lt;&gt;"Yes","",Searches!$C$10)</x:f>
        <x:v>Err-Disabled Ports</x:v>
      </x:c>
      <x:c r="B115" s="48" t="str">
        <x:f>IF(Searches!$A$10&lt;&gt;"Yes","",Searches!$D$10)</x:f>
        <x:v>Panel</x:v>
      </x:c>
      <x:c r="C115" s="48" t="str">
        <x:f>IF(Searches!$A$10&lt;&gt;"Yes","",Searches!$O$10)</x:f>
        <x:v>ds_errdisable</x:v>
      </x:c>
      <x:c r="D115" s="48" t="str">
        <x:f>IF(Searches!$A$10&lt;&gt;"Yes","",Searches!$P$10)</x:f>
        <x:v>ds_base_interface</x:v>
      </x:c>
      <x:c r="E115" s="48" t="str">
        <x:f>IF(Searches!$A$10&lt;&gt;"Yes","",Searches!$Q$10)</x:f>
        <x:v>| search ("%PM-4-ERR_DISABLE" OR "err-disabled" OR "err-disable")
| rex field=_raw "(?&lt;reason&gt;[A-Za-z0-9_-]+) error detected on (?&lt;interface&gt;[^, ]+)"
| stats count latest(_time) as last_seen values(reason) as reason values(_raw) as sample by host interface | eval last_seen=strftime(last_seen,"%Y-%m-%d %H:%M:%S") | sort - last_seen</x:v>
      </x:c>
      <x:c r="F115" s="48" t="str">
        <x:f>IF(Searches!$A$10&lt;&gt;"Yes","",Searches!$R$10)</x:f>
        <x:v>| search ("%PM-4-ERR_DISABLE" OR "err-disabled" OR "err-disable")
| rex field=_raw "(?&lt;reason&gt;[A-Za-z0-9_-]+) error detected on (?&lt;interface&gt;[^, ]+)"
| stats count as count by host interface
| where count &gt;= 1
| sort - count</x:v>
      </x:c>
      <x:c r="G115" s="48" t="str">
        <x:f>IF(Searches!$A$10&lt;&gt;"Yes","",Searches!$E$10)</x:f>
        <x:v>Interfaces</x:v>
      </x:c>
      <x:c r="H115" s="48" t="str">
        <x:f>IF(Searches!$A$10&lt;&gt;"Yes","",Searches!$N$10)</x:f>
        <x:v>Table / Single Value</x:v>
      </x:c>
      <x:c r="I115" s="48" t="str">
        <x:f>IF(Searches!$A$10&lt;&gt;"Yes","",Searches!$B$10)</x:f>
        <x:v>S_ERRDISABLE</x:v>
      </x:c>
      <x:c r="J115" s="48" t="str">
        <x:f>IF(Searches!$A$10&lt;&gt;"Yes","",Searches!$K$10)</x:f>
        <x:v>Yes</x:v>
      </x:c>
    </x:row>
    <x:row r="116">
      <x:c r="A116" s="48" t="str">
        <x:f>IF(Searches!$A$11&lt;&gt;"Yes","",Searches!$C$11)</x:f>
        <x:v>MAC Flaps / Duplicate MAC Movement</x:v>
      </x:c>
      <x:c r="B116" s="48" t="str">
        <x:f>IF(Searches!$A$11&lt;&gt;"Yes","",Searches!$D$11)</x:f>
        <x:v>Panel</x:v>
      </x:c>
      <x:c r="C116" s="48" t="str">
        <x:f>IF(Searches!$A$11&lt;&gt;"Yes","",Searches!$O$11)</x:f>
        <x:v>ds_macflap</x:v>
      </x:c>
      <x:c r="D116" s="48" t="str">
        <x:f>IF(Searches!$A$11&lt;&gt;"Yes","",Searches!$P$11)</x:f>
        <x:v>ds_base_l2</x:v>
      </x:c>
      <x:c r="E116" s="48" t="str">
        <x:f>IF(Searches!$A$11&lt;&gt;"Yes","",Searches!$Q$11)</x:f>
        <x:v>| search "%SW_MATM-4-MACFLAP_NOTIF"
| rex field=_raw "(?i)Host\s+(?&lt;mac&gt;[0-9a-f.:-]+)\s+in\s+(?:vlan\s+)?(?&lt;vlan&gt;\d+)\s+is flapping between port\s+(?&lt;port1&gt;\S+)\s+and port\s+(?&lt;port2&gt;\S+)"
| stats count latest(_time) as last_seen values(port1) as port1 values(port2) as port2 by host vlan mac | eval last_seen=strftime(last_seen,"%Y-%m-%d %H:%M:%S") | sort - count</x:v>
      </x:c>
      <x:c r="F116" s="48" t="str">
        <x:f>IF(Searches!$A$11&lt;&gt;"Yes","",Searches!$R$11)</x:f>
        <x:v>| search "%SW_MATM-4-MACFLAP_NOTIF"
| rex field=_raw "(?i)Host\s+(?&lt;mac&gt;[0-9a-f.:-]+)\s+in\s+(?:vlan\s+)?(?&lt;vlan&gt;\d+)\s+is flapping between port\s+(?&lt;port1&gt;\S+)\s+and port\s+(?&lt;port2&gt;\S+)"
| stats count as count
| where count &gt;= 1
| sort - count</x:v>
      </x:c>
      <x:c r="G116" s="48" t="str">
        <x:f>IF(Searches!$A$11&lt;&gt;"Yes","",Searches!$E$11)</x:f>
        <x:v>Layer 2</x:v>
      </x:c>
      <x:c r="H116" s="48" t="str">
        <x:f>IF(Searches!$A$11&lt;&gt;"Yes","",Searches!$N$11)</x:f>
        <x:v>Single Value / Table</x:v>
      </x:c>
      <x:c r="I116" s="48" t="str">
        <x:f>IF(Searches!$A$11&lt;&gt;"Yes","",Searches!$B$11)</x:f>
        <x:v>S_MACFLAP</x:v>
      </x:c>
      <x:c r="J116" s="48" t="str">
        <x:f>IF(Searches!$A$11&lt;&gt;"Yes","",Searches!$K$11)</x:f>
        <x:v>Yes</x:v>
      </x:c>
    </x:row>
    <x:row r="117">
      <x:c r="A117" s="48" t="str">
        <x:f>IF(Searches!$A$12&lt;&gt;"Yes","",Searches!$C$12)</x:f>
        <x:v>STP / Guard Events</x:v>
      </x:c>
      <x:c r="B117" s="48" t="str">
        <x:f>IF(Searches!$A$12&lt;&gt;"Yes","",Searches!$D$12)</x:f>
        <x:v>Panel</x:v>
      </x:c>
      <x:c r="C117" s="48" t="str">
        <x:f>IF(Searches!$A$12&lt;&gt;"Yes","",Searches!$O$12)</x:f>
        <x:v>ds_stp</x:v>
      </x:c>
      <x:c r="D117" s="48" t="str">
        <x:f>IF(Searches!$A$12&lt;&gt;"Yes","",Searches!$P$12)</x:f>
        <x:v>ds_base_l2</x:v>
      </x:c>
      <x:c r="E117" s="48" t="str">
        <x:f>IF(Searches!$A$12&lt;&gt;"Yes","",Searches!$Q$12)</x:f>
        <x:v>| search ("%SPANTREE-" OR "ROOTGUARD" OR "LOOPGUARD" OR "BPDU")
| rex field=_raw "%(?&lt;facility&gt;[A-Z0-9_]+)-(?&lt;severity&gt;\d+)-(?&lt;mnemonic&gt;[A-Z0-9_]+):\s+(?&lt;message&gt;.*)"
| table _time host facility severity mnemonic message | sort - _time</x:v>
      </x:c>
      <x:c r="F117" s="48" t="str">
        <x:f>IF(Searches!$A$12&lt;&gt;"Yes","",Searches!$R$12)</x:f>
        <x:v>| search ("%SPANTREE-" OR "ROOTGUARD" OR "LOOPGUARD" OR "BPDU")
| rex field=_raw "%(?&lt;facility&gt;[A-Z0-9_]+)-(?&lt;severity&gt;\d+)-(?&lt;mnemonic&gt;[A-Z0-9_]+):\s+(?&lt;message&gt;.*)"
| stats count as count by host mnemonic
| where count &gt;= 1
| sort - count</x:v>
      </x:c>
      <x:c r="G117" s="48" t="str">
        <x:f>IF(Searches!$A$12&lt;&gt;"Yes","",Searches!$E$12)</x:f>
        <x:v>Layer 2</x:v>
      </x:c>
      <x:c r="H117" s="48" t="str">
        <x:f>IF(Searches!$A$12&lt;&gt;"Yes","",Searches!$N$12)</x:f>
        <x:v>Table</x:v>
      </x:c>
      <x:c r="I117" s="48" t="str">
        <x:f>IF(Searches!$A$12&lt;&gt;"Yes","",Searches!$B$12)</x:f>
        <x:v>S_STP</x:v>
      </x:c>
      <x:c r="J117" s="48" t="str">
        <x:f>IF(Searches!$A$12&lt;&gt;"Yes","",Searches!$K$12)</x:f>
        <x:v>Yes</x:v>
      </x:c>
    </x:row>
    <x:row r="118">
      <x:c r="A118" s="48" t="str">
        <x:f>IF(Searches!$A$13&lt;&gt;"Yes","",Searches!$C$13)</x:f>
        <x:v>UDLD Events</x:v>
      </x:c>
      <x:c r="B118" s="48" t="str">
        <x:f>IF(Searches!$A$13&lt;&gt;"Yes","",Searches!$D$13)</x:f>
        <x:v>Panel</x:v>
      </x:c>
      <x:c r="C118" s="48" t="str">
        <x:f>IF(Searches!$A$13&lt;&gt;"Yes","",Searches!$O$13)</x:f>
        <x:v>ds_udld</x:v>
      </x:c>
      <x:c r="D118" s="48" t="str">
        <x:f>IF(Searches!$A$13&lt;&gt;"Yes","",Searches!$P$13)</x:f>
        <x:v>ds_base_l2</x:v>
      </x:c>
      <x:c r="E118" s="48" t="str">
        <x:f>IF(Searches!$A$13&lt;&gt;"Yes","",Searches!$Q$13)</x:f>
        <x:v>| search "%UDLD-"
| rex field=_raw "%(?&lt;facility&gt;[A-Z0-9_]+)-(?&lt;severity&gt;\d+)-(?&lt;mnemonic&gt;[A-Z0-9_]+):\s+(?&lt;message&gt;.*)"
| table _time host facility severity mnemonic message | sort - _time</x:v>
      </x:c>
      <x:c r="F118" s="48" t="str">
        <x:f>IF(Searches!$A$13&lt;&gt;"Yes","",Searches!$R$13)</x:f>
        <x:v>| search "%UDLD-"
| rex field=_raw "%(?&lt;facility&gt;[A-Z0-9_]+)-(?&lt;severity&gt;\d+)-(?&lt;mnemonic&gt;[A-Z0-9_]+):\s+(?&lt;message&gt;.*)"
| stats count as count by host mnemonic
| where count &gt;= 1
| sort - count</x:v>
      </x:c>
      <x:c r="G118" s="48" t="str">
        <x:f>IF(Searches!$A$13&lt;&gt;"Yes","",Searches!$E$13)</x:f>
        <x:v>Layer 2</x:v>
      </x:c>
      <x:c r="H118" s="48" t="str">
        <x:f>IF(Searches!$A$13&lt;&gt;"Yes","",Searches!$N$13)</x:f>
        <x:v>Table</x:v>
      </x:c>
      <x:c r="I118" s="48" t="str">
        <x:f>IF(Searches!$A$13&lt;&gt;"Yes","",Searches!$B$13)</x:f>
        <x:v>S_UDLD</x:v>
      </x:c>
      <x:c r="J118" s="48" t="str">
        <x:f>IF(Searches!$A$13&lt;&gt;"Yes","",Searches!$K$13)</x:f>
        <x:v>Yes</x:v>
      </x:c>
    </x:row>
    <x:row r="119">
      <x:c r="A119" s="48" t="str">
        <x:f>IF(Searches!$A$14&lt;&gt;"Yes","",Searches!$C$14)</x:f>
        <x:v>EtherChannel / LACP / PAgP</x:v>
      </x:c>
      <x:c r="B119" s="48" t="str">
        <x:f>IF(Searches!$A$14&lt;&gt;"Yes","",Searches!$D$14)</x:f>
        <x:v>Panel</x:v>
      </x:c>
      <x:c r="C119" s="48" t="str">
        <x:f>IF(Searches!$A$14&lt;&gt;"Yes","",Searches!$O$14)</x:f>
        <x:v>ds_channel</x:v>
      </x:c>
      <x:c r="D119" s="48" t="str">
        <x:f>IF(Searches!$A$14&lt;&gt;"Yes","",Searches!$P$14)</x:f>
        <x:v>ds_base_l2</x:v>
      </x:c>
      <x:c r="E119" s="48" t="str">
        <x:f>IF(Searches!$A$14&lt;&gt;"Yes","",Searches!$Q$14)</x:f>
        <x:v>| search ("%EC-" OR "%LACP-" OR "%PAGP-")
| rex field=_raw "%(?&lt;facility&gt;[A-Z0-9_]+)-(?&lt;severity&gt;\d+)-(?&lt;mnemonic&gt;[A-Z0-9_]+):\s+(?&lt;message&gt;.*)"
| table _time host facility severity mnemonic message | sort - _time</x:v>
      </x:c>
      <x:c r="F119" s="48" t="str">
        <x:f>IF(Searches!$A$14&lt;&gt;"Yes","",Searches!$R$14)</x:f>
        <x:v>| search ("%EC-" OR "%LACP-" OR "%PAGP-")
| rex field=_raw "%(?&lt;facility&gt;[A-Z0-9_]+)-(?&lt;severity&gt;\d+)-(?&lt;mnemonic&gt;[A-Z0-9_]+):\s+(?&lt;message&gt;.*)"
| stats count as count by host mnemonic
| where count &gt;= 1
| sort - count</x:v>
      </x:c>
      <x:c r="G119" s="48" t="str">
        <x:f>IF(Searches!$A$14&lt;&gt;"Yes","",Searches!$E$14)</x:f>
        <x:v>Layer 2</x:v>
      </x:c>
      <x:c r="H119" s="48" t="str">
        <x:f>IF(Searches!$A$14&lt;&gt;"Yes","",Searches!$N$14)</x:f>
        <x:v>Table</x:v>
      </x:c>
      <x:c r="I119" s="48" t="str">
        <x:f>IF(Searches!$A$14&lt;&gt;"Yes","",Searches!$B$14)</x:f>
        <x:v>S_CHANNEL</x:v>
      </x:c>
      <x:c r="J119" s="48" t="str">
        <x:f>IF(Searches!$A$14&lt;&gt;"Yes","",Searches!$K$14)</x:f>
        <x:v>Yes</x:v>
      </x:c>
    </x:row>
    <x:row r="120">
      <x:c r="A120" s="48" t="str">
        <x:f>IF(Searches!$A$15&lt;&gt;"Yes","",Searches!$C$15)</x:f>
        <x:v>OSPF Adjacency Changes</x:v>
      </x:c>
      <x:c r="B120" s="48" t="str">
        <x:f>IF(Searches!$A$15&lt;&gt;"Yes","",Searches!$D$15)</x:f>
        <x:v>Panel</x:v>
      </x:c>
      <x:c r="C120" s="48" t="str">
        <x:f>IF(Searches!$A$15&lt;&gt;"Yes","",Searches!$O$15)</x:f>
        <x:v>ds_ospf</x:v>
      </x:c>
      <x:c r="D120" s="48" t="str">
        <x:f>IF(Searches!$A$15&lt;&gt;"Yes","",Searches!$P$15)</x:f>
        <x:v>ds_base_l3</x:v>
      </x:c>
      <x:c r="E120" s="48" t="str">
        <x:f>IF(Searches!$A$15&lt;&gt;"Yes","",Searches!$Q$15)</x:f>
        <x:v>| search "%OSPF-5-ADJCHG"
| rex field=_raw "Nbr\s+(?&lt;neighbor&gt;\S+)\s+on\s+(?&lt;interface&gt;\S+)\s+from\s+(?&lt;from_state&gt;\S+)\s+to\s+(?&lt;to_state&gt;\S+)"
| table _time host neighbor interface from_state to_state _raw | sort - _time</x:v>
      </x:c>
      <x:c r="F120" s="48" t="str">
        <x:f>IF(Searches!$A$15&lt;&gt;"Yes","",Searches!$R$15)</x:f>
        <x:v>| search "%OSPF-5-ADJCHG"
| rex field=_raw "Nbr\s+(?&lt;neighbor&gt;\S+)\s+on\s+(?&lt;interface&gt;\S+)\s+from\s+(?&lt;from_state&gt;\S+)\s+to\s+(?&lt;to_state&gt;\S+)"
| stats count as count by host neighbor interface
| where count &gt;= 1
| sort - count</x:v>
      </x:c>
      <x:c r="G120" s="48" t="str">
        <x:f>IF(Searches!$A$15&lt;&gt;"Yes","",Searches!$E$15)</x:f>
        <x:v>Routing</x:v>
      </x:c>
      <x:c r="H120" s="48" t="str">
        <x:f>IF(Searches!$A$15&lt;&gt;"Yes","",Searches!$N$15)</x:f>
        <x:v>Table / Single Value</x:v>
      </x:c>
      <x:c r="I120" s="48" t="str">
        <x:f>IF(Searches!$A$15&lt;&gt;"Yes","",Searches!$B$15)</x:f>
        <x:v>S_OSPF</x:v>
      </x:c>
      <x:c r="J120" s="48" t="str">
        <x:f>IF(Searches!$A$15&lt;&gt;"Yes","",Searches!$K$15)</x:f>
        <x:v>Yes</x:v>
      </x:c>
    </x:row>
    <x:row r="121">
      <x:c r="A121" s="48" t="str">
        <x:f>IF(Searches!$A$16&lt;&gt;"Yes","",Searches!$C$16)</x:f>
        <x:v>BGP Neighbor Events</x:v>
      </x:c>
      <x:c r="B121" s="48" t="str">
        <x:f>IF(Searches!$A$16&lt;&gt;"Yes","",Searches!$D$16)</x:f>
        <x:v>Panel</x:v>
      </x:c>
      <x:c r="C121" s="48" t="str">
        <x:f>IF(Searches!$A$16&lt;&gt;"Yes","",Searches!$O$16)</x:f>
        <x:v>ds_bgp</x:v>
      </x:c>
      <x:c r="D121" s="48" t="str">
        <x:f>IF(Searches!$A$16&lt;&gt;"Yes","",Searches!$P$16)</x:f>
        <x:v>ds_base_l3</x:v>
      </x:c>
      <x:c r="E121" s="48" t="str">
        <x:f>IF(Searches!$A$16&lt;&gt;"Yes","",Searches!$Q$16)</x:f>
        <x:v>| search "%BGP-"
| rex field=_raw "%(?&lt;facility&gt;[A-Z0-9_]+)-(?&lt;severity&gt;\d+)-(?&lt;mnemonic&gt;[A-Z0-9_]+):\s+(?&lt;message&gt;.*)"
| table _time host severity mnemonic message | sort - _time</x:v>
      </x:c>
      <x:c r="F121" s="48" t="str">
        <x:f>IF(Searches!$A$16&lt;&gt;"Yes","",Searches!$R$16)</x:f>
        <x:v>| search "%BGP-"
| rex field=_raw "%(?&lt;facility&gt;[A-Z0-9_]+)-(?&lt;severity&gt;\d+)-(?&lt;mnemonic&gt;[A-Z0-9_]+):\s+(?&lt;message&gt;.*)"
| stats count as count by host mnemonic
| where count &gt;= 1
| sort - count</x:v>
      </x:c>
      <x:c r="G121" s="48" t="str">
        <x:f>IF(Searches!$A$16&lt;&gt;"Yes","",Searches!$E$16)</x:f>
        <x:v>Routing</x:v>
      </x:c>
      <x:c r="H121" s="48" t="str">
        <x:f>IF(Searches!$A$16&lt;&gt;"Yes","",Searches!$N$16)</x:f>
        <x:v>Table</x:v>
      </x:c>
      <x:c r="I121" s="48" t="str">
        <x:f>IF(Searches!$A$16&lt;&gt;"Yes","",Searches!$B$16)</x:f>
        <x:v>S_BGP</x:v>
      </x:c>
      <x:c r="J121" s="48" t="str">
        <x:f>IF(Searches!$A$16&lt;&gt;"Yes","",Searches!$K$16)</x:f>
        <x:v>Yes</x:v>
      </x:c>
    </x:row>
    <x:row r="122">
      <x:c r="A122" s="48" t="str">
        <x:f>IF(Searches!$A$17&lt;&gt;"Yes","",Searches!$C$17)</x:f>
        <x:v>Duplicate IP Address</x:v>
      </x:c>
      <x:c r="B122" s="48" t="str">
        <x:f>IF(Searches!$A$17&lt;&gt;"Yes","",Searches!$D$17)</x:f>
        <x:v>Panel</x:v>
      </x:c>
      <x:c r="C122" s="48" t="str">
        <x:f>IF(Searches!$A$17&lt;&gt;"Yes","",Searches!$O$17)</x:f>
        <x:v>ds_dupip</x:v>
      </x:c>
      <x:c r="D122" s="48" t="str">
        <x:f>IF(Searches!$A$17&lt;&gt;"Yes","",Searches!$P$17)</x:f>
        <x:v>ds_base_l3</x:v>
      </x:c>
      <x:c r="E122" s="48" t="str">
        <x:f>IF(Searches!$A$17&lt;&gt;"Yes","",Searches!$Q$17)</x:f>
        <x:v>| search ("Duplicate address" OR "%IP-4-DUPADDR")
| rex field=_raw "Duplicate address (?&lt;duplicate_ip&gt;\d{1,3}\.\d{1,3}\.\d{1,3}\.\d{1,3}) on (?&lt;interface&gt;[^,]+), sourced by (?&lt;conflicting_mac&gt;[a-fA-F0-9.:-]+)"
| stats count values(conflicting_mac) as conflicting_macs latest(_time) as last_seen by host interface duplicate_ip | eval last_seen=strftime(last_seen,"%Y-%m-%d %H:%M:%S") | sort - count</x:v>
      </x:c>
      <x:c r="F122" s="48" t="str">
        <x:f>IF(Searches!$A$17&lt;&gt;"Yes","",Searches!$R$17)</x:f>
        <x:v>| search ("Duplicate address" OR "%IP-4-DUPADDR")
| rex field=_raw "Duplicate address (?&lt;duplicate_ip&gt;\d{1,3}\.\d{1,3}\.\d{1,3}\.\d{1,3}) on (?&lt;interface&gt;[^,]+), sourced by (?&lt;conflicting_mac&gt;[a-fA-F0-9.:-]+)"
| stats count as count by host interface duplicate_ip
| where count &gt;= 1
| sort - count</x:v>
      </x:c>
      <x:c r="G122" s="48" t="str">
        <x:f>IF(Searches!$A$17&lt;&gt;"Yes","",Searches!$E$17)</x:f>
        <x:v>Routing</x:v>
      </x:c>
      <x:c r="H122" s="48" t="str">
        <x:f>IF(Searches!$A$17&lt;&gt;"Yes","",Searches!$N$17)</x:f>
        <x:v>Table / Single Value</x:v>
      </x:c>
      <x:c r="I122" s="48" t="str">
        <x:f>IF(Searches!$A$17&lt;&gt;"Yes","",Searches!$B$17)</x:f>
        <x:v>S_DUPIP</x:v>
      </x:c>
      <x:c r="J122" s="48" t="str">
        <x:f>IF(Searches!$A$17&lt;&gt;"Yes","",Searches!$K$17)</x:f>
        <x:v>Yes</x:v>
      </x:c>
    </x:row>
    <x:row r="123">
      <x:c r="A123" s="48" t="str">
        <x:f>IF(Searches!$A$18&lt;&gt;"Yes","",Searches!$C$18)</x:f>
        <x:v>Fiber / SFP Threshold Alarms</x:v>
      </x:c>
      <x:c r="B123" s="48" t="str">
        <x:f>IF(Searches!$A$18&lt;&gt;"Yes","",Searches!$D$18)</x:f>
        <x:v>Panel</x:v>
      </x:c>
      <x:c r="C123" s="48" t="str">
        <x:f>IF(Searches!$A$18&lt;&gt;"Yes","",Searches!$O$18)</x:f>
        <x:v>ds_sfp</x:v>
      </x:c>
      <x:c r="D123" s="48" t="str">
        <x:f>IF(Searches!$A$18&lt;&gt;"Yes","",Searches!$P$18)</x:f>
        <x:v>ds_base_physical</x:v>
      </x:c>
      <x:c r="E123" s="48" t="str">
        <x:f>IF(Searches!$A$18&lt;&gt;"Yes","",Searches!$Q$18)</x:f>
        <x:v>| search ("%SFF8472-" OR "THRESHOLD_VIOLATION")
| rex field=_raw "%(?&lt;facility&gt;[A-Z0-9_]+)-(?&lt;severity&gt;\d+)-(?&lt;mnemonic&gt;[A-Z0-9_]+):\s+(?&lt;message&gt;.*)"
| table _time host facility severity mnemonic message | sort - _time</x:v>
      </x:c>
      <x:c r="F123" s="48" t="str">
        <x:f>IF(Searches!$A$18&lt;&gt;"Yes","",Searches!$R$18)</x:f>
        <x:v>| search ("%SFF8472-" OR "THRESHOLD_VIOLATION")
| rex field=_raw "%(?&lt;facility&gt;[A-Z0-9_]+)-(?&lt;severity&gt;\d+)-(?&lt;mnemonic&gt;[A-Z0-9_]+):\s+(?&lt;message&gt;.*)"
| stats count as count by host severity mnemonic
| where count &gt;= 1
| sort - count</x:v>
      </x:c>
      <x:c r="G123" s="48" t="str">
        <x:f>IF(Searches!$A$18&lt;&gt;"Yes","",Searches!$E$18)</x:f>
        <x:v>Physical</x:v>
      </x:c>
      <x:c r="H123" s="48" t="str">
        <x:f>IF(Searches!$A$18&lt;&gt;"Yes","",Searches!$N$18)</x:f>
        <x:v>Table / Single Value</x:v>
      </x:c>
      <x:c r="I123" s="48" t="str">
        <x:f>IF(Searches!$A$18&lt;&gt;"Yes","",Searches!$B$18)</x:f>
        <x:v>S_SFP</x:v>
      </x:c>
      <x:c r="J123" s="48" t="str">
        <x:f>IF(Searches!$A$18&lt;&gt;"Yes","",Searches!$K$18)</x:f>
        <x:v>Yes</x:v>
      </x:c>
    </x:row>
    <x:row r="124">
      <x:c r="A124" s="48" t="str">
        <x:f>IF(Searches!$A$19&lt;&gt;"Yes","",Searches!$C$19)</x:f>
        <x:v>Power / Fan / Environment</x:v>
      </x:c>
      <x:c r="B124" s="48" t="str">
        <x:f>IF(Searches!$A$19&lt;&gt;"Yes","",Searches!$D$19)</x:f>
        <x:v>Panel</x:v>
      </x:c>
      <x:c r="C124" s="48" t="str">
        <x:f>IF(Searches!$A$19&lt;&gt;"Yes","",Searches!$O$19)</x:f>
        <x:v>ds_environment</x:v>
      </x:c>
      <x:c r="D124" s="48" t="str">
        <x:f>IF(Searches!$A$19&lt;&gt;"Yes","",Searches!$P$19)</x:f>
        <x:v>ds_base_physical</x:v>
      </x:c>
      <x:c r="E124" s="48" t="str">
        <x:f>IF(Searches!$A$19&lt;&gt;"Yes","",Searches!$Q$19)</x:f>
        <x:v>| search ("%PLATFORM_ENV-" OR "%ENVIRONMENT-" OR "%FAN-" OR "%POWER-")
| rex field=_raw "%(?&lt;facility&gt;[A-Z0-9_]+)-(?&lt;severity&gt;\d+)-(?&lt;mnemonic&gt;[A-Z0-9_]+):\s+(?&lt;message&gt;.*)"
| table _time host facility severity mnemonic message | sort - _time</x:v>
      </x:c>
      <x:c r="F124" s="48" t="str">
        <x:f>IF(Searches!$A$19&lt;&gt;"Yes","",Searches!$R$19)</x:f>
        <x:v>| search ("%PLATFORM_ENV-" OR "%ENVIRONMENT-" OR "%FAN-" OR "%POWER-")
| rex field=_raw "%(?&lt;facility&gt;[A-Z0-9_]+)-(?&lt;severity&gt;\d+)-(?&lt;mnemonic&gt;[A-Z0-9_]+):\s+(?&lt;message&gt;.*)"
| stats count as count by host mnemonic
| where count &gt;= 1
| sort - count</x:v>
      </x:c>
      <x:c r="G124" s="48" t="str">
        <x:f>IF(Searches!$A$19&lt;&gt;"Yes","",Searches!$E$19)</x:f>
        <x:v>Physical</x:v>
      </x:c>
      <x:c r="H124" s="48" t="str">
        <x:f>IF(Searches!$A$19&lt;&gt;"Yes","",Searches!$N$19)</x:f>
        <x:v>Table</x:v>
      </x:c>
      <x:c r="I124" s="48" t="str">
        <x:f>IF(Searches!$A$19&lt;&gt;"Yes","",Searches!$B$19)</x:f>
        <x:v>S_ENV</x:v>
      </x:c>
      <x:c r="J124" s="48" t="str">
        <x:f>IF(Searches!$A$19&lt;&gt;"Yes","",Searches!$K$19)</x:f>
        <x:v>Yes</x:v>
      </x:c>
    </x:row>
    <x:row r="125">
      <x:c r="A125" s="48" t="str">
        <x:f>IF(Searches!$A$20&lt;&gt;"Yes","",Searches!$C$20)</x:f>
        <x:v>Stack / StackWise Events</x:v>
      </x:c>
      <x:c r="B125" s="48" t="str">
        <x:f>IF(Searches!$A$20&lt;&gt;"Yes","",Searches!$D$20)</x:f>
        <x:v>Panel</x:v>
      </x:c>
      <x:c r="C125" s="48" t="str">
        <x:f>IF(Searches!$A$20&lt;&gt;"Yes","",Searches!$O$20)</x:f>
        <x:v>ds_stack</x:v>
      </x:c>
      <x:c r="D125" s="48" t="str">
        <x:f>IF(Searches!$A$20&lt;&gt;"Yes","",Searches!$P$20)</x:f>
        <x:v>ds_base_physical</x:v>
      </x:c>
      <x:c r="E125" s="48" t="str">
        <x:f>IF(Searches!$A$20&lt;&gt;"Yes","",Searches!$Q$20)</x:f>
        <x:v>| search ("%STACKMGR-" OR "%STACKWISE-")
| rex field=_raw "%(?&lt;facility&gt;[A-Z0-9_]+)-(?&lt;severity&gt;\d+)-(?&lt;mnemonic&gt;[A-Z0-9_]+):\s+(?&lt;message&gt;.*)"
| table _time host facility severity mnemonic message | sort - _time</x:v>
      </x:c>
      <x:c r="F125" s="48" t="str">
        <x:f>IF(Searches!$A$20&lt;&gt;"Yes","",Searches!$R$20)</x:f>
        <x:v>| search ("%STACKMGR-" OR "%STACKWISE-")
| rex field=_raw "%(?&lt;facility&gt;[A-Z0-9_]+)-(?&lt;severity&gt;\d+)-(?&lt;mnemonic&gt;[A-Z0-9_]+):\s+(?&lt;message&gt;.*)"
| stats count as count by host mnemonic
| where count &gt;= 1
| sort - count</x:v>
      </x:c>
      <x:c r="G125" s="48" t="str">
        <x:f>IF(Searches!$A$20&lt;&gt;"Yes","",Searches!$E$20)</x:f>
        <x:v>Physical</x:v>
      </x:c>
      <x:c r="H125" s="48" t="str">
        <x:f>IF(Searches!$A$20&lt;&gt;"Yes","",Searches!$N$20)</x:f>
        <x:v>Table</x:v>
      </x:c>
      <x:c r="I125" s="48" t="str">
        <x:f>IF(Searches!$A$20&lt;&gt;"Yes","",Searches!$B$20)</x:f>
        <x:v>S_STACK</x:v>
      </x:c>
      <x:c r="J125" s="48" t="str">
        <x:f>IF(Searches!$A$20&lt;&gt;"Yes","",Searches!$K$20)</x:f>
        <x:v>Yes</x:v>
      </x:c>
    </x:row>
    <x:row r="126">
      <x:c r="A126" s="48" t="str">
        <x:f>IF(Searches!$A$21&lt;&gt;"Yes","",Searches!$C$21)</x:f>
        <x:v>802.1X / MAB Failures</x:v>
      </x:c>
      <x:c r="B126" s="48" t="str">
        <x:f>IF(Searches!$A$21&lt;&gt;"Yes","",Searches!$D$21)</x:f>
        <x:v>Panel</x:v>
      </x:c>
      <x:c r="C126" s="48" t="str">
        <x:f>IF(Searches!$A$21&lt;&gt;"Yes","",Searches!$O$21)</x:f>
        <x:v>ds_authfail</x:v>
      </x:c>
      <x:c r="D126" s="48" t="str">
        <x:f>IF(Searches!$A$21&lt;&gt;"Yes","",Searches!$P$21)</x:f>
        <x:v>ds_base_access</x:v>
      </x:c>
      <x:c r="E126" s="48" t="str">
        <x:f>IF(Searches!$A$21&lt;&gt;"Yes","",Searches!$Q$21)</x:f>
        <x:v>| search ("%DOT1X-5-FAIL" OR "%MAB-5-FAIL" OR "%SESSION_MGR-5-FAIL" OR "%AUTHMGR-")
| rex field=_raw "%(?&lt;facility&gt;[A-Z0-9_]+)-(?&lt;severity&gt;\d+)-(?&lt;mnemonic&gt;[A-Z0-9_]+):\s+(?&lt;message&gt;.*)"
| table _time host facility severity mnemonic message | sort - _time</x:v>
      </x:c>
      <x:c r="F126" s="48" t="str">
        <x:f>IF(Searches!$A$21&lt;&gt;"Yes","",Searches!$R$21)</x:f>
        <x:v>| search ("%DOT1X-5-FAIL" OR "%MAB-5-FAIL" OR "%SESSION_MGR-5-FAIL" OR "%AUTHMGR-")
| rex field=_raw "%(?&lt;facility&gt;[A-Z0-9_]+)-(?&lt;severity&gt;\d+)-(?&lt;mnemonic&gt;[A-Z0-9_]+):\s+(?&lt;message&gt;.*)"
| stats count as count by host mnemonic
| where count &gt;= 1
| sort - count</x:v>
      </x:c>
      <x:c r="G126" s="48" t="str">
        <x:f>IF(Searches!$A$21&lt;&gt;"Yes","",Searches!$E$21)</x:f>
        <x:v>Access</x:v>
      </x:c>
      <x:c r="H126" s="48" t="str">
        <x:f>IF(Searches!$A$21&lt;&gt;"Yes","",Searches!$N$21)</x:f>
        <x:v>Table / Single Value</x:v>
      </x:c>
      <x:c r="I126" s="48" t="str">
        <x:f>IF(Searches!$A$21&lt;&gt;"Yes","",Searches!$B$21)</x:f>
        <x:v>S_AUTHFAIL</x:v>
      </x:c>
      <x:c r="J126" s="48" t="str">
        <x:f>IF(Searches!$A$21&lt;&gt;"Yes","",Searches!$K$21)</x:f>
        <x:v>Yes</x:v>
      </x:c>
    </x:row>
    <x:row r="127">
      <x:c r="A127" s="48" t="str">
        <x:f>IF(Searches!$A$22&lt;&gt;"Yes","",Searches!$C$22)</x:f>
        <x:v>PoE / Inline Power</x:v>
      </x:c>
      <x:c r="B127" s="48" t="str">
        <x:f>IF(Searches!$A$22&lt;&gt;"Yes","",Searches!$D$22)</x:f>
        <x:v>Panel</x:v>
      </x:c>
      <x:c r="C127" s="48" t="str">
        <x:f>IF(Searches!$A$22&lt;&gt;"Yes","",Searches!$O$22)</x:f>
        <x:v>ds_poe</x:v>
      </x:c>
      <x:c r="D127" s="48" t="str">
        <x:f>IF(Searches!$A$22&lt;&gt;"Yes","",Searches!$P$22)</x:f>
        <x:v>ds_base_access</x:v>
      </x:c>
      <x:c r="E127" s="48" t="str">
        <x:f>IF(Searches!$A$22&lt;&gt;"Yes","",Searches!$Q$22)</x:f>
        <x:v>| search "%ILPOWER-"
| rex field=_raw "%(?&lt;facility&gt;[A-Z0-9_]+)-(?&lt;severity&gt;\d+)-(?&lt;mnemonic&gt;[A-Z0-9_]+):\s+(?&lt;message&gt;.*)"
| table _time host facility severity mnemonic message | sort - _time</x:v>
      </x:c>
      <x:c r="F127" s="48" t="str">
        <x:f>IF(Searches!$A$22&lt;&gt;"Yes","",Searches!$R$22)</x:f>
        <x:v>| search "%ILPOWER-"
| rex field=_raw "%(?&lt;facility&gt;[A-Z0-9_]+)-(?&lt;severity&gt;\d+)-(?&lt;mnemonic&gt;[A-Z0-9_]+):\s+(?&lt;message&gt;.*)"
| stats count as count by host mnemonic
| where count &gt;= 1
| sort - count</x:v>
      </x:c>
      <x:c r="G127" s="48" t="str">
        <x:f>IF(Searches!$A$22&lt;&gt;"Yes","",Searches!$E$22)</x:f>
        <x:v>Access</x:v>
      </x:c>
      <x:c r="H127" s="48" t="str">
        <x:f>IF(Searches!$A$22&lt;&gt;"Yes","",Searches!$N$22)</x:f>
        <x:v>Table</x:v>
      </x:c>
      <x:c r="I127" s="48" t="str">
        <x:f>IF(Searches!$A$22&lt;&gt;"Yes","",Searches!$B$22)</x:f>
        <x:v>S_POE</x:v>
      </x:c>
      <x:c r="J127" s="48" t="str">
        <x:f>IF(Searches!$A$22&lt;&gt;"Yes","",Searches!$K$22)</x:f>
        <x:v>Yes</x:v>
      </x:c>
    </x:row>
    <x:row r="128">
      <x:c r="A128" s="48" t="str">
        <x:f>IF(Searches!$A$23&lt;&gt;"Yes","",Searches!$C$23)</x:f>
        <x:v>Configuration Changes</x:v>
      </x:c>
      <x:c r="B128" s="48" t="str">
        <x:f>IF(Searches!$A$23&lt;&gt;"Yes","",Searches!$D$23)</x:f>
        <x:v>Panel</x:v>
      </x:c>
      <x:c r="C128" s="48" t="str">
        <x:f>IF(Searches!$A$23&lt;&gt;"Yes","",Searches!$O$23)</x:f>
        <x:v>ds_config</x:v>
      </x:c>
      <x:c r="D128" s="48" t="str">
        <x:f>IF(Searches!$A$23&lt;&gt;"Yes","",Searches!$P$23)</x:f>
        <x:v>ds_base_operations</x:v>
      </x:c>
      <x:c r="E128" s="48" t="str">
        <x:f>IF(Searches!$A$23&lt;&gt;"Yes","",Searches!$Q$23)</x:f>
        <x:v>| search "%SYS-5-CONFIG_I"
| stats count latest(_time) as last_seen values(_raw) as change_messages by host | eval last_seen=strftime(last_seen,"%Y-%m-%d %H:%M:%S") | sort - last_seen</x:v>
      </x:c>
      <x:c r="F128" s="48" t="str">
        <x:f>IF(Searches!$A$23&lt;&gt;"Yes","",Searches!$R$23)</x:f>
        <x:v>| search "%SYS-5-CONFIG_I"
| stats count as count by host
| where count &gt;= 1
| sort - count</x:v>
      </x:c>
      <x:c r="G128" s="48" t="str">
        <x:f>IF(Searches!$A$23&lt;&gt;"Yes","",Searches!$E$23)</x:f>
        <x:v>Operations</x:v>
      </x:c>
      <x:c r="H128" s="48" t="str">
        <x:f>IF(Searches!$A$23&lt;&gt;"Yes","",Searches!$N$23)</x:f>
        <x:v>Table / Single Value</x:v>
      </x:c>
      <x:c r="I128" s="48" t="str">
        <x:f>IF(Searches!$A$23&lt;&gt;"Yes","",Searches!$B$23)</x:f>
        <x:v>S_CONFIG</x:v>
      </x:c>
      <x:c r="J128" s="48" t="str">
        <x:f>IF(Searches!$A$23&lt;&gt;"Yes","",Searches!$K$23)</x:f>
        <x:v>Yes</x:v>
      </x:c>
    </x:row>
    <x:row r="129">
      <x:c r="A129" s="48" t="str">
        <x:f>IF(Searches!$A$24&lt;&gt;"Yes","",Searches!$C$24)</x:f>
        <x:v>Device Reload / Restart</x:v>
      </x:c>
      <x:c r="B129" s="48" t="str">
        <x:f>IF(Searches!$A$24&lt;&gt;"Yes","",Searches!$D$24)</x:f>
        <x:v>Panel</x:v>
      </x:c>
      <x:c r="C129" s="48" t="str">
        <x:f>IF(Searches!$A$24&lt;&gt;"Yes","",Searches!$O$24)</x:f>
        <x:v>ds_reload</x:v>
      </x:c>
      <x:c r="D129" s="48" t="str">
        <x:f>IF(Searches!$A$24&lt;&gt;"Yes","",Searches!$P$24)</x:f>
        <x:v>ds_base_operations</x:v>
      </x:c>
      <x:c r="E129" s="48" t="str">
        <x:f>IF(Searches!$A$24&lt;&gt;"Yes","",Searches!$Q$24)</x:f>
        <x:v>| search ("%SYS-5-RELOAD" OR "%SYS-5-RESTART")
| stats count latest(_time) as last_seen values(_raw) as sample by host | eval last_seen=strftime(last_seen,"%Y-%m-%d %H:%M:%S") | sort - last_seen</x:v>
      </x:c>
      <x:c r="F129" s="48" t="str">
        <x:f>IF(Searches!$A$24&lt;&gt;"Yes","",Searches!$R$24)</x:f>
        <x:v>| search ("%SYS-5-RELOAD" OR "%SYS-5-RESTART")
| stats count as count by host
| where count &gt;= 1
| sort - count</x:v>
      </x:c>
      <x:c r="G129" s="48" t="str">
        <x:f>IF(Searches!$A$24&lt;&gt;"Yes","",Searches!$E$24)</x:f>
        <x:v>Operations</x:v>
      </x:c>
      <x:c r="H129" s="48" t="str">
        <x:f>IF(Searches!$A$24&lt;&gt;"Yes","",Searches!$N$24)</x:f>
        <x:v>Table / Single Value</x:v>
      </x:c>
      <x:c r="I129" s="48" t="str">
        <x:f>IF(Searches!$A$24&lt;&gt;"Yes","",Searches!$B$24)</x:f>
        <x:v>S_RELOAD</x:v>
      </x:c>
      <x:c r="J129" s="48" t="str">
        <x:f>IF(Searches!$A$24&lt;&gt;"Yes","",Searches!$K$24)</x:f>
        <x:v>Yes</x:v>
      </x:c>
    </x:row>
    <x:row r="130">
      <x:c r="A130" s="48" t="str">
        <x:f>IF(Searches!$A$25&lt;&gt;"Yes","",Searches!$C$25)</x:f>
      </x:c>
      <x:c r="B130" s="48" t="str">
        <x:f>IF(Searches!$A$25&lt;&gt;"Yes","",Searches!$D$25)</x:f>
      </x:c>
      <x:c r="C130" s="48" t="str">
        <x:f>IF(Searches!$A$25&lt;&gt;"Yes","",Searches!$O$25)</x:f>
      </x:c>
      <x:c r="D130" s="48" t="str">
        <x:f>IF(Searches!$A$25&lt;&gt;"Yes","",Searches!$P$25)</x:f>
      </x:c>
      <x:c r="E130" s="48" t="str">
        <x:f>IF(Searches!$A$25&lt;&gt;"Yes","",Searches!$Q$25)</x:f>
      </x:c>
      <x:c r="F130" s="48" t="str">
        <x:f>IF(Searches!$A$25&lt;&gt;"Yes","",Searches!$R$25)</x:f>
      </x:c>
      <x:c r="G130" s="48" t="str">
        <x:f>IF(Searches!$A$25&lt;&gt;"Yes","",Searches!$E$25)</x:f>
      </x:c>
      <x:c r="H130" s="48" t="str">
        <x:f>IF(Searches!$A$25&lt;&gt;"Yes","",Searches!$N$25)</x:f>
      </x:c>
      <x:c r="I130" s="48" t="str">
        <x:f>IF(Searches!$A$25&lt;&gt;"Yes","",Searches!$B$25)</x:f>
      </x:c>
      <x:c r="J130" s="48" t="str">
        <x:f>IF(Searches!$A$25&lt;&gt;"Yes","",Searches!$K$25)</x:f>
      </x:c>
    </x:row>
    <x:row r="131">
      <x:c r="A131" s="48" t="str">
        <x:f>IF(Searches!$A$26&lt;&gt;"Yes","",Searches!$C$26)</x:f>
      </x:c>
      <x:c r="B131" s="48" t="str">
        <x:f>IF(Searches!$A$26&lt;&gt;"Yes","",Searches!$D$26)</x:f>
      </x:c>
      <x:c r="C131" s="48" t="str">
        <x:f>IF(Searches!$A$26&lt;&gt;"Yes","",Searches!$O$26)</x:f>
      </x:c>
      <x:c r="D131" s="48" t="str">
        <x:f>IF(Searches!$A$26&lt;&gt;"Yes","",Searches!$P$26)</x:f>
      </x:c>
      <x:c r="E131" s="48" t="str">
        <x:f>IF(Searches!$A$26&lt;&gt;"Yes","",Searches!$Q$26)</x:f>
      </x:c>
      <x:c r="F131" s="48" t="str">
        <x:f>IF(Searches!$A$26&lt;&gt;"Yes","",Searches!$R$26)</x:f>
      </x:c>
      <x:c r="G131" s="48" t="str">
        <x:f>IF(Searches!$A$26&lt;&gt;"Yes","",Searches!$E$26)</x:f>
      </x:c>
      <x:c r="H131" s="48" t="str">
        <x:f>IF(Searches!$A$26&lt;&gt;"Yes","",Searches!$N$26)</x:f>
      </x:c>
      <x:c r="I131" s="48" t="str">
        <x:f>IF(Searches!$A$26&lt;&gt;"Yes","",Searches!$B$26)</x:f>
      </x:c>
      <x:c r="J131" s="48" t="str">
        <x:f>IF(Searches!$A$26&lt;&gt;"Yes","",Searches!$K$26)</x:f>
      </x:c>
    </x:row>
    <x:row r="132">
      <x:c r="A132" s="48" t="str">
        <x:f>IF(Searches!$A$27&lt;&gt;"Yes","",Searches!$C$27)</x:f>
      </x:c>
      <x:c r="B132" s="48" t="str">
        <x:f>IF(Searches!$A$27&lt;&gt;"Yes","",Searches!$D$27)</x:f>
      </x:c>
      <x:c r="C132" s="48" t="str">
        <x:f>IF(Searches!$A$27&lt;&gt;"Yes","",Searches!$O$27)</x:f>
      </x:c>
      <x:c r="D132" s="48" t="str">
        <x:f>IF(Searches!$A$27&lt;&gt;"Yes","",Searches!$P$27)</x:f>
      </x:c>
      <x:c r="E132" s="48" t="str">
        <x:f>IF(Searches!$A$27&lt;&gt;"Yes","",Searches!$Q$27)</x:f>
      </x:c>
      <x:c r="F132" s="48" t="str">
        <x:f>IF(Searches!$A$27&lt;&gt;"Yes","",Searches!$R$27)</x:f>
      </x:c>
      <x:c r="G132" s="48" t="str">
        <x:f>IF(Searches!$A$27&lt;&gt;"Yes","",Searches!$E$27)</x:f>
      </x:c>
      <x:c r="H132" s="48" t="str">
        <x:f>IF(Searches!$A$27&lt;&gt;"Yes","",Searches!$N$27)</x:f>
      </x:c>
      <x:c r="I132" s="48" t="str">
        <x:f>IF(Searches!$A$27&lt;&gt;"Yes","",Searches!$B$27)</x:f>
      </x:c>
      <x:c r="J132" s="48" t="str">
        <x:f>IF(Searches!$A$27&lt;&gt;"Yes","",Searches!$K$27)</x:f>
      </x:c>
    </x:row>
    <x:row r="133">
      <x:c r="A133" s="48" t="str">
        <x:f>IF(Searches!$A$28&lt;&gt;"Yes","",Searches!$C$28)</x:f>
      </x:c>
      <x:c r="B133" s="48" t="str">
        <x:f>IF(Searches!$A$28&lt;&gt;"Yes","",Searches!$D$28)</x:f>
      </x:c>
      <x:c r="C133" s="48" t="str">
        <x:f>IF(Searches!$A$28&lt;&gt;"Yes","",Searches!$O$28)</x:f>
      </x:c>
      <x:c r="D133" s="48" t="str">
        <x:f>IF(Searches!$A$28&lt;&gt;"Yes","",Searches!$P$28)</x:f>
      </x:c>
      <x:c r="E133" s="48" t="str">
        <x:f>IF(Searches!$A$28&lt;&gt;"Yes","",Searches!$Q$28)</x:f>
      </x:c>
      <x:c r="F133" s="48" t="str">
        <x:f>IF(Searches!$A$28&lt;&gt;"Yes","",Searches!$R$28)</x:f>
      </x:c>
      <x:c r="G133" s="48" t="str">
        <x:f>IF(Searches!$A$28&lt;&gt;"Yes","",Searches!$E$28)</x:f>
      </x:c>
      <x:c r="H133" s="48" t="str">
        <x:f>IF(Searches!$A$28&lt;&gt;"Yes","",Searches!$N$28)</x:f>
      </x:c>
      <x:c r="I133" s="48" t="str">
        <x:f>IF(Searches!$A$28&lt;&gt;"Yes","",Searches!$B$28)</x:f>
      </x:c>
      <x:c r="J133" s="48" t="str">
        <x:f>IF(Searches!$A$28&lt;&gt;"Yes","",Searches!$K$28)</x:f>
      </x:c>
    </x:row>
    <x:row r="134">
      <x:c r="A134" s="48" t="str">
        <x:f>IF(Searches!$A$29&lt;&gt;"Yes","",Searches!$C$29)</x:f>
      </x:c>
      <x:c r="B134" s="48" t="str">
        <x:f>IF(Searches!$A$29&lt;&gt;"Yes","",Searches!$D$29)</x:f>
      </x:c>
      <x:c r="C134" s="48" t="str">
        <x:f>IF(Searches!$A$29&lt;&gt;"Yes","",Searches!$O$29)</x:f>
      </x:c>
      <x:c r="D134" s="48" t="str">
        <x:f>IF(Searches!$A$29&lt;&gt;"Yes","",Searches!$P$29)</x:f>
      </x:c>
      <x:c r="E134" s="48" t="str">
        <x:f>IF(Searches!$A$29&lt;&gt;"Yes","",Searches!$Q$29)</x:f>
      </x:c>
      <x:c r="F134" s="48" t="str">
        <x:f>IF(Searches!$A$29&lt;&gt;"Yes","",Searches!$R$29)</x:f>
      </x:c>
      <x:c r="G134" s="48" t="str">
        <x:f>IF(Searches!$A$29&lt;&gt;"Yes","",Searches!$E$29)</x:f>
      </x:c>
      <x:c r="H134" s="48" t="str">
        <x:f>IF(Searches!$A$29&lt;&gt;"Yes","",Searches!$N$29)</x:f>
      </x:c>
      <x:c r="I134" s="48" t="str">
        <x:f>IF(Searches!$A$29&lt;&gt;"Yes","",Searches!$B$29)</x:f>
      </x:c>
      <x:c r="J134" s="48" t="str">
        <x:f>IF(Searches!$A$29&lt;&gt;"Yes","",Searches!$K$29)</x:f>
      </x:c>
    </x:row>
    <x:row r="135">
      <x:c r="A135" s="48" t="str">
        <x:f>IF(Searches!$A$30&lt;&gt;"Yes","",Searches!$C$30)</x:f>
      </x:c>
      <x:c r="B135" s="48" t="str">
        <x:f>IF(Searches!$A$30&lt;&gt;"Yes","",Searches!$D$30)</x:f>
      </x:c>
      <x:c r="C135" s="48" t="str">
        <x:f>IF(Searches!$A$30&lt;&gt;"Yes","",Searches!$O$30)</x:f>
      </x:c>
      <x:c r="D135" s="48" t="str">
        <x:f>IF(Searches!$A$30&lt;&gt;"Yes","",Searches!$P$30)</x:f>
      </x:c>
      <x:c r="E135" s="48" t="str">
        <x:f>IF(Searches!$A$30&lt;&gt;"Yes","",Searches!$Q$30)</x:f>
      </x:c>
      <x:c r="F135" s="48" t="str">
        <x:f>IF(Searches!$A$30&lt;&gt;"Yes","",Searches!$R$30)</x:f>
      </x:c>
      <x:c r="G135" s="48" t="str">
        <x:f>IF(Searches!$A$30&lt;&gt;"Yes","",Searches!$E$30)</x:f>
      </x:c>
      <x:c r="H135" s="48" t="str">
        <x:f>IF(Searches!$A$30&lt;&gt;"Yes","",Searches!$N$30)</x:f>
      </x:c>
      <x:c r="I135" s="48" t="str">
        <x:f>IF(Searches!$A$30&lt;&gt;"Yes","",Searches!$B$30)</x:f>
      </x:c>
      <x:c r="J135" s="48" t="str">
        <x:f>IF(Searches!$A$30&lt;&gt;"Yes","",Searches!$K$30)</x:f>
      </x:c>
    </x:row>
    <x:row r="136">
      <x:c r="A136" s="48" t="str">
        <x:f>IF(Searches!$A$31&lt;&gt;"Yes","",Searches!$C$31)</x:f>
      </x:c>
      <x:c r="B136" s="48" t="str">
        <x:f>IF(Searches!$A$31&lt;&gt;"Yes","",Searches!$D$31)</x:f>
      </x:c>
      <x:c r="C136" s="48" t="str">
        <x:f>IF(Searches!$A$31&lt;&gt;"Yes","",Searches!$O$31)</x:f>
      </x:c>
      <x:c r="D136" s="48" t="str">
        <x:f>IF(Searches!$A$31&lt;&gt;"Yes","",Searches!$P$31)</x:f>
      </x:c>
      <x:c r="E136" s="48" t="str">
        <x:f>IF(Searches!$A$31&lt;&gt;"Yes","",Searches!$Q$31)</x:f>
      </x:c>
      <x:c r="F136" s="48" t="str">
        <x:f>IF(Searches!$A$31&lt;&gt;"Yes","",Searches!$R$31)</x:f>
      </x:c>
      <x:c r="G136" s="48" t="str">
        <x:f>IF(Searches!$A$31&lt;&gt;"Yes","",Searches!$E$31)</x:f>
      </x:c>
      <x:c r="H136" s="48" t="str">
        <x:f>IF(Searches!$A$31&lt;&gt;"Yes","",Searches!$N$31)</x:f>
      </x:c>
      <x:c r="I136" s="48" t="str">
        <x:f>IF(Searches!$A$31&lt;&gt;"Yes","",Searches!$B$31)</x:f>
      </x:c>
      <x:c r="J136" s="48" t="str">
        <x:f>IF(Searches!$A$31&lt;&gt;"Yes","",Searches!$K$31)</x:f>
      </x:c>
    </x:row>
    <x:row r="137">
      <x:c r="A137" s="48" t="str">
        <x:f>IF(Searches!$A$32&lt;&gt;"Yes","",Searches!$C$32)</x:f>
      </x:c>
      <x:c r="B137" s="48" t="str">
        <x:f>IF(Searches!$A$32&lt;&gt;"Yes","",Searches!$D$32)</x:f>
      </x:c>
      <x:c r="C137" s="48" t="str">
        <x:f>IF(Searches!$A$32&lt;&gt;"Yes","",Searches!$O$32)</x:f>
      </x:c>
      <x:c r="D137" s="48" t="str">
        <x:f>IF(Searches!$A$32&lt;&gt;"Yes","",Searches!$P$32)</x:f>
      </x:c>
      <x:c r="E137" s="48" t="str">
        <x:f>IF(Searches!$A$32&lt;&gt;"Yes","",Searches!$Q$32)</x:f>
      </x:c>
      <x:c r="F137" s="48" t="str">
        <x:f>IF(Searches!$A$32&lt;&gt;"Yes","",Searches!$R$32)</x:f>
      </x:c>
      <x:c r="G137" s="48" t="str">
        <x:f>IF(Searches!$A$32&lt;&gt;"Yes","",Searches!$E$32)</x:f>
      </x:c>
      <x:c r="H137" s="48" t="str">
        <x:f>IF(Searches!$A$32&lt;&gt;"Yes","",Searches!$N$32)</x:f>
      </x:c>
      <x:c r="I137" s="48" t="str">
        <x:f>IF(Searches!$A$32&lt;&gt;"Yes","",Searches!$B$32)</x:f>
      </x:c>
      <x:c r="J137" s="48" t="str">
        <x:f>IF(Searches!$A$32&lt;&gt;"Yes","",Searches!$K$32)</x:f>
      </x:c>
    </x:row>
    <x:row r="138">
      <x:c r="A138" s="48" t="str">
        <x:f>IF(Searches!$A$33&lt;&gt;"Yes","",Searches!$C$33)</x:f>
      </x:c>
      <x:c r="B138" s="48" t="str">
        <x:f>IF(Searches!$A$33&lt;&gt;"Yes","",Searches!$D$33)</x:f>
      </x:c>
      <x:c r="C138" s="48" t="str">
        <x:f>IF(Searches!$A$33&lt;&gt;"Yes","",Searches!$O$33)</x:f>
      </x:c>
      <x:c r="D138" s="48" t="str">
        <x:f>IF(Searches!$A$33&lt;&gt;"Yes","",Searches!$P$33)</x:f>
      </x:c>
      <x:c r="E138" s="48" t="str">
        <x:f>IF(Searches!$A$33&lt;&gt;"Yes","",Searches!$Q$33)</x:f>
      </x:c>
      <x:c r="F138" s="48" t="str">
        <x:f>IF(Searches!$A$33&lt;&gt;"Yes","",Searches!$R$33)</x:f>
      </x:c>
      <x:c r="G138" s="48" t="str">
        <x:f>IF(Searches!$A$33&lt;&gt;"Yes","",Searches!$E$33)</x:f>
      </x:c>
      <x:c r="H138" s="48" t="str">
        <x:f>IF(Searches!$A$33&lt;&gt;"Yes","",Searches!$N$33)</x:f>
      </x:c>
      <x:c r="I138" s="48" t="str">
        <x:f>IF(Searches!$A$33&lt;&gt;"Yes","",Searches!$B$33)</x:f>
      </x:c>
      <x:c r="J138" s="48" t="str">
        <x:f>IF(Searches!$A$33&lt;&gt;"Yes","",Searches!$K$33)</x:f>
      </x:c>
    </x:row>
    <x:row r="139">
      <x:c r="A139" s="48" t="str">
        <x:f>IF(Searches!$A$34&lt;&gt;"Yes","",Searches!$C$34)</x:f>
      </x:c>
      <x:c r="B139" s="48" t="str">
        <x:f>IF(Searches!$A$34&lt;&gt;"Yes","",Searches!$D$34)</x:f>
      </x:c>
      <x:c r="C139" s="48" t="str">
        <x:f>IF(Searches!$A$34&lt;&gt;"Yes","",Searches!$O$34)</x:f>
      </x:c>
      <x:c r="D139" s="48" t="str">
        <x:f>IF(Searches!$A$34&lt;&gt;"Yes","",Searches!$P$34)</x:f>
      </x:c>
      <x:c r="E139" s="48" t="str">
        <x:f>IF(Searches!$A$34&lt;&gt;"Yes","",Searches!$Q$34)</x:f>
      </x:c>
      <x:c r="F139" s="48" t="str">
        <x:f>IF(Searches!$A$34&lt;&gt;"Yes","",Searches!$R$34)</x:f>
      </x:c>
      <x:c r="G139" s="48" t="str">
        <x:f>IF(Searches!$A$34&lt;&gt;"Yes","",Searches!$E$34)</x:f>
      </x:c>
      <x:c r="H139" s="48" t="str">
        <x:f>IF(Searches!$A$34&lt;&gt;"Yes","",Searches!$N$34)</x:f>
      </x:c>
      <x:c r="I139" s="48" t="str">
        <x:f>IF(Searches!$A$34&lt;&gt;"Yes","",Searches!$B$34)</x:f>
      </x:c>
      <x:c r="J139" s="48" t="str">
        <x:f>IF(Searches!$A$34&lt;&gt;"Yes","",Searches!$K$34)</x:f>
      </x:c>
    </x:row>
    <x:row r="140">
      <x:c r="A140" s="48" t="str">
        <x:f>IF(Searches!$A$35&lt;&gt;"Yes","",Searches!$C$35)</x:f>
      </x:c>
      <x:c r="B140" s="48" t="str">
        <x:f>IF(Searches!$A$35&lt;&gt;"Yes","",Searches!$D$35)</x:f>
      </x:c>
      <x:c r="C140" s="48" t="str">
        <x:f>IF(Searches!$A$35&lt;&gt;"Yes","",Searches!$O$35)</x:f>
      </x:c>
      <x:c r="D140" s="48" t="str">
        <x:f>IF(Searches!$A$35&lt;&gt;"Yes","",Searches!$P$35)</x:f>
      </x:c>
      <x:c r="E140" s="48" t="str">
        <x:f>IF(Searches!$A$35&lt;&gt;"Yes","",Searches!$Q$35)</x:f>
      </x:c>
      <x:c r="F140" s="48" t="str">
        <x:f>IF(Searches!$A$35&lt;&gt;"Yes","",Searches!$R$35)</x:f>
      </x:c>
      <x:c r="G140" s="48" t="str">
        <x:f>IF(Searches!$A$35&lt;&gt;"Yes","",Searches!$E$35)</x:f>
      </x:c>
      <x:c r="H140" s="48" t="str">
        <x:f>IF(Searches!$A$35&lt;&gt;"Yes","",Searches!$N$35)</x:f>
      </x:c>
      <x:c r="I140" s="48" t="str">
        <x:f>IF(Searches!$A$35&lt;&gt;"Yes","",Searches!$B$35)</x:f>
      </x:c>
      <x:c r="J140" s="48" t="str">
        <x:f>IF(Searches!$A$35&lt;&gt;"Yes","",Searches!$K$35)</x:f>
      </x:c>
    </x:row>
    <x:row r="141">
      <x:c r="A141" s="48" t="str">
        <x:f>IF(Searches!$A$36&lt;&gt;"Yes","",Searches!$C$36)</x:f>
      </x:c>
      <x:c r="B141" s="48" t="str">
        <x:f>IF(Searches!$A$36&lt;&gt;"Yes","",Searches!$D$36)</x:f>
      </x:c>
      <x:c r="C141" s="48" t="str">
        <x:f>IF(Searches!$A$36&lt;&gt;"Yes","",Searches!$O$36)</x:f>
      </x:c>
      <x:c r="D141" s="48" t="str">
        <x:f>IF(Searches!$A$36&lt;&gt;"Yes","",Searches!$P$36)</x:f>
      </x:c>
      <x:c r="E141" s="48" t="str">
        <x:f>IF(Searches!$A$36&lt;&gt;"Yes","",Searches!$Q$36)</x:f>
      </x:c>
      <x:c r="F141" s="48" t="str">
        <x:f>IF(Searches!$A$36&lt;&gt;"Yes","",Searches!$R$36)</x:f>
      </x:c>
      <x:c r="G141" s="48" t="str">
        <x:f>IF(Searches!$A$36&lt;&gt;"Yes","",Searches!$E$36)</x:f>
      </x:c>
      <x:c r="H141" s="48" t="str">
        <x:f>IF(Searches!$A$36&lt;&gt;"Yes","",Searches!$N$36)</x:f>
      </x:c>
      <x:c r="I141" s="48" t="str">
        <x:f>IF(Searches!$A$36&lt;&gt;"Yes","",Searches!$B$36)</x:f>
      </x:c>
      <x:c r="J141" s="48" t="str">
        <x:f>IF(Searches!$A$36&lt;&gt;"Yes","",Searches!$K$36)</x:f>
      </x:c>
    </x:row>
    <x:row r="142">
      <x:c r="A142" s="48" t="str">
        <x:f>IF(Searches!$A$37&lt;&gt;"Yes","",Searches!$C$37)</x:f>
      </x:c>
      <x:c r="B142" s="48" t="str">
        <x:f>IF(Searches!$A$37&lt;&gt;"Yes","",Searches!$D$37)</x:f>
      </x:c>
      <x:c r="C142" s="48" t="str">
        <x:f>IF(Searches!$A$37&lt;&gt;"Yes","",Searches!$O$37)</x:f>
      </x:c>
      <x:c r="D142" s="48" t="str">
        <x:f>IF(Searches!$A$37&lt;&gt;"Yes","",Searches!$P$37)</x:f>
      </x:c>
      <x:c r="E142" s="48" t="str">
        <x:f>IF(Searches!$A$37&lt;&gt;"Yes","",Searches!$Q$37)</x:f>
      </x:c>
      <x:c r="F142" s="48" t="str">
        <x:f>IF(Searches!$A$37&lt;&gt;"Yes","",Searches!$R$37)</x:f>
      </x:c>
      <x:c r="G142" s="48" t="str">
        <x:f>IF(Searches!$A$37&lt;&gt;"Yes","",Searches!$E$37)</x:f>
      </x:c>
      <x:c r="H142" s="48" t="str">
        <x:f>IF(Searches!$A$37&lt;&gt;"Yes","",Searches!$N$37)</x:f>
      </x:c>
      <x:c r="I142" s="48" t="str">
        <x:f>IF(Searches!$A$37&lt;&gt;"Yes","",Searches!$B$37)</x:f>
      </x:c>
      <x:c r="J142" s="48" t="str">
        <x:f>IF(Searches!$A$37&lt;&gt;"Yes","",Searches!$K$37)</x:f>
      </x:c>
    </x:row>
    <x:row r="143">
      <x:c r="A143" s="48" t="str">
        <x:f>IF(Searches!$A$38&lt;&gt;"Yes","",Searches!$C$38)</x:f>
      </x:c>
      <x:c r="B143" s="48" t="str">
        <x:f>IF(Searches!$A$38&lt;&gt;"Yes","",Searches!$D$38)</x:f>
      </x:c>
      <x:c r="C143" s="48" t="str">
        <x:f>IF(Searches!$A$38&lt;&gt;"Yes","",Searches!$O$38)</x:f>
      </x:c>
      <x:c r="D143" s="48" t="str">
        <x:f>IF(Searches!$A$38&lt;&gt;"Yes","",Searches!$P$38)</x:f>
      </x:c>
      <x:c r="E143" s="48" t="str">
        <x:f>IF(Searches!$A$38&lt;&gt;"Yes","",Searches!$Q$38)</x:f>
      </x:c>
      <x:c r="F143" s="48" t="str">
        <x:f>IF(Searches!$A$38&lt;&gt;"Yes","",Searches!$R$38)</x:f>
      </x:c>
      <x:c r="G143" s="48" t="str">
        <x:f>IF(Searches!$A$38&lt;&gt;"Yes","",Searches!$E$38)</x:f>
      </x:c>
      <x:c r="H143" s="48" t="str">
        <x:f>IF(Searches!$A$38&lt;&gt;"Yes","",Searches!$N$38)</x:f>
      </x:c>
      <x:c r="I143" s="48" t="str">
        <x:f>IF(Searches!$A$38&lt;&gt;"Yes","",Searches!$B$38)</x:f>
      </x:c>
      <x:c r="J143" s="48" t="str">
        <x:f>IF(Searches!$A$38&lt;&gt;"Yes","",Searches!$K$38)</x:f>
      </x:c>
    </x:row>
    <x:row r="144">
      <x:c r="A144" s="48" t="str">
        <x:f>IF(Searches!$A$39&lt;&gt;"Yes","",Searches!$C$39)</x:f>
      </x:c>
      <x:c r="B144" s="48" t="str">
        <x:f>IF(Searches!$A$39&lt;&gt;"Yes","",Searches!$D$39)</x:f>
      </x:c>
      <x:c r="C144" s="48" t="str">
        <x:f>IF(Searches!$A$39&lt;&gt;"Yes","",Searches!$O$39)</x:f>
      </x:c>
      <x:c r="D144" s="48" t="str">
        <x:f>IF(Searches!$A$39&lt;&gt;"Yes","",Searches!$P$39)</x:f>
      </x:c>
      <x:c r="E144" s="48" t="str">
        <x:f>IF(Searches!$A$39&lt;&gt;"Yes","",Searches!$Q$39)</x:f>
      </x:c>
      <x:c r="F144" s="48" t="str">
        <x:f>IF(Searches!$A$39&lt;&gt;"Yes","",Searches!$R$39)</x:f>
      </x:c>
      <x:c r="G144" s="48" t="str">
        <x:f>IF(Searches!$A$39&lt;&gt;"Yes","",Searches!$E$39)</x:f>
      </x:c>
      <x:c r="H144" s="48" t="str">
        <x:f>IF(Searches!$A$39&lt;&gt;"Yes","",Searches!$N$39)</x:f>
      </x:c>
      <x:c r="I144" s="48" t="str">
        <x:f>IF(Searches!$A$39&lt;&gt;"Yes","",Searches!$B$39)</x:f>
      </x:c>
      <x:c r="J144" s="48" t="str">
        <x:f>IF(Searches!$A$39&lt;&gt;"Yes","",Searches!$K$39)</x:f>
      </x:c>
    </x:row>
    <x:row r="145">
      <x:c r="A145" s="48" t="str">
        <x:f>IF(Searches!$A$40&lt;&gt;"Yes","",Searches!$C$40)</x:f>
      </x:c>
      <x:c r="B145" s="48" t="str">
        <x:f>IF(Searches!$A$40&lt;&gt;"Yes","",Searches!$D$40)</x:f>
      </x:c>
      <x:c r="C145" s="48" t="str">
        <x:f>IF(Searches!$A$40&lt;&gt;"Yes","",Searches!$O$40)</x:f>
      </x:c>
      <x:c r="D145" s="48" t="str">
        <x:f>IF(Searches!$A$40&lt;&gt;"Yes","",Searches!$P$40)</x:f>
      </x:c>
      <x:c r="E145" s="48" t="str">
        <x:f>IF(Searches!$A$40&lt;&gt;"Yes","",Searches!$Q$40)</x:f>
      </x:c>
      <x:c r="F145" s="48" t="str">
        <x:f>IF(Searches!$A$40&lt;&gt;"Yes","",Searches!$R$40)</x:f>
      </x:c>
      <x:c r="G145" s="48" t="str">
        <x:f>IF(Searches!$A$40&lt;&gt;"Yes","",Searches!$E$40)</x:f>
      </x:c>
      <x:c r="H145" s="48" t="str">
        <x:f>IF(Searches!$A$40&lt;&gt;"Yes","",Searches!$N$40)</x:f>
      </x:c>
      <x:c r="I145" s="48" t="str">
        <x:f>IF(Searches!$A$40&lt;&gt;"Yes","",Searches!$B$40)</x:f>
      </x:c>
      <x:c r="J145" s="48" t="str">
        <x:f>IF(Searches!$A$40&lt;&gt;"Yes","",Searches!$K$40)</x:f>
      </x:c>
    </x:row>
    <x:row r="146">
      <x:c r="A146" s="48" t="str">
        <x:f>IF(Searches!$A$41&lt;&gt;"Yes","",Searches!$C$41)</x:f>
      </x:c>
      <x:c r="B146" s="48" t="str">
        <x:f>IF(Searches!$A$41&lt;&gt;"Yes","",Searches!$D$41)</x:f>
      </x:c>
      <x:c r="C146" s="48" t="str">
        <x:f>IF(Searches!$A$41&lt;&gt;"Yes","",Searches!$O$41)</x:f>
      </x:c>
      <x:c r="D146" s="48" t="str">
        <x:f>IF(Searches!$A$41&lt;&gt;"Yes","",Searches!$P$41)</x:f>
      </x:c>
      <x:c r="E146" s="48" t="str">
        <x:f>IF(Searches!$A$41&lt;&gt;"Yes","",Searches!$Q$41)</x:f>
      </x:c>
      <x:c r="F146" s="48" t="str">
        <x:f>IF(Searches!$A$41&lt;&gt;"Yes","",Searches!$R$41)</x:f>
      </x:c>
      <x:c r="G146" s="48" t="str">
        <x:f>IF(Searches!$A$41&lt;&gt;"Yes","",Searches!$E$41)</x:f>
      </x:c>
      <x:c r="H146" s="48" t="str">
        <x:f>IF(Searches!$A$41&lt;&gt;"Yes","",Searches!$N$41)</x:f>
      </x:c>
      <x:c r="I146" s="48" t="str">
        <x:f>IF(Searches!$A$41&lt;&gt;"Yes","",Searches!$B$41)</x:f>
      </x:c>
      <x:c r="J146" s="48" t="str">
        <x:f>IF(Searches!$A$41&lt;&gt;"Yes","",Searches!$K$41)</x:f>
      </x:c>
    </x:row>
    <x:row r="147">
      <x:c r="A147" s="48" t="str">
        <x:f>IF(Searches!$A$42&lt;&gt;"Yes","",Searches!$C$42)</x:f>
      </x:c>
      <x:c r="B147" s="48" t="str">
        <x:f>IF(Searches!$A$42&lt;&gt;"Yes","",Searches!$D$42)</x:f>
      </x:c>
      <x:c r="C147" s="48" t="str">
        <x:f>IF(Searches!$A$42&lt;&gt;"Yes","",Searches!$O$42)</x:f>
      </x:c>
      <x:c r="D147" s="48" t="str">
        <x:f>IF(Searches!$A$42&lt;&gt;"Yes","",Searches!$P$42)</x:f>
      </x:c>
      <x:c r="E147" s="48" t="str">
        <x:f>IF(Searches!$A$42&lt;&gt;"Yes","",Searches!$Q$42)</x:f>
      </x:c>
      <x:c r="F147" s="48" t="str">
        <x:f>IF(Searches!$A$42&lt;&gt;"Yes","",Searches!$R$42)</x:f>
      </x:c>
      <x:c r="G147" s="48" t="str">
        <x:f>IF(Searches!$A$42&lt;&gt;"Yes","",Searches!$E$42)</x:f>
      </x:c>
      <x:c r="H147" s="48" t="str">
        <x:f>IF(Searches!$A$42&lt;&gt;"Yes","",Searches!$N$42)</x:f>
      </x:c>
      <x:c r="I147" s="48" t="str">
        <x:f>IF(Searches!$A$42&lt;&gt;"Yes","",Searches!$B$42)</x:f>
      </x:c>
      <x:c r="J147" s="48" t="str">
        <x:f>IF(Searches!$A$42&lt;&gt;"Yes","",Searches!$K$42)</x:f>
      </x:c>
    </x:row>
    <x:row r="148">
      <x:c r="A148" s="48" t="str">
        <x:f>IF(Searches!$A$43&lt;&gt;"Yes","",Searches!$C$43)</x:f>
      </x:c>
      <x:c r="B148" s="48" t="str">
        <x:f>IF(Searches!$A$43&lt;&gt;"Yes","",Searches!$D$43)</x:f>
      </x:c>
      <x:c r="C148" s="48" t="str">
        <x:f>IF(Searches!$A$43&lt;&gt;"Yes","",Searches!$O$43)</x:f>
      </x:c>
      <x:c r="D148" s="48" t="str">
        <x:f>IF(Searches!$A$43&lt;&gt;"Yes","",Searches!$P$43)</x:f>
      </x:c>
      <x:c r="E148" s="48" t="str">
        <x:f>IF(Searches!$A$43&lt;&gt;"Yes","",Searches!$Q$43)</x:f>
      </x:c>
      <x:c r="F148" s="48" t="str">
        <x:f>IF(Searches!$A$43&lt;&gt;"Yes","",Searches!$R$43)</x:f>
      </x:c>
      <x:c r="G148" s="48" t="str">
        <x:f>IF(Searches!$A$43&lt;&gt;"Yes","",Searches!$E$43)</x:f>
      </x:c>
      <x:c r="H148" s="48" t="str">
        <x:f>IF(Searches!$A$43&lt;&gt;"Yes","",Searches!$N$43)</x:f>
      </x:c>
      <x:c r="I148" s="48" t="str">
        <x:f>IF(Searches!$A$43&lt;&gt;"Yes","",Searches!$B$43)</x:f>
      </x:c>
      <x:c r="J148" s="48" t="str">
        <x:f>IF(Searches!$A$43&lt;&gt;"Yes","",Searches!$K$43)</x:f>
      </x:c>
    </x:row>
    <x:row r="149">
      <x:c r="A149" s="48" t="str">
        <x:f>IF(Searches!$A$44&lt;&gt;"Yes","",Searches!$C$44)</x:f>
      </x:c>
      <x:c r="B149" s="48" t="str">
        <x:f>IF(Searches!$A$44&lt;&gt;"Yes","",Searches!$D$44)</x:f>
      </x:c>
      <x:c r="C149" s="48" t="str">
        <x:f>IF(Searches!$A$44&lt;&gt;"Yes","",Searches!$O$44)</x:f>
      </x:c>
      <x:c r="D149" s="48" t="str">
        <x:f>IF(Searches!$A$44&lt;&gt;"Yes","",Searches!$P$44)</x:f>
      </x:c>
      <x:c r="E149" s="48" t="str">
        <x:f>IF(Searches!$A$44&lt;&gt;"Yes","",Searches!$Q$44)</x:f>
      </x:c>
      <x:c r="F149" s="48" t="str">
        <x:f>IF(Searches!$A$44&lt;&gt;"Yes","",Searches!$R$44)</x:f>
      </x:c>
      <x:c r="G149" s="48" t="str">
        <x:f>IF(Searches!$A$44&lt;&gt;"Yes","",Searches!$E$44)</x:f>
      </x:c>
      <x:c r="H149" s="48" t="str">
        <x:f>IF(Searches!$A$44&lt;&gt;"Yes","",Searches!$N$44)</x:f>
      </x:c>
      <x:c r="I149" s="48" t="str">
        <x:f>IF(Searches!$A$44&lt;&gt;"Yes","",Searches!$B$44)</x:f>
      </x:c>
      <x:c r="J149" s="48" t="str">
        <x:f>IF(Searches!$A$44&lt;&gt;"Yes","",Searches!$K$44)</x:f>
      </x:c>
    </x:row>
    <x:row r="150">
      <x:c r="A150" s="48" t="str">
        <x:f>IF(Searches!$A$45&lt;&gt;"Yes","",Searches!$C$45)</x:f>
      </x:c>
      <x:c r="B150" s="48" t="str">
        <x:f>IF(Searches!$A$45&lt;&gt;"Yes","",Searches!$D$45)</x:f>
      </x:c>
      <x:c r="C150" s="48" t="str">
        <x:f>IF(Searches!$A$45&lt;&gt;"Yes","",Searches!$O$45)</x:f>
      </x:c>
      <x:c r="D150" s="48" t="str">
        <x:f>IF(Searches!$A$45&lt;&gt;"Yes","",Searches!$P$45)</x:f>
      </x:c>
      <x:c r="E150" s="48" t="str">
        <x:f>IF(Searches!$A$45&lt;&gt;"Yes","",Searches!$Q$45)</x:f>
      </x:c>
      <x:c r="F150" s="48" t="str">
        <x:f>IF(Searches!$A$45&lt;&gt;"Yes","",Searches!$R$45)</x:f>
      </x:c>
      <x:c r="G150" s="48" t="str">
        <x:f>IF(Searches!$A$45&lt;&gt;"Yes","",Searches!$E$45)</x:f>
      </x:c>
      <x:c r="H150" s="48" t="str">
        <x:f>IF(Searches!$A$45&lt;&gt;"Yes","",Searches!$N$45)</x:f>
      </x:c>
      <x:c r="I150" s="48" t="str">
        <x:f>IF(Searches!$A$45&lt;&gt;"Yes","",Searches!$B$45)</x:f>
      </x:c>
      <x:c r="J150" s="48" t="str">
        <x:f>IF(Searches!$A$45&lt;&gt;"Yes","",Searches!$K$45)</x:f>
      </x:c>
    </x:row>
    <x:row r="151">
      <x:c r="A151" s="48" t="str">
        <x:f>IF(Searches!$A$46&lt;&gt;"Yes","",Searches!$C$46)</x:f>
      </x:c>
      <x:c r="B151" s="48" t="str">
        <x:f>IF(Searches!$A$46&lt;&gt;"Yes","",Searches!$D$46)</x:f>
      </x:c>
      <x:c r="C151" s="48" t="str">
        <x:f>IF(Searches!$A$46&lt;&gt;"Yes","",Searches!$O$46)</x:f>
      </x:c>
      <x:c r="D151" s="48" t="str">
        <x:f>IF(Searches!$A$46&lt;&gt;"Yes","",Searches!$P$46)</x:f>
      </x:c>
      <x:c r="E151" s="48" t="str">
        <x:f>IF(Searches!$A$46&lt;&gt;"Yes","",Searches!$Q$46)</x:f>
      </x:c>
      <x:c r="F151" s="48" t="str">
        <x:f>IF(Searches!$A$46&lt;&gt;"Yes","",Searches!$R$46)</x:f>
      </x:c>
      <x:c r="G151" s="48" t="str">
        <x:f>IF(Searches!$A$46&lt;&gt;"Yes","",Searches!$E$46)</x:f>
      </x:c>
      <x:c r="H151" s="48" t="str">
        <x:f>IF(Searches!$A$46&lt;&gt;"Yes","",Searches!$N$46)</x:f>
      </x:c>
      <x:c r="I151" s="48" t="str">
        <x:f>IF(Searches!$A$46&lt;&gt;"Yes","",Searches!$B$46)</x:f>
      </x:c>
      <x:c r="J151" s="48" t="str">
        <x:f>IF(Searches!$A$46&lt;&gt;"Yes","",Searches!$K$46)</x:f>
      </x:c>
    </x:row>
    <x:row r="152">
      <x:c r="A152" s="48" t="str">
        <x:f>IF(Searches!$A$47&lt;&gt;"Yes","",Searches!$C$47)</x:f>
      </x:c>
      <x:c r="B152" s="48" t="str">
        <x:f>IF(Searches!$A$47&lt;&gt;"Yes","",Searches!$D$47)</x:f>
      </x:c>
      <x:c r="C152" s="48" t="str">
        <x:f>IF(Searches!$A$47&lt;&gt;"Yes","",Searches!$O$47)</x:f>
      </x:c>
      <x:c r="D152" s="48" t="str">
        <x:f>IF(Searches!$A$47&lt;&gt;"Yes","",Searches!$P$47)</x:f>
      </x:c>
      <x:c r="E152" s="48" t="str">
        <x:f>IF(Searches!$A$47&lt;&gt;"Yes","",Searches!$Q$47)</x:f>
      </x:c>
      <x:c r="F152" s="48" t="str">
        <x:f>IF(Searches!$A$47&lt;&gt;"Yes","",Searches!$R$47)</x:f>
      </x:c>
      <x:c r="G152" s="48" t="str">
        <x:f>IF(Searches!$A$47&lt;&gt;"Yes","",Searches!$E$47)</x:f>
      </x:c>
      <x:c r="H152" s="48" t="str">
        <x:f>IF(Searches!$A$47&lt;&gt;"Yes","",Searches!$N$47)</x:f>
      </x:c>
      <x:c r="I152" s="48" t="str">
        <x:f>IF(Searches!$A$47&lt;&gt;"Yes","",Searches!$B$47)</x:f>
      </x:c>
      <x:c r="J152" s="48" t="str">
        <x:f>IF(Searches!$A$47&lt;&gt;"Yes","",Searches!$K$47)</x:f>
      </x:c>
    </x:row>
    <x:row r="153">
      <x:c r="A153" s="48" t="str">
        <x:f>IF(Searches!$A$48&lt;&gt;"Yes","",Searches!$C$48)</x:f>
      </x:c>
      <x:c r="B153" s="48" t="str">
        <x:f>IF(Searches!$A$48&lt;&gt;"Yes","",Searches!$D$48)</x:f>
      </x:c>
      <x:c r="C153" s="48" t="str">
        <x:f>IF(Searches!$A$48&lt;&gt;"Yes","",Searches!$O$48)</x:f>
      </x:c>
      <x:c r="D153" s="48" t="str">
        <x:f>IF(Searches!$A$48&lt;&gt;"Yes","",Searches!$P$48)</x:f>
      </x:c>
      <x:c r="E153" s="48" t="str">
        <x:f>IF(Searches!$A$48&lt;&gt;"Yes","",Searches!$Q$48)</x:f>
      </x:c>
      <x:c r="F153" s="48" t="str">
        <x:f>IF(Searches!$A$48&lt;&gt;"Yes","",Searches!$R$48)</x:f>
      </x:c>
      <x:c r="G153" s="48" t="str">
        <x:f>IF(Searches!$A$48&lt;&gt;"Yes","",Searches!$E$48)</x:f>
      </x:c>
      <x:c r="H153" s="48" t="str">
        <x:f>IF(Searches!$A$48&lt;&gt;"Yes","",Searches!$N$48)</x:f>
      </x:c>
      <x:c r="I153" s="48" t="str">
        <x:f>IF(Searches!$A$48&lt;&gt;"Yes","",Searches!$B$48)</x:f>
      </x:c>
      <x:c r="J153" s="48" t="str">
        <x:f>IF(Searches!$A$48&lt;&gt;"Yes","",Searches!$K$48)</x:f>
      </x:c>
    </x:row>
    <x:row r="154">
      <x:c r="A154" s="48" t="str">
        <x:f>IF(Searches!$A$49&lt;&gt;"Yes","",Searches!$C$49)</x:f>
      </x:c>
      <x:c r="B154" s="48" t="str">
        <x:f>IF(Searches!$A$49&lt;&gt;"Yes","",Searches!$D$49)</x:f>
      </x:c>
      <x:c r="C154" s="48" t="str">
        <x:f>IF(Searches!$A$49&lt;&gt;"Yes","",Searches!$O$49)</x:f>
      </x:c>
      <x:c r="D154" s="48" t="str">
        <x:f>IF(Searches!$A$49&lt;&gt;"Yes","",Searches!$P$49)</x:f>
      </x:c>
      <x:c r="E154" s="48" t="str">
        <x:f>IF(Searches!$A$49&lt;&gt;"Yes","",Searches!$Q$49)</x:f>
      </x:c>
      <x:c r="F154" s="48" t="str">
        <x:f>IF(Searches!$A$49&lt;&gt;"Yes","",Searches!$R$49)</x:f>
      </x:c>
      <x:c r="G154" s="48" t="str">
        <x:f>IF(Searches!$A$49&lt;&gt;"Yes","",Searches!$E$49)</x:f>
      </x:c>
      <x:c r="H154" s="48" t="str">
        <x:f>IF(Searches!$A$49&lt;&gt;"Yes","",Searches!$N$49)</x:f>
      </x:c>
      <x:c r="I154" s="48" t="str">
        <x:f>IF(Searches!$A$49&lt;&gt;"Yes","",Searches!$B$49)</x:f>
      </x:c>
      <x:c r="J154" s="48" t="str">
        <x:f>IF(Searches!$A$49&lt;&gt;"Yes","",Searches!$K$49)</x:f>
      </x:c>
    </x:row>
    <x:row r="155">
      <x:c r="A155" s="48" t="str">
        <x:f>IF(Searches!$A$50&lt;&gt;"Yes","",Searches!$C$50)</x:f>
      </x:c>
      <x:c r="B155" s="48" t="str">
        <x:f>IF(Searches!$A$50&lt;&gt;"Yes","",Searches!$D$50)</x:f>
      </x:c>
      <x:c r="C155" s="48" t="str">
        <x:f>IF(Searches!$A$50&lt;&gt;"Yes","",Searches!$O$50)</x:f>
      </x:c>
      <x:c r="D155" s="48" t="str">
        <x:f>IF(Searches!$A$50&lt;&gt;"Yes","",Searches!$P$50)</x:f>
      </x:c>
      <x:c r="E155" s="48" t="str">
        <x:f>IF(Searches!$A$50&lt;&gt;"Yes","",Searches!$Q$50)</x:f>
      </x:c>
      <x:c r="F155" s="48" t="str">
        <x:f>IF(Searches!$A$50&lt;&gt;"Yes","",Searches!$R$50)</x:f>
      </x:c>
      <x:c r="G155" s="48" t="str">
        <x:f>IF(Searches!$A$50&lt;&gt;"Yes","",Searches!$E$50)</x:f>
      </x:c>
      <x:c r="H155" s="48" t="str">
        <x:f>IF(Searches!$A$50&lt;&gt;"Yes","",Searches!$N$50)</x:f>
      </x:c>
      <x:c r="I155" s="48" t="str">
        <x:f>IF(Searches!$A$50&lt;&gt;"Yes","",Searches!$B$50)</x:f>
      </x:c>
      <x:c r="J155" s="48" t="str">
        <x:f>IF(Searches!$A$50&lt;&gt;"Yes","",Searches!$K$50)</x:f>
      </x:c>
    </x:row>
    <x:row r="156">
      <x:c r="A156" s="48" t="str">
        <x:f>IF(Searches!$A$51&lt;&gt;"Yes","",Searches!$C$51)</x:f>
      </x:c>
      <x:c r="B156" s="48" t="str">
        <x:f>IF(Searches!$A$51&lt;&gt;"Yes","",Searches!$D$51)</x:f>
      </x:c>
      <x:c r="C156" s="48" t="str">
        <x:f>IF(Searches!$A$51&lt;&gt;"Yes","",Searches!$O$51)</x:f>
      </x:c>
      <x:c r="D156" s="48" t="str">
        <x:f>IF(Searches!$A$51&lt;&gt;"Yes","",Searches!$P$51)</x:f>
      </x:c>
      <x:c r="E156" s="48" t="str">
        <x:f>IF(Searches!$A$51&lt;&gt;"Yes","",Searches!$Q$51)</x:f>
      </x:c>
      <x:c r="F156" s="48" t="str">
        <x:f>IF(Searches!$A$51&lt;&gt;"Yes","",Searches!$R$51)</x:f>
      </x:c>
      <x:c r="G156" s="48" t="str">
        <x:f>IF(Searches!$A$51&lt;&gt;"Yes","",Searches!$E$51)</x:f>
      </x:c>
      <x:c r="H156" s="48" t="str">
        <x:f>IF(Searches!$A$51&lt;&gt;"Yes","",Searches!$N$51)</x:f>
      </x:c>
      <x:c r="I156" s="48" t="str">
        <x:f>IF(Searches!$A$51&lt;&gt;"Yes","",Searches!$B$51)</x:f>
      </x:c>
      <x:c r="J156" s="48" t="str">
        <x:f>IF(Searches!$A$51&lt;&gt;"Yes","",Searches!$K$51)</x:f>
      </x:c>
    </x:row>
    <x:row r="157">
      <x:c r="A157" s="48" t="str">
        <x:f>IF(Searches!$A$52&lt;&gt;"Yes","",Searches!$C$52)</x:f>
      </x:c>
      <x:c r="B157" s="48" t="str">
        <x:f>IF(Searches!$A$52&lt;&gt;"Yes","",Searches!$D$52)</x:f>
      </x:c>
      <x:c r="C157" s="48" t="str">
        <x:f>IF(Searches!$A$52&lt;&gt;"Yes","",Searches!$O$52)</x:f>
      </x:c>
      <x:c r="D157" s="48" t="str">
        <x:f>IF(Searches!$A$52&lt;&gt;"Yes","",Searches!$P$52)</x:f>
      </x:c>
      <x:c r="E157" s="48" t="str">
        <x:f>IF(Searches!$A$52&lt;&gt;"Yes","",Searches!$Q$52)</x:f>
      </x:c>
      <x:c r="F157" s="48" t="str">
        <x:f>IF(Searches!$A$52&lt;&gt;"Yes","",Searches!$R$52)</x:f>
      </x:c>
      <x:c r="G157" s="48" t="str">
        <x:f>IF(Searches!$A$52&lt;&gt;"Yes","",Searches!$E$52)</x:f>
      </x:c>
      <x:c r="H157" s="48" t="str">
        <x:f>IF(Searches!$A$52&lt;&gt;"Yes","",Searches!$N$52)</x:f>
      </x:c>
      <x:c r="I157" s="48" t="str">
        <x:f>IF(Searches!$A$52&lt;&gt;"Yes","",Searches!$B$52)</x:f>
      </x:c>
      <x:c r="J157" s="48" t="str">
        <x:f>IF(Searches!$A$52&lt;&gt;"Yes","",Searches!$K$52)</x:f>
      </x:c>
    </x:row>
    <x:row r="158">
      <x:c r="A158" s="48" t="str">
        <x:f>IF(Searches!$A$53&lt;&gt;"Yes","",Searches!$C$53)</x:f>
      </x:c>
      <x:c r="B158" s="48" t="str">
        <x:f>IF(Searches!$A$53&lt;&gt;"Yes","",Searches!$D$53)</x:f>
      </x:c>
      <x:c r="C158" s="48" t="str">
        <x:f>IF(Searches!$A$53&lt;&gt;"Yes","",Searches!$O$53)</x:f>
      </x:c>
      <x:c r="D158" s="48" t="str">
        <x:f>IF(Searches!$A$53&lt;&gt;"Yes","",Searches!$P$53)</x:f>
      </x:c>
      <x:c r="E158" s="48" t="str">
        <x:f>IF(Searches!$A$53&lt;&gt;"Yes","",Searches!$Q$53)</x:f>
      </x:c>
      <x:c r="F158" s="48" t="str">
        <x:f>IF(Searches!$A$53&lt;&gt;"Yes","",Searches!$R$53)</x:f>
      </x:c>
      <x:c r="G158" s="48" t="str">
        <x:f>IF(Searches!$A$53&lt;&gt;"Yes","",Searches!$E$53)</x:f>
      </x:c>
      <x:c r="H158" s="48" t="str">
        <x:f>IF(Searches!$A$53&lt;&gt;"Yes","",Searches!$N$53)</x:f>
      </x:c>
      <x:c r="I158" s="48" t="str">
        <x:f>IF(Searches!$A$53&lt;&gt;"Yes","",Searches!$B$53)</x:f>
      </x:c>
      <x:c r="J158" s="48" t="str">
        <x:f>IF(Searches!$A$53&lt;&gt;"Yes","",Searches!$K$53)</x:f>
      </x:c>
    </x:row>
    <x:row r="159">
      <x:c r="A159" s="48" t="str">
        <x:f>IF(Searches!$A$54&lt;&gt;"Yes","",Searches!$C$54)</x:f>
      </x:c>
      <x:c r="B159" s="48" t="str">
        <x:f>IF(Searches!$A$54&lt;&gt;"Yes","",Searches!$D$54)</x:f>
      </x:c>
      <x:c r="C159" s="48" t="str">
        <x:f>IF(Searches!$A$54&lt;&gt;"Yes","",Searches!$O$54)</x:f>
      </x:c>
      <x:c r="D159" s="48" t="str">
        <x:f>IF(Searches!$A$54&lt;&gt;"Yes","",Searches!$P$54)</x:f>
      </x:c>
      <x:c r="E159" s="48" t="str">
        <x:f>IF(Searches!$A$54&lt;&gt;"Yes","",Searches!$Q$54)</x:f>
      </x:c>
      <x:c r="F159" s="48" t="str">
        <x:f>IF(Searches!$A$54&lt;&gt;"Yes","",Searches!$R$54)</x:f>
      </x:c>
      <x:c r="G159" s="48" t="str">
        <x:f>IF(Searches!$A$54&lt;&gt;"Yes","",Searches!$E$54)</x:f>
      </x:c>
      <x:c r="H159" s="48" t="str">
        <x:f>IF(Searches!$A$54&lt;&gt;"Yes","",Searches!$N$54)</x:f>
      </x:c>
      <x:c r="I159" s="48" t="str">
        <x:f>IF(Searches!$A$54&lt;&gt;"Yes","",Searches!$B$54)</x:f>
      </x:c>
      <x:c r="J159" s="48" t="str">
        <x:f>IF(Searches!$A$54&lt;&gt;"Yes","",Searches!$K$54)</x:f>
      </x:c>
    </x:row>
    <x:row r="160">
      <x:c r="A160" s="48" t="str">
        <x:f>IF(Searches!$A$55&lt;&gt;"Yes","",Searches!$C$55)</x:f>
      </x:c>
      <x:c r="B160" s="48" t="str">
        <x:f>IF(Searches!$A$55&lt;&gt;"Yes","",Searches!$D$55)</x:f>
      </x:c>
      <x:c r="C160" s="48" t="str">
        <x:f>IF(Searches!$A$55&lt;&gt;"Yes","",Searches!$O$55)</x:f>
      </x:c>
      <x:c r="D160" s="48" t="str">
        <x:f>IF(Searches!$A$55&lt;&gt;"Yes","",Searches!$P$55)</x:f>
      </x:c>
      <x:c r="E160" s="48" t="str">
        <x:f>IF(Searches!$A$55&lt;&gt;"Yes","",Searches!$Q$55)</x:f>
      </x:c>
      <x:c r="F160" s="48" t="str">
        <x:f>IF(Searches!$A$55&lt;&gt;"Yes","",Searches!$R$55)</x:f>
      </x:c>
      <x:c r="G160" s="48" t="str">
        <x:f>IF(Searches!$A$55&lt;&gt;"Yes","",Searches!$E$55)</x:f>
      </x:c>
      <x:c r="H160" s="48" t="str">
        <x:f>IF(Searches!$A$55&lt;&gt;"Yes","",Searches!$N$55)</x:f>
      </x:c>
      <x:c r="I160" s="48" t="str">
        <x:f>IF(Searches!$A$55&lt;&gt;"Yes","",Searches!$B$55)</x:f>
      </x:c>
      <x:c r="J160" s="48" t="str">
        <x:f>IF(Searches!$A$55&lt;&gt;"Yes","",Searches!$K$55)</x:f>
      </x:c>
    </x:row>
    <x:row r="161">
      <x:c r="A161" s="48" t="str">
        <x:f>IF(Searches!$A$56&lt;&gt;"Yes","",Searches!$C$56)</x:f>
      </x:c>
      <x:c r="B161" s="48" t="str">
        <x:f>IF(Searches!$A$56&lt;&gt;"Yes","",Searches!$D$56)</x:f>
      </x:c>
      <x:c r="C161" s="48" t="str">
        <x:f>IF(Searches!$A$56&lt;&gt;"Yes","",Searches!$O$56)</x:f>
      </x:c>
      <x:c r="D161" s="48" t="str">
        <x:f>IF(Searches!$A$56&lt;&gt;"Yes","",Searches!$P$56)</x:f>
      </x:c>
      <x:c r="E161" s="48" t="str">
        <x:f>IF(Searches!$A$56&lt;&gt;"Yes","",Searches!$Q$56)</x:f>
      </x:c>
      <x:c r="F161" s="48" t="str">
        <x:f>IF(Searches!$A$56&lt;&gt;"Yes","",Searches!$R$56)</x:f>
      </x:c>
      <x:c r="G161" s="48" t="str">
        <x:f>IF(Searches!$A$56&lt;&gt;"Yes","",Searches!$E$56)</x:f>
      </x:c>
      <x:c r="H161" s="48" t="str">
        <x:f>IF(Searches!$A$56&lt;&gt;"Yes","",Searches!$N$56)</x:f>
      </x:c>
      <x:c r="I161" s="48" t="str">
        <x:f>IF(Searches!$A$56&lt;&gt;"Yes","",Searches!$B$56)</x:f>
      </x:c>
      <x:c r="J161" s="48" t="str">
        <x:f>IF(Searches!$A$56&lt;&gt;"Yes","",Searches!$K$56)</x:f>
      </x:c>
    </x:row>
    <x:row r="162">
      <x:c r="A162" s="48" t="str">
        <x:f>IF(Searches!$A$57&lt;&gt;"Yes","",Searches!$C$57)</x:f>
      </x:c>
      <x:c r="B162" s="48" t="str">
        <x:f>IF(Searches!$A$57&lt;&gt;"Yes","",Searches!$D$57)</x:f>
      </x:c>
      <x:c r="C162" s="48" t="str">
        <x:f>IF(Searches!$A$57&lt;&gt;"Yes","",Searches!$O$57)</x:f>
      </x:c>
      <x:c r="D162" s="48" t="str">
        <x:f>IF(Searches!$A$57&lt;&gt;"Yes","",Searches!$P$57)</x:f>
      </x:c>
      <x:c r="E162" s="48" t="str">
        <x:f>IF(Searches!$A$57&lt;&gt;"Yes","",Searches!$Q$57)</x:f>
      </x:c>
      <x:c r="F162" s="48" t="str">
        <x:f>IF(Searches!$A$57&lt;&gt;"Yes","",Searches!$R$57)</x:f>
      </x:c>
      <x:c r="G162" s="48" t="str">
        <x:f>IF(Searches!$A$57&lt;&gt;"Yes","",Searches!$E$57)</x:f>
      </x:c>
      <x:c r="H162" s="48" t="str">
        <x:f>IF(Searches!$A$57&lt;&gt;"Yes","",Searches!$N$57)</x:f>
      </x:c>
      <x:c r="I162" s="48" t="str">
        <x:f>IF(Searches!$A$57&lt;&gt;"Yes","",Searches!$B$57)</x:f>
      </x:c>
      <x:c r="J162" s="48" t="str">
        <x:f>IF(Searches!$A$57&lt;&gt;"Yes","",Searches!$K$57)</x:f>
      </x:c>
    </x:row>
    <x:row r="163">
      <x:c r="A163" s="48" t="str">
        <x:f>IF(Searches!$A$58&lt;&gt;"Yes","",Searches!$C$58)</x:f>
      </x:c>
      <x:c r="B163" s="48" t="str">
        <x:f>IF(Searches!$A$58&lt;&gt;"Yes","",Searches!$D$58)</x:f>
      </x:c>
      <x:c r="C163" s="48" t="str">
        <x:f>IF(Searches!$A$58&lt;&gt;"Yes","",Searches!$O$58)</x:f>
      </x:c>
      <x:c r="D163" s="48" t="str">
        <x:f>IF(Searches!$A$58&lt;&gt;"Yes","",Searches!$P$58)</x:f>
      </x:c>
      <x:c r="E163" s="48" t="str">
        <x:f>IF(Searches!$A$58&lt;&gt;"Yes","",Searches!$Q$58)</x:f>
      </x:c>
      <x:c r="F163" s="48" t="str">
        <x:f>IF(Searches!$A$58&lt;&gt;"Yes","",Searches!$R$58)</x:f>
      </x:c>
      <x:c r="G163" s="48" t="str">
        <x:f>IF(Searches!$A$58&lt;&gt;"Yes","",Searches!$E$58)</x:f>
      </x:c>
      <x:c r="H163" s="48" t="str">
        <x:f>IF(Searches!$A$58&lt;&gt;"Yes","",Searches!$N$58)</x:f>
      </x:c>
      <x:c r="I163" s="48" t="str">
        <x:f>IF(Searches!$A$58&lt;&gt;"Yes","",Searches!$B$58)</x:f>
      </x:c>
      <x:c r="J163" s="48" t="str">
        <x:f>IF(Searches!$A$58&lt;&gt;"Yes","",Searches!$K$58)</x:f>
      </x:c>
    </x:row>
    <x:row r="164">
      <x:c r="A164" s="48" t="str">
        <x:f>IF(Searches!$A$59&lt;&gt;"Yes","",Searches!$C$59)</x:f>
      </x:c>
      <x:c r="B164" s="48" t="str">
        <x:f>IF(Searches!$A$59&lt;&gt;"Yes","",Searches!$D$59)</x:f>
      </x:c>
      <x:c r="C164" s="48" t="str">
        <x:f>IF(Searches!$A$59&lt;&gt;"Yes","",Searches!$O$59)</x:f>
      </x:c>
      <x:c r="D164" s="48" t="str">
        <x:f>IF(Searches!$A$59&lt;&gt;"Yes","",Searches!$P$59)</x:f>
      </x:c>
      <x:c r="E164" s="48" t="str">
        <x:f>IF(Searches!$A$59&lt;&gt;"Yes","",Searches!$Q$59)</x:f>
      </x:c>
      <x:c r="F164" s="48" t="str">
        <x:f>IF(Searches!$A$59&lt;&gt;"Yes","",Searches!$R$59)</x:f>
      </x:c>
      <x:c r="G164" s="48" t="str">
        <x:f>IF(Searches!$A$59&lt;&gt;"Yes","",Searches!$E$59)</x:f>
      </x:c>
      <x:c r="H164" s="48" t="str">
        <x:f>IF(Searches!$A$59&lt;&gt;"Yes","",Searches!$N$59)</x:f>
      </x:c>
      <x:c r="I164" s="48" t="str">
        <x:f>IF(Searches!$A$59&lt;&gt;"Yes","",Searches!$B$59)</x:f>
      </x:c>
      <x:c r="J164" s="48" t="str">
        <x:f>IF(Searches!$A$59&lt;&gt;"Yes","",Searches!$K$59)</x:f>
      </x:c>
    </x:row>
    <x:row r="165">
      <x:c r="A165" s="48" t="str">
        <x:f>IF(Searches!$A$60&lt;&gt;"Yes","",Searches!$C$60)</x:f>
      </x:c>
      <x:c r="B165" s="48" t="str">
        <x:f>IF(Searches!$A$60&lt;&gt;"Yes","",Searches!$D$60)</x:f>
      </x:c>
      <x:c r="C165" s="48" t="str">
        <x:f>IF(Searches!$A$60&lt;&gt;"Yes","",Searches!$O$60)</x:f>
      </x:c>
      <x:c r="D165" s="48" t="str">
        <x:f>IF(Searches!$A$60&lt;&gt;"Yes","",Searches!$P$60)</x:f>
      </x:c>
      <x:c r="E165" s="48" t="str">
        <x:f>IF(Searches!$A$60&lt;&gt;"Yes","",Searches!$Q$60)</x:f>
      </x:c>
      <x:c r="F165" s="48" t="str">
        <x:f>IF(Searches!$A$60&lt;&gt;"Yes","",Searches!$R$60)</x:f>
      </x:c>
      <x:c r="G165" s="48" t="str">
        <x:f>IF(Searches!$A$60&lt;&gt;"Yes","",Searches!$E$60)</x:f>
      </x:c>
      <x:c r="H165" s="48" t="str">
        <x:f>IF(Searches!$A$60&lt;&gt;"Yes","",Searches!$N$60)</x:f>
      </x:c>
      <x:c r="I165" s="48" t="str">
        <x:f>IF(Searches!$A$60&lt;&gt;"Yes","",Searches!$B$60)</x:f>
      </x:c>
      <x:c r="J165" s="48" t="str">
        <x:f>IF(Searches!$A$60&lt;&gt;"Yes","",Searches!$K$60)</x:f>
      </x:c>
    </x:row>
    <x:row r="166">
      <x:c r="A166" s="48" t="str">
        <x:f>IF(Searches!$A$61&lt;&gt;"Yes","",Searches!$C$61)</x:f>
      </x:c>
      <x:c r="B166" s="48" t="str">
        <x:f>IF(Searches!$A$61&lt;&gt;"Yes","",Searches!$D$61)</x:f>
      </x:c>
      <x:c r="C166" s="48" t="str">
        <x:f>IF(Searches!$A$61&lt;&gt;"Yes","",Searches!$O$61)</x:f>
      </x:c>
      <x:c r="D166" s="48" t="str">
        <x:f>IF(Searches!$A$61&lt;&gt;"Yes","",Searches!$P$61)</x:f>
      </x:c>
      <x:c r="E166" s="48" t="str">
        <x:f>IF(Searches!$A$61&lt;&gt;"Yes","",Searches!$Q$61)</x:f>
      </x:c>
      <x:c r="F166" s="48" t="str">
        <x:f>IF(Searches!$A$61&lt;&gt;"Yes","",Searches!$R$61)</x:f>
      </x:c>
      <x:c r="G166" s="48" t="str">
        <x:f>IF(Searches!$A$61&lt;&gt;"Yes","",Searches!$E$61)</x:f>
      </x:c>
      <x:c r="H166" s="48" t="str">
        <x:f>IF(Searches!$A$61&lt;&gt;"Yes","",Searches!$N$61)</x:f>
      </x:c>
      <x:c r="I166" s="48" t="str">
        <x:f>IF(Searches!$A$61&lt;&gt;"Yes","",Searches!$B$61)</x:f>
      </x:c>
      <x:c r="J166" s="48" t="str">
        <x:f>IF(Searches!$A$61&lt;&gt;"Yes","",Searches!$K$61)</x:f>
      </x:c>
    </x:row>
    <x:row r="167">
      <x:c r="A167" s="48" t="str">
        <x:f>IF(Searches!$A$62&lt;&gt;"Yes","",Searches!$C$62)</x:f>
      </x:c>
      <x:c r="B167" s="48" t="str">
        <x:f>IF(Searches!$A$62&lt;&gt;"Yes","",Searches!$D$62)</x:f>
      </x:c>
      <x:c r="C167" s="48" t="str">
        <x:f>IF(Searches!$A$62&lt;&gt;"Yes","",Searches!$O$62)</x:f>
      </x:c>
      <x:c r="D167" s="48" t="str">
        <x:f>IF(Searches!$A$62&lt;&gt;"Yes","",Searches!$P$62)</x:f>
      </x:c>
      <x:c r="E167" s="48" t="str">
        <x:f>IF(Searches!$A$62&lt;&gt;"Yes","",Searches!$Q$62)</x:f>
      </x:c>
      <x:c r="F167" s="48" t="str">
        <x:f>IF(Searches!$A$62&lt;&gt;"Yes","",Searches!$R$62)</x:f>
      </x:c>
      <x:c r="G167" s="48" t="str">
        <x:f>IF(Searches!$A$62&lt;&gt;"Yes","",Searches!$E$62)</x:f>
      </x:c>
      <x:c r="H167" s="48" t="str">
        <x:f>IF(Searches!$A$62&lt;&gt;"Yes","",Searches!$N$62)</x:f>
      </x:c>
      <x:c r="I167" s="48" t="str">
        <x:f>IF(Searches!$A$62&lt;&gt;"Yes","",Searches!$B$62)</x:f>
      </x:c>
      <x:c r="J167" s="48" t="str">
        <x:f>IF(Searches!$A$62&lt;&gt;"Yes","",Searches!$K$62)</x:f>
      </x:c>
    </x:row>
    <x:row r="168">
      <x:c r="A168" s="48" t="str">
        <x:f>IF(Searches!$A$63&lt;&gt;"Yes","",Searches!$C$63)</x:f>
      </x:c>
      <x:c r="B168" s="48" t="str">
        <x:f>IF(Searches!$A$63&lt;&gt;"Yes","",Searches!$D$63)</x:f>
      </x:c>
      <x:c r="C168" s="48" t="str">
        <x:f>IF(Searches!$A$63&lt;&gt;"Yes","",Searches!$O$63)</x:f>
      </x:c>
      <x:c r="D168" s="48" t="str">
        <x:f>IF(Searches!$A$63&lt;&gt;"Yes","",Searches!$P$63)</x:f>
      </x:c>
      <x:c r="E168" s="48" t="str">
        <x:f>IF(Searches!$A$63&lt;&gt;"Yes","",Searches!$Q$63)</x:f>
      </x:c>
      <x:c r="F168" s="48" t="str">
        <x:f>IF(Searches!$A$63&lt;&gt;"Yes","",Searches!$R$63)</x:f>
      </x:c>
      <x:c r="G168" s="48" t="str">
        <x:f>IF(Searches!$A$63&lt;&gt;"Yes","",Searches!$E$63)</x:f>
      </x:c>
      <x:c r="H168" s="48" t="str">
        <x:f>IF(Searches!$A$63&lt;&gt;"Yes","",Searches!$N$63)</x:f>
      </x:c>
      <x:c r="I168" s="48" t="str">
        <x:f>IF(Searches!$A$63&lt;&gt;"Yes","",Searches!$B$63)</x:f>
      </x:c>
      <x:c r="J168" s="48" t="str">
        <x:f>IF(Searches!$A$63&lt;&gt;"Yes","",Searches!$K$63)</x:f>
      </x:c>
    </x:row>
    <x:row r="169">
      <x:c r="A169" s="48" t="str">
        <x:f>IF(Searches!$A$64&lt;&gt;"Yes","",Searches!$C$64)</x:f>
      </x:c>
      <x:c r="B169" s="48" t="str">
        <x:f>IF(Searches!$A$64&lt;&gt;"Yes","",Searches!$D$64)</x:f>
      </x:c>
      <x:c r="C169" s="48" t="str">
        <x:f>IF(Searches!$A$64&lt;&gt;"Yes","",Searches!$O$64)</x:f>
      </x:c>
      <x:c r="D169" s="48" t="str">
        <x:f>IF(Searches!$A$64&lt;&gt;"Yes","",Searches!$P$64)</x:f>
      </x:c>
      <x:c r="E169" s="48" t="str">
        <x:f>IF(Searches!$A$64&lt;&gt;"Yes","",Searches!$Q$64)</x:f>
      </x:c>
      <x:c r="F169" s="48" t="str">
        <x:f>IF(Searches!$A$64&lt;&gt;"Yes","",Searches!$R$64)</x:f>
      </x:c>
      <x:c r="G169" s="48" t="str">
        <x:f>IF(Searches!$A$64&lt;&gt;"Yes","",Searches!$E$64)</x:f>
      </x:c>
      <x:c r="H169" s="48" t="str">
        <x:f>IF(Searches!$A$64&lt;&gt;"Yes","",Searches!$N$64)</x:f>
      </x:c>
      <x:c r="I169" s="48" t="str">
        <x:f>IF(Searches!$A$64&lt;&gt;"Yes","",Searches!$B$64)</x:f>
      </x:c>
      <x:c r="J169" s="48" t="str">
        <x:f>IF(Searches!$A$64&lt;&gt;"Yes","",Searches!$K$64)</x:f>
      </x:c>
    </x:row>
    <x:row r="170">
      <x:c r="A170" s="48" t="str">
        <x:f>IF(Searches!$A$65&lt;&gt;"Yes","",Searches!$C$65)</x:f>
      </x:c>
      <x:c r="B170" s="48" t="str">
        <x:f>IF(Searches!$A$65&lt;&gt;"Yes","",Searches!$D$65)</x:f>
      </x:c>
      <x:c r="C170" s="48" t="str">
        <x:f>IF(Searches!$A$65&lt;&gt;"Yes","",Searches!$O$65)</x:f>
      </x:c>
      <x:c r="D170" s="48" t="str">
        <x:f>IF(Searches!$A$65&lt;&gt;"Yes","",Searches!$P$65)</x:f>
      </x:c>
      <x:c r="E170" s="48" t="str">
        <x:f>IF(Searches!$A$65&lt;&gt;"Yes","",Searches!$Q$65)</x:f>
      </x:c>
      <x:c r="F170" s="48" t="str">
        <x:f>IF(Searches!$A$65&lt;&gt;"Yes","",Searches!$R$65)</x:f>
      </x:c>
      <x:c r="G170" s="48" t="str">
        <x:f>IF(Searches!$A$65&lt;&gt;"Yes","",Searches!$E$65)</x:f>
      </x:c>
      <x:c r="H170" s="48" t="str">
        <x:f>IF(Searches!$A$65&lt;&gt;"Yes","",Searches!$N$65)</x:f>
      </x:c>
      <x:c r="I170" s="48" t="str">
        <x:f>IF(Searches!$A$65&lt;&gt;"Yes","",Searches!$B$65)</x:f>
      </x:c>
      <x:c r="J170" s="48" t="str">
        <x:f>IF(Searches!$A$65&lt;&gt;"Yes","",Searches!$K$65)</x:f>
      </x:c>
    </x:row>
    <x:row r="171">
      <x:c r="A171" s="48" t="str">
        <x:f>IF(Searches!$A$66&lt;&gt;"Yes","",Searches!$C$66)</x:f>
      </x:c>
      <x:c r="B171" s="48" t="str">
        <x:f>IF(Searches!$A$66&lt;&gt;"Yes","",Searches!$D$66)</x:f>
      </x:c>
      <x:c r="C171" s="48" t="str">
        <x:f>IF(Searches!$A$66&lt;&gt;"Yes","",Searches!$O$66)</x:f>
      </x:c>
      <x:c r="D171" s="48" t="str">
        <x:f>IF(Searches!$A$66&lt;&gt;"Yes","",Searches!$P$66)</x:f>
      </x:c>
      <x:c r="E171" s="48" t="str">
        <x:f>IF(Searches!$A$66&lt;&gt;"Yes","",Searches!$Q$66)</x:f>
      </x:c>
      <x:c r="F171" s="48" t="str">
        <x:f>IF(Searches!$A$66&lt;&gt;"Yes","",Searches!$R$66)</x:f>
      </x:c>
      <x:c r="G171" s="48" t="str">
        <x:f>IF(Searches!$A$66&lt;&gt;"Yes","",Searches!$E$66)</x:f>
      </x:c>
      <x:c r="H171" s="48" t="str">
        <x:f>IF(Searches!$A$66&lt;&gt;"Yes","",Searches!$N$66)</x:f>
      </x:c>
      <x:c r="I171" s="48" t="str">
        <x:f>IF(Searches!$A$66&lt;&gt;"Yes","",Searches!$B$66)</x:f>
      </x:c>
      <x:c r="J171" s="48" t="str">
        <x:f>IF(Searches!$A$66&lt;&gt;"Yes","",Searches!$K$66)</x:f>
      </x:c>
    </x:row>
    <x:row r="172">
      <x:c r="A172" s="48" t="str">
        <x:f>IF(Searches!$A$67&lt;&gt;"Yes","",Searches!$C$67)</x:f>
      </x:c>
      <x:c r="B172" s="48" t="str">
        <x:f>IF(Searches!$A$67&lt;&gt;"Yes","",Searches!$D$67)</x:f>
      </x:c>
      <x:c r="C172" s="48" t="str">
        <x:f>IF(Searches!$A$67&lt;&gt;"Yes","",Searches!$O$67)</x:f>
      </x:c>
      <x:c r="D172" s="48" t="str">
        <x:f>IF(Searches!$A$67&lt;&gt;"Yes","",Searches!$P$67)</x:f>
      </x:c>
      <x:c r="E172" s="48" t="str">
        <x:f>IF(Searches!$A$67&lt;&gt;"Yes","",Searches!$Q$67)</x:f>
      </x:c>
      <x:c r="F172" s="48" t="str">
        <x:f>IF(Searches!$A$67&lt;&gt;"Yes","",Searches!$R$67)</x:f>
      </x:c>
      <x:c r="G172" s="48" t="str">
        <x:f>IF(Searches!$A$67&lt;&gt;"Yes","",Searches!$E$67)</x:f>
      </x:c>
      <x:c r="H172" s="48" t="str">
        <x:f>IF(Searches!$A$67&lt;&gt;"Yes","",Searches!$N$67)</x:f>
      </x:c>
      <x:c r="I172" s="48" t="str">
        <x:f>IF(Searches!$A$67&lt;&gt;"Yes","",Searches!$B$67)</x:f>
      </x:c>
      <x:c r="J172" s="48" t="str">
        <x:f>IF(Searches!$A$67&lt;&gt;"Yes","",Searches!$K$67)</x:f>
      </x:c>
    </x:row>
    <x:row r="173">
      <x:c r="A173" s="48" t="str">
        <x:f>IF(Searches!$A$68&lt;&gt;"Yes","",Searches!$C$68)</x:f>
      </x:c>
      <x:c r="B173" s="48" t="str">
        <x:f>IF(Searches!$A$68&lt;&gt;"Yes","",Searches!$D$68)</x:f>
      </x:c>
      <x:c r="C173" s="48" t="str">
        <x:f>IF(Searches!$A$68&lt;&gt;"Yes","",Searches!$O$68)</x:f>
      </x:c>
      <x:c r="D173" s="48" t="str">
        <x:f>IF(Searches!$A$68&lt;&gt;"Yes","",Searches!$P$68)</x:f>
      </x:c>
      <x:c r="E173" s="48" t="str">
        <x:f>IF(Searches!$A$68&lt;&gt;"Yes","",Searches!$Q$68)</x:f>
      </x:c>
      <x:c r="F173" s="48" t="str">
        <x:f>IF(Searches!$A$68&lt;&gt;"Yes","",Searches!$R$68)</x:f>
      </x:c>
      <x:c r="G173" s="48" t="str">
        <x:f>IF(Searches!$A$68&lt;&gt;"Yes","",Searches!$E$68)</x:f>
      </x:c>
      <x:c r="H173" s="48" t="str">
        <x:f>IF(Searches!$A$68&lt;&gt;"Yes","",Searches!$N$68)</x:f>
      </x:c>
      <x:c r="I173" s="48" t="str">
        <x:f>IF(Searches!$A$68&lt;&gt;"Yes","",Searches!$B$68)</x:f>
      </x:c>
      <x:c r="J173" s="48" t="str">
        <x:f>IF(Searches!$A$68&lt;&gt;"Yes","",Searches!$K$68)</x:f>
      </x:c>
    </x:row>
    <x:row r="174">
      <x:c r="A174" s="48" t="str">
        <x:f>IF(Searches!$A$69&lt;&gt;"Yes","",Searches!$C$69)</x:f>
      </x:c>
      <x:c r="B174" s="48" t="str">
        <x:f>IF(Searches!$A$69&lt;&gt;"Yes","",Searches!$D$69)</x:f>
      </x:c>
      <x:c r="C174" s="48" t="str">
        <x:f>IF(Searches!$A$69&lt;&gt;"Yes","",Searches!$O$69)</x:f>
      </x:c>
      <x:c r="D174" s="48" t="str">
        <x:f>IF(Searches!$A$69&lt;&gt;"Yes","",Searches!$P$69)</x:f>
      </x:c>
      <x:c r="E174" s="48" t="str">
        <x:f>IF(Searches!$A$69&lt;&gt;"Yes","",Searches!$Q$69)</x:f>
      </x:c>
      <x:c r="F174" s="48" t="str">
        <x:f>IF(Searches!$A$69&lt;&gt;"Yes","",Searches!$R$69)</x:f>
      </x:c>
      <x:c r="G174" s="48" t="str">
        <x:f>IF(Searches!$A$69&lt;&gt;"Yes","",Searches!$E$69)</x:f>
      </x:c>
      <x:c r="H174" s="48" t="str">
        <x:f>IF(Searches!$A$69&lt;&gt;"Yes","",Searches!$N$69)</x:f>
      </x:c>
      <x:c r="I174" s="48" t="str">
        <x:f>IF(Searches!$A$69&lt;&gt;"Yes","",Searches!$B$69)</x:f>
      </x:c>
      <x:c r="J174" s="48" t="str">
        <x:f>IF(Searches!$A$69&lt;&gt;"Yes","",Searches!$K$69)</x:f>
      </x:c>
    </x:row>
    <x:row r="175">
      <x:c r="A175" s="48" t="str">
        <x:f>IF(Searches!$A$70&lt;&gt;"Yes","",Searches!$C$70)</x:f>
      </x:c>
      <x:c r="B175" s="48" t="str">
        <x:f>IF(Searches!$A$70&lt;&gt;"Yes","",Searches!$D$70)</x:f>
      </x:c>
      <x:c r="C175" s="48" t="str">
        <x:f>IF(Searches!$A$70&lt;&gt;"Yes","",Searches!$O$70)</x:f>
      </x:c>
      <x:c r="D175" s="48" t="str">
        <x:f>IF(Searches!$A$70&lt;&gt;"Yes","",Searches!$P$70)</x:f>
      </x:c>
      <x:c r="E175" s="48" t="str">
        <x:f>IF(Searches!$A$70&lt;&gt;"Yes","",Searches!$Q$70)</x:f>
      </x:c>
      <x:c r="F175" s="48" t="str">
        <x:f>IF(Searches!$A$70&lt;&gt;"Yes","",Searches!$R$70)</x:f>
      </x:c>
      <x:c r="G175" s="48" t="str">
        <x:f>IF(Searches!$A$70&lt;&gt;"Yes","",Searches!$E$70)</x:f>
      </x:c>
      <x:c r="H175" s="48" t="str">
        <x:f>IF(Searches!$A$70&lt;&gt;"Yes","",Searches!$N$70)</x:f>
      </x:c>
      <x:c r="I175" s="48" t="str">
        <x:f>IF(Searches!$A$70&lt;&gt;"Yes","",Searches!$B$70)</x:f>
      </x:c>
      <x:c r="J175" s="48" t="str">
        <x:f>IF(Searches!$A$70&lt;&gt;"Yes","",Searches!$K$70)</x:f>
      </x:c>
    </x:row>
    <x:row r="176">
      <x:c r="A176" s="48" t="str">
        <x:f>IF(Searches!$A$71&lt;&gt;"Yes","",Searches!$C$71)</x:f>
      </x:c>
      <x:c r="B176" s="48" t="str">
        <x:f>IF(Searches!$A$71&lt;&gt;"Yes","",Searches!$D$71)</x:f>
      </x:c>
      <x:c r="C176" s="48" t="str">
        <x:f>IF(Searches!$A$71&lt;&gt;"Yes","",Searches!$O$71)</x:f>
      </x:c>
      <x:c r="D176" s="48" t="str">
        <x:f>IF(Searches!$A$71&lt;&gt;"Yes","",Searches!$P$71)</x:f>
      </x:c>
      <x:c r="E176" s="48" t="str">
        <x:f>IF(Searches!$A$71&lt;&gt;"Yes","",Searches!$Q$71)</x:f>
      </x:c>
      <x:c r="F176" s="48" t="str">
        <x:f>IF(Searches!$A$71&lt;&gt;"Yes","",Searches!$R$71)</x:f>
      </x:c>
      <x:c r="G176" s="48" t="str">
        <x:f>IF(Searches!$A$71&lt;&gt;"Yes","",Searches!$E$71)</x:f>
      </x:c>
      <x:c r="H176" s="48" t="str">
        <x:f>IF(Searches!$A$71&lt;&gt;"Yes","",Searches!$N$71)</x:f>
      </x:c>
      <x:c r="I176" s="48" t="str">
        <x:f>IF(Searches!$A$71&lt;&gt;"Yes","",Searches!$B$71)</x:f>
      </x:c>
      <x:c r="J176" s="48" t="str">
        <x:f>IF(Searches!$A$71&lt;&gt;"Yes","",Searches!$K$71)</x:f>
      </x:c>
    </x:row>
    <x:row r="177">
      <x:c r="A177" s="48" t="str">
        <x:f>IF(Searches!$A$72&lt;&gt;"Yes","",Searches!$C$72)</x:f>
      </x:c>
      <x:c r="B177" s="48" t="str">
        <x:f>IF(Searches!$A$72&lt;&gt;"Yes","",Searches!$D$72)</x:f>
      </x:c>
      <x:c r="C177" s="48" t="str">
        <x:f>IF(Searches!$A$72&lt;&gt;"Yes","",Searches!$O$72)</x:f>
      </x:c>
      <x:c r="D177" s="48" t="str">
        <x:f>IF(Searches!$A$72&lt;&gt;"Yes","",Searches!$P$72)</x:f>
      </x:c>
      <x:c r="E177" s="48" t="str">
        <x:f>IF(Searches!$A$72&lt;&gt;"Yes","",Searches!$Q$72)</x:f>
      </x:c>
      <x:c r="F177" s="48" t="str">
        <x:f>IF(Searches!$A$72&lt;&gt;"Yes","",Searches!$R$72)</x:f>
      </x:c>
      <x:c r="G177" s="48" t="str">
        <x:f>IF(Searches!$A$72&lt;&gt;"Yes","",Searches!$E$72)</x:f>
      </x:c>
      <x:c r="H177" s="48" t="str">
        <x:f>IF(Searches!$A$72&lt;&gt;"Yes","",Searches!$N$72)</x:f>
      </x:c>
      <x:c r="I177" s="48" t="str">
        <x:f>IF(Searches!$A$72&lt;&gt;"Yes","",Searches!$B$72)</x:f>
      </x:c>
      <x:c r="J177" s="48" t="str">
        <x:f>IF(Searches!$A$72&lt;&gt;"Yes","",Searches!$K$72)</x:f>
      </x:c>
    </x:row>
    <x:row r="178">
      <x:c r="A178" s="48" t="str">
        <x:f>IF(Searches!$A$73&lt;&gt;"Yes","",Searches!$C$73)</x:f>
      </x:c>
      <x:c r="B178" s="48" t="str">
        <x:f>IF(Searches!$A$73&lt;&gt;"Yes","",Searches!$D$73)</x:f>
      </x:c>
      <x:c r="C178" s="48" t="str">
        <x:f>IF(Searches!$A$73&lt;&gt;"Yes","",Searches!$O$73)</x:f>
      </x:c>
      <x:c r="D178" s="48" t="str">
        <x:f>IF(Searches!$A$73&lt;&gt;"Yes","",Searches!$P$73)</x:f>
      </x:c>
      <x:c r="E178" s="48" t="str">
        <x:f>IF(Searches!$A$73&lt;&gt;"Yes","",Searches!$Q$73)</x:f>
      </x:c>
      <x:c r="F178" s="48" t="str">
        <x:f>IF(Searches!$A$73&lt;&gt;"Yes","",Searches!$R$73)</x:f>
      </x:c>
      <x:c r="G178" s="48" t="str">
        <x:f>IF(Searches!$A$73&lt;&gt;"Yes","",Searches!$E$73)</x:f>
      </x:c>
      <x:c r="H178" s="48" t="str">
        <x:f>IF(Searches!$A$73&lt;&gt;"Yes","",Searches!$N$73)</x:f>
      </x:c>
      <x:c r="I178" s="48" t="str">
        <x:f>IF(Searches!$A$73&lt;&gt;"Yes","",Searches!$B$73)</x:f>
      </x:c>
      <x:c r="J178" s="48" t="str">
        <x:f>IF(Searches!$A$73&lt;&gt;"Yes","",Searches!$K$73)</x:f>
      </x:c>
    </x:row>
    <x:row r="179">
      <x:c r="A179" s="48" t="str">
        <x:f>IF(Searches!$A$74&lt;&gt;"Yes","",Searches!$C$74)</x:f>
      </x:c>
      <x:c r="B179" s="48" t="str">
        <x:f>IF(Searches!$A$74&lt;&gt;"Yes","",Searches!$D$74)</x:f>
      </x:c>
      <x:c r="C179" s="48" t="str">
        <x:f>IF(Searches!$A$74&lt;&gt;"Yes","",Searches!$O$74)</x:f>
      </x:c>
      <x:c r="D179" s="48" t="str">
        <x:f>IF(Searches!$A$74&lt;&gt;"Yes","",Searches!$P$74)</x:f>
      </x:c>
      <x:c r="E179" s="48" t="str">
        <x:f>IF(Searches!$A$74&lt;&gt;"Yes","",Searches!$Q$74)</x:f>
      </x:c>
      <x:c r="F179" s="48" t="str">
        <x:f>IF(Searches!$A$74&lt;&gt;"Yes","",Searches!$R$74)</x:f>
      </x:c>
      <x:c r="G179" s="48" t="str">
        <x:f>IF(Searches!$A$74&lt;&gt;"Yes","",Searches!$E$74)</x:f>
      </x:c>
      <x:c r="H179" s="48" t="str">
        <x:f>IF(Searches!$A$74&lt;&gt;"Yes","",Searches!$N$74)</x:f>
      </x:c>
      <x:c r="I179" s="48" t="str">
        <x:f>IF(Searches!$A$74&lt;&gt;"Yes","",Searches!$B$74)</x:f>
      </x:c>
      <x:c r="J179" s="48" t="str">
        <x:f>IF(Searches!$A$74&lt;&gt;"Yes","",Searches!$K$74)</x:f>
      </x:c>
    </x:row>
    <x:row r="180">
      <x:c r="A180" s="48" t="str">
        <x:f>IF(Searches!$A$75&lt;&gt;"Yes","",Searches!$C$75)</x:f>
      </x:c>
      <x:c r="B180" s="48" t="str">
        <x:f>IF(Searches!$A$75&lt;&gt;"Yes","",Searches!$D$75)</x:f>
      </x:c>
      <x:c r="C180" s="48" t="str">
        <x:f>IF(Searches!$A$75&lt;&gt;"Yes","",Searches!$O$75)</x:f>
      </x:c>
      <x:c r="D180" s="48" t="str">
        <x:f>IF(Searches!$A$75&lt;&gt;"Yes","",Searches!$P$75)</x:f>
      </x:c>
      <x:c r="E180" s="48" t="str">
        <x:f>IF(Searches!$A$75&lt;&gt;"Yes","",Searches!$Q$75)</x:f>
      </x:c>
      <x:c r="F180" s="48" t="str">
        <x:f>IF(Searches!$A$75&lt;&gt;"Yes","",Searches!$R$75)</x:f>
      </x:c>
      <x:c r="G180" s="48" t="str">
        <x:f>IF(Searches!$A$75&lt;&gt;"Yes","",Searches!$E$75)</x:f>
      </x:c>
      <x:c r="H180" s="48" t="str">
        <x:f>IF(Searches!$A$75&lt;&gt;"Yes","",Searches!$N$75)</x:f>
      </x:c>
      <x:c r="I180" s="48" t="str">
        <x:f>IF(Searches!$A$75&lt;&gt;"Yes","",Searches!$B$75)</x:f>
      </x:c>
      <x:c r="J180" s="48" t="str">
        <x:f>IF(Searches!$A$75&lt;&gt;"Yes","",Searches!$K$75)</x:f>
      </x:c>
    </x:row>
    <x:row r="181">
      <x:c r="A181" s="48" t="str">
        <x:f>IF(Searches!$A$76&lt;&gt;"Yes","",Searches!$C$76)</x:f>
      </x:c>
      <x:c r="B181" s="48" t="str">
        <x:f>IF(Searches!$A$76&lt;&gt;"Yes","",Searches!$D$76)</x:f>
      </x:c>
      <x:c r="C181" s="48" t="str">
        <x:f>IF(Searches!$A$76&lt;&gt;"Yes","",Searches!$O$76)</x:f>
      </x:c>
      <x:c r="D181" s="48" t="str">
        <x:f>IF(Searches!$A$76&lt;&gt;"Yes","",Searches!$P$76)</x:f>
      </x:c>
      <x:c r="E181" s="48" t="str">
        <x:f>IF(Searches!$A$76&lt;&gt;"Yes","",Searches!$Q$76)</x:f>
      </x:c>
      <x:c r="F181" s="48" t="str">
        <x:f>IF(Searches!$A$76&lt;&gt;"Yes","",Searches!$R$76)</x:f>
      </x:c>
      <x:c r="G181" s="48" t="str">
        <x:f>IF(Searches!$A$76&lt;&gt;"Yes","",Searches!$E$76)</x:f>
      </x:c>
      <x:c r="H181" s="48" t="str">
        <x:f>IF(Searches!$A$76&lt;&gt;"Yes","",Searches!$N$76)</x:f>
      </x:c>
      <x:c r="I181" s="48" t="str">
        <x:f>IF(Searches!$A$76&lt;&gt;"Yes","",Searches!$B$76)</x:f>
      </x:c>
      <x:c r="J181" s="48" t="str">
        <x:f>IF(Searches!$A$76&lt;&gt;"Yes","",Searches!$K$76)</x:f>
      </x:c>
    </x:row>
    <x:row r="182">
      <x:c r="A182" s="48" t="str">
        <x:f>IF(Searches!$A$77&lt;&gt;"Yes","",Searches!$C$77)</x:f>
      </x:c>
      <x:c r="B182" s="48" t="str">
        <x:f>IF(Searches!$A$77&lt;&gt;"Yes","",Searches!$D$77)</x:f>
      </x:c>
      <x:c r="C182" s="48" t="str">
        <x:f>IF(Searches!$A$77&lt;&gt;"Yes","",Searches!$O$77)</x:f>
      </x:c>
      <x:c r="D182" s="48" t="str">
        <x:f>IF(Searches!$A$77&lt;&gt;"Yes","",Searches!$P$77)</x:f>
      </x:c>
      <x:c r="E182" s="48" t="str">
        <x:f>IF(Searches!$A$77&lt;&gt;"Yes","",Searches!$Q$77)</x:f>
      </x:c>
      <x:c r="F182" s="48" t="str">
        <x:f>IF(Searches!$A$77&lt;&gt;"Yes","",Searches!$R$77)</x:f>
      </x:c>
      <x:c r="G182" s="48" t="str">
        <x:f>IF(Searches!$A$77&lt;&gt;"Yes","",Searches!$E$77)</x:f>
      </x:c>
      <x:c r="H182" s="48" t="str">
        <x:f>IF(Searches!$A$77&lt;&gt;"Yes","",Searches!$N$77)</x:f>
      </x:c>
      <x:c r="I182" s="48" t="str">
        <x:f>IF(Searches!$A$77&lt;&gt;"Yes","",Searches!$B$77)</x:f>
      </x:c>
      <x:c r="J182" s="48" t="str">
        <x:f>IF(Searches!$A$77&lt;&gt;"Yes","",Searches!$K$77)</x:f>
      </x:c>
    </x:row>
    <x:row r="183">
      <x:c r="A183" s="48" t="str">
        <x:f>IF(Searches!$A$78&lt;&gt;"Yes","",Searches!$C$78)</x:f>
      </x:c>
      <x:c r="B183" s="48" t="str">
        <x:f>IF(Searches!$A$78&lt;&gt;"Yes","",Searches!$D$78)</x:f>
      </x:c>
      <x:c r="C183" s="48" t="str">
        <x:f>IF(Searches!$A$78&lt;&gt;"Yes","",Searches!$O$78)</x:f>
      </x:c>
      <x:c r="D183" s="48" t="str">
        <x:f>IF(Searches!$A$78&lt;&gt;"Yes","",Searches!$P$78)</x:f>
      </x:c>
      <x:c r="E183" s="48" t="str">
        <x:f>IF(Searches!$A$78&lt;&gt;"Yes","",Searches!$Q$78)</x:f>
      </x:c>
      <x:c r="F183" s="48" t="str">
        <x:f>IF(Searches!$A$78&lt;&gt;"Yes","",Searches!$R$78)</x:f>
      </x:c>
      <x:c r="G183" s="48" t="str">
        <x:f>IF(Searches!$A$78&lt;&gt;"Yes","",Searches!$E$78)</x:f>
      </x:c>
      <x:c r="H183" s="48" t="str">
        <x:f>IF(Searches!$A$78&lt;&gt;"Yes","",Searches!$N$78)</x:f>
      </x:c>
      <x:c r="I183" s="48" t="str">
        <x:f>IF(Searches!$A$78&lt;&gt;"Yes","",Searches!$B$78)</x:f>
      </x:c>
      <x:c r="J183" s="48" t="str">
        <x:f>IF(Searches!$A$78&lt;&gt;"Yes","",Searches!$K$78)</x:f>
      </x:c>
    </x:row>
    <x:row r="184">
      <x:c r="A184" s="48" t="str">
        <x:f>IF(Searches!$A$79&lt;&gt;"Yes","",Searches!$C$79)</x:f>
      </x:c>
      <x:c r="B184" s="48" t="str">
        <x:f>IF(Searches!$A$79&lt;&gt;"Yes","",Searches!$D$79)</x:f>
      </x:c>
      <x:c r="C184" s="48" t="str">
        <x:f>IF(Searches!$A$79&lt;&gt;"Yes","",Searches!$O$79)</x:f>
      </x:c>
      <x:c r="D184" s="48" t="str">
        <x:f>IF(Searches!$A$79&lt;&gt;"Yes","",Searches!$P$79)</x:f>
      </x:c>
      <x:c r="E184" s="48" t="str">
        <x:f>IF(Searches!$A$79&lt;&gt;"Yes","",Searches!$Q$79)</x:f>
      </x:c>
      <x:c r="F184" s="48" t="str">
        <x:f>IF(Searches!$A$79&lt;&gt;"Yes","",Searches!$R$79)</x:f>
      </x:c>
      <x:c r="G184" s="48" t="str">
        <x:f>IF(Searches!$A$79&lt;&gt;"Yes","",Searches!$E$79)</x:f>
      </x:c>
      <x:c r="H184" s="48" t="str">
        <x:f>IF(Searches!$A$79&lt;&gt;"Yes","",Searches!$N$79)</x:f>
      </x:c>
      <x:c r="I184" s="48" t="str">
        <x:f>IF(Searches!$A$79&lt;&gt;"Yes","",Searches!$B$79)</x:f>
      </x:c>
      <x:c r="J184" s="48" t="str">
        <x:f>IF(Searches!$A$79&lt;&gt;"Yes","",Searches!$K$79)</x:f>
      </x:c>
    </x:row>
    <x:row r="185">
      <x:c r="A185" s="48" t="str">
        <x:f>IF(Searches!$A$80&lt;&gt;"Yes","",Searches!$C$80)</x:f>
      </x:c>
      <x:c r="B185" s="48" t="str">
        <x:f>IF(Searches!$A$80&lt;&gt;"Yes","",Searches!$D$80)</x:f>
      </x:c>
      <x:c r="C185" s="48" t="str">
        <x:f>IF(Searches!$A$80&lt;&gt;"Yes","",Searches!$O$80)</x:f>
      </x:c>
      <x:c r="D185" s="48" t="str">
        <x:f>IF(Searches!$A$80&lt;&gt;"Yes","",Searches!$P$80)</x:f>
      </x:c>
      <x:c r="E185" s="48" t="str">
        <x:f>IF(Searches!$A$80&lt;&gt;"Yes","",Searches!$Q$80)</x:f>
      </x:c>
      <x:c r="F185" s="48" t="str">
        <x:f>IF(Searches!$A$80&lt;&gt;"Yes","",Searches!$R$80)</x:f>
      </x:c>
      <x:c r="G185" s="48" t="str">
        <x:f>IF(Searches!$A$80&lt;&gt;"Yes","",Searches!$E$80)</x:f>
      </x:c>
      <x:c r="H185" s="48" t="str">
        <x:f>IF(Searches!$A$80&lt;&gt;"Yes","",Searches!$N$80)</x:f>
      </x:c>
      <x:c r="I185" s="48" t="str">
        <x:f>IF(Searches!$A$80&lt;&gt;"Yes","",Searches!$B$80)</x:f>
      </x:c>
      <x:c r="J185" s="48" t="str">
        <x:f>IF(Searches!$A$80&lt;&gt;"Yes","",Searches!$K$80)</x:f>
      </x:c>
    </x:row>
    <x:row r="186">
      <x:c r="A186" s="48" t="str">
        <x:f>IF(Searches!$A$81&lt;&gt;"Yes","",Searches!$C$81)</x:f>
      </x:c>
      <x:c r="B186" s="48" t="str">
        <x:f>IF(Searches!$A$81&lt;&gt;"Yes","",Searches!$D$81)</x:f>
      </x:c>
      <x:c r="C186" s="48" t="str">
        <x:f>IF(Searches!$A$81&lt;&gt;"Yes","",Searches!$O$81)</x:f>
      </x:c>
      <x:c r="D186" s="48" t="str">
        <x:f>IF(Searches!$A$81&lt;&gt;"Yes","",Searches!$P$81)</x:f>
      </x:c>
      <x:c r="E186" s="48" t="str">
        <x:f>IF(Searches!$A$81&lt;&gt;"Yes","",Searches!$Q$81)</x:f>
      </x:c>
      <x:c r="F186" s="48" t="str">
        <x:f>IF(Searches!$A$81&lt;&gt;"Yes","",Searches!$R$81)</x:f>
      </x:c>
      <x:c r="G186" s="48" t="str">
        <x:f>IF(Searches!$A$81&lt;&gt;"Yes","",Searches!$E$81)</x:f>
      </x:c>
      <x:c r="H186" s="48" t="str">
        <x:f>IF(Searches!$A$81&lt;&gt;"Yes","",Searches!$N$81)</x:f>
      </x:c>
      <x:c r="I186" s="48" t="str">
        <x:f>IF(Searches!$A$81&lt;&gt;"Yes","",Searches!$B$81)</x:f>
      </x:c>
      <x:c r="J186" s="48" t="str">
        <x:f>IF(Searches!$A$81&lt;&gt;"Yes","",Searches!$K$81)</x:f>
      </x:c>
    </x:row>
    <x:row r="187">
      <x:c r="A187" s="48" t="str">
        <x:f>IF(Searches!$A$82&lt;&gt;"Yes","",Searches!$C$82)</x:f>
      </x:c>
      <x:c r="B187" s="48" t="str">
        <x:f>IF(Searches!$A$82&lt;&gt;"Yes","",Searches!$D$82)</x:f>
      </x:c>
      <x:c r="C187" s="48" t="str">
        <x:f>IF(Searches!$A$82&lt;&gt;"Yes","",Searches!$O$82)</x:f>
      </x:c>
      <x:c r="D187" s="48" t="str">
        <x:f>IF(Searches!$A$82&lt;&gt;"Yes","",Searches!$P$82)</x:f>
      </x:c>
      <x:c r="E187" s="48" t="str">
        <x:f>IF(Searches!$A$82&lt;&gt;"Yes","",Searches!$Q$82)</x:f>
      </x:c>
      <x:c r="F187" s="48" t="str">
        <x:f>IF(Searches!$A$82&lt;&gt;"Yes","",Searches!$R$82)</x:f>
      </x:c>
      <x:c r="G187" s="48" t="str">
        <x:f>IF(Searches!$A$82&lt;&gt;"Yes","",Searches!$E$82)</x:f>
      </x:c>
      <x:c r="H187" s="48" t="str">
        <x:f>IF(Searches!$A$82&lt;&gt;"Yes","",Searches!$N$82)</x:f>
      </x:c>
      <x:c r="I187" s="48" t="str">
        <x:f>IF(Searches!$A$82&lt;&gt;"Yes","",Searches!$B$82)</x:f>
      </x:c>
      <x:c r="J187" s="48" t="str">
        <x:f>IF(Searches!$A$82&lt;&gt;"Yes","",Searches!$K$82)</x:f>
      </x:c>
    </x:row>
    <x:row r="188">
      <x:c r="A188" s="48" t="str">
        <x:f>IF(Searches!$A$83&lt;&gt;"Yes","",Searches!$C$83)</x:f>
      </x:c>
      <x:c r="B188" s="48" t="str">
        <x:f>IF(Searches!$A$83&lt;&gt;"Yes","",Searches!$D$83)</x:f>
      </x:c>
      <x:c r="C188" s="48" t="str">
        <x:f>IF(Searches!$A$83&lt;&gt;"Yes","",Searches!$O$83)</x:f>
      </x:c>
      <x:c r="D188" s="48" t="str">
        <x:f>IF(Searches!$A$83&lt;&gt;"Yes","",Searches!$P$83)</x:f>
      </x:c>
      <x:c r="E188" s="48" t="str">
        <x:f>IF(Searches!$A$83&lt;&gt;"Yes","",Searches!$Q$83)</x:f>
      </x:c>
      <x:c r="F188" s="48" t="str">
        <x:f>IF(Searches!$A$83&lt;&gt;"Yes","",Searches!$R$83)</x:f>
      </x:c>
      <x:c r="G188" s="48" t="str">
        <x:f>IF(Searches!$A$83&lt;&gt;"Yes","",Searches!$E$83)</x:f>
      </x:c>
      <x:c r="H188" s="48" t="str">
        <x:f>IF(Searches!$A$83&lt;&gt;"Yes","",Searches!$N$83)</x:f>
      </x:c>
      <x:c r="I188" s="48" t="str">
        <x:f>IF(Searches!$A$83&lt;&gt;"Yes","",Searches!$B$83)</x:f>
      </x:c>
      <x:c r="J188" s="48" t="str">
        <x:f>IF(Searches!$A$83&lt;&gt;"Yes","",Searches!$K$83)</x:f>
      </x:c>
    </x:row>
    <x:row r="189">
      <x:c r="A189" s="48" t="str">
        <x:f>IF(Searches!$A$84&lt;&gt;"Yes","",Searches!$C$84)</x:f>
      </x:c>
      <x:c r="B189" s="48" t="str">
        <x:f>IF(Searches!$A$84&lt;&gt;"Yes","",Searches!$D$84)</x:f>
      </x:c>
      <x:c r="C189" s="48" t="str">
        <x:f>IF(Searches!$A$84&lt;&gt;"Yes","",Searches!$O$84)</x:f>
      </x:c>
      <x:c r="D189" s="48" t="str">
        <x:f>IF(Searches!$A$84&lt;&gt;"Yes","",Searches!$P$84)</x:f>
      </x:c>
      <x:c r="E189" s="48" t="str">
        <x:f>IF(Searches!$A$84&lt;&gt;"Yes","",Searches!$Q$84)</x:f>
      </x:c>
      <x:c r="F189" s="48" t="str">
        <x:f>IF(Searches!$A$84&lt;&gt;"Yes","",Searches!$R$84)</x:f>
      </x:c>
      <x:c r="G189" s="48" t="str">
        <x:f>IF(Searches!$A$84&lt;&gt;"Yes","",Searches!$E$84)</x:f>
      </x:c>
      <x:c r="H189" s="48" t="str">
        <x:f>IF(Searches!$A$84&lt;&gt;"Yes","",Searches!$N$84)</x:f>
      </x:c>
      <x:c r="I189" s="48" t="str">
        <x:f>IF(Searches!$A$84&lt;&gt;"Yes","",Searches!$B$84)</x:f>
      </x:c>
      <x:c r="J189" s="48" t="str">
        <x:f>IF(Searches!$A$84&lt;&gt;"Yes","",Searches!$K$84)</x:f>
      </x:c>
    </x:row>
    <x:row r="190">
      <x:c r="A190" s="48" t="str">
        <x:f>IF(Searches!$A$85&lt;&gt;"Yes","",Searches!$C$85)</x:f>
      </x:c>
      <x:c r="B190" s="48" t="str">
        <x:f>IF(Searches!$A$85&lt;&gt;"Yes","",Searches!$D$85)</x:f>
      </x:c>
      <x:c r="C190" s="48" t="str">
        <x:f>IF(Searches!$A$85&lt;&gt;"Yes","",Searches!$O$85)</x:f>
      </x:c>
      <x:c r="D190" s="48" t="str">
        <x:f>IF(Searches!$A$85&lt;&gt;"Yes","",Searches!$P$85)</x:f>
      </x:c>
      <x:c r="E190" s="48" t="str">
        <x:f>IF(Searches!$A$85&lt;&gt;"Yes","",Searches!$Q$85)</x:f>
      </x:c>
      <x:c r="F190" s="48" t="str">
        <x:f>IF(Searches!$A$85&lt;&gt;"Yes","",Searches!$R$85)</x:f>
      </x:c>
      <x:c r="G190" s="48" t="str">
        <x:f>IF(Searches!$A$85&lt;&gt;"Yes","",Searches!$E$85)</x:f>
      </x:c>
      <x:c r="H190" s="48" t="str">
        <x:f>IF(Searches!$A$85&lt;&gt;"Yes","",Searches!$N$85)</x:f>
      </x:c>
      <x:c r="I190" s="48" t="str">
        <x:f>IF(Searches!$A$85&lt;&gt;"Yes","",Searches!$B$85)</x:f>
      </x:c>
      <x:c r="J190" s="48" t="str">
        <x:f>IF(Searches!$A$85&lt;&gt;"Yes","",Searches!$K$85)</x:f>
      </x:c>
    </x:row>
    <x:row r="191">
      <x:c r="A191" s="48" t="str">
        <x:f>IF(Searches!$A$86&lt;&gt;"Yes","",Searches!$C$86)</x:f>
      </x:c>
      <x:c r="B191" s="48" t="str">
        <x:f>IF(Searches!$A$86&lt;&gt;"Yes","",Searches!$D$86)</x:f>
      </x:c>
      <x:c r="C191" s="48" t="str">
        <x:f>IF(Searches!$A$86&lt;&gt;"Yes","",Searches!$O$86)</x:f>
      </x:c>
      <x:c r="D191" s="48" t="str">
        <x:f>IF(Searches!$A$86&lt;&gt;"Yes","",Searches!$P$86)</x:f>
      </x:c>
      <x:c r="E191" s="48" t="str">
        <x:f>IF(Searches!$A$86&lt;&gt;"Yes","",Searches!$Q$86)</x:f>
      </x:c>
      <x:c r="F191" s="48" t="str">
        <x:f>IF(Searches!$A$86&lt;&gt;"Yes","",Searches!$R$86)</x:f>
      </x:c>
      <x:c r="G191" s="48" t="str">
        <x:f>IF(Searches!$A$86&lt;&gt;"Yes","",Searches!$E$86)</x:f>
      </x:c>
      <x:c r="H191" s="48" t="str">
        <x:f>IF(Searches!$A$86&lt;&gt;"Yes","",Searches!$N$86)</x:f>
      </x:c>
      <x:c r="I191" s="48" t="str">
        <x:f>IF(Searches!$A$86&lt;&gt;"Yes","",Searches!$B$86)</x:f>
      </x:c>
      <x:c r="J191" s="48" t="str">
        <x:f>IF(Searches!$A$86&lt;&gt;"Yes","",Searches!$K$86)</x:f>
      </x:c>
    </x:row>
    <x:row r="192">
      <x:c r="A192" s="48" t="str">
        <x:f>IF(Searches!$A$87&lt;&gt;"Yes","",Searches!$C$87)</x:f>
      </x:c>
      <x:c r="B192" s="48" t="str">
        <x:f>IF(Searches!$A$87&lt;&gt;"Yes","",Searches!$D$87)</x:f>
      </x:c>
      <x:c r="C192" s="48" t="str">
        <x:f>IF(Searches!$A$87&lt;&gt;"Yes","",Searches!$O$87)</x:f>
      </x:c>
      <x:c r="D192" s="48" t="str">
        <x:f>IF(Searches!$A$87&lt;&gt;"Yes","",Searches!$P$87)</x:f>
      </x:c>
      <x:c r="E192" s="48" t="str">
        <x:f>IF(Searches!$A$87&lt;&gt;"Yes","",Searches!$Q$87)</x:f>
      </x:c>
      <x:c r="F192" s="48" t="str">
        <x:f>IF(Searches!$A$87&lt;&gt;"Yes","",Searches!$R$87)</x:f>
      </x:c>
      <x:c r="G192" s="48" t="str">
        <x:f>IF(Searches!$A$87&lt;&gt;"Yes","",Searches!$E$87)</x:f>
      </x:c>
      <x:c r="H192" s="48" t="str">
        <x:f>IF(Searches!$A$87&lt;&gt;"Yes","",Searches!$N$87)</x:f>
      </x:c>
      <x:c r="I192" s="48" t="str">
        <x:f>IF(Searches!$A$87&lt;&gt;"Yes","",Searches!$B$87)</x:f>
      </x:c>
      <x:c r="J192" s="48" t="str">
        <x:f>IF(Searches!$A$87&lt;&gt;"Yes","",Searches!$K$87)</x:f>
      </x:c>
    </x:row>
    <x:row r="193">
      <x:c r="A193" s="48" t="str">
        <x:f>IF(Searches!$A$88&lt;&gt;"Yes","",Searches!$C$88)</x:f>
      </x:c>
      <x:c r="B193" s="48" t="str">
        <x:f>IF(Searches!$A$88&lt;&gt;"Yes","",Searches!$D$88)</x:f>
      </x:c>
      <x:c r="C193" s="48" t="str">
        <x:f>IF(Searches!$A$88&lt;&gt;"Yes","",Searches!$O$88)</x:f>
      </x:c>
      <x:c r="D193" s="48" t="str">
        <x:f>IF(Searches!$A$88&lt;&gt;"Yes","",Searches!$P$88)</x:f>
      </x:c>
      <x:c r="E193" s="48" t="str">
        <x:f>IF(Searches!$A$88&lt;&gt;"Yes","",Searches!$Q$88)</x:f>
      </x:c>
      <x:c r="F193" s="48" t="str">
        <x:f>IF(Searches!$A$88&lt;&gt;"Yes","",Searches!$R$88)</x:f>
      </x:c>
      <x:c r="G193" s="48" t="str">
        <x:f>IF(Searches!$A$88&lt;&gt;"Yes","",Searches!$E$88)</x:f>
      </x:c>
      <x:c r="H193" s="48" t="str">
        <x:f>IF(Searches!$A$88&lt;&gt;"Yes","",Searches!$N$88)</x:f>
      </x:c>
      <x:c r="I193" s="48" t="str">
        <x:f>IF(Searches!$A$88&lt;&gt;"Yes","",Searches!$B$88)</x:f>
      </x:c>
      <x:c r="J193" s="48" t="str">
        <x:f>IF(Searches!$A$88&lt;&gt;"Yes","",Searches!$K$88)</x:f>
      </x:c>
    </x:row>
    <x:row r="194">
      <x:c r="A194" s="48" t="str">
        <x:f>IF(Searches!$A$89&lt;&gt;"Yes","",Searches!$C$89)</x:f>
      </x:c>
      <x:c r="B194" s="48" t="str">
        <x:f>IF(Searches!$A$89&lt;&gt;"Yes","",Searches!$D$89)</x:f>
      </x:c>
      <x:c r="C194" s="48" t="str">
        <x:f>IF(Searches!$A$89&lt;&gt;"Yes","",Searches!$O$89)</x:f>
      </x:c>
      <x:c r="D194" s="48" t="str">
        <x:f>IF(Searches!$A$89&lt;&gt;"Yes","",Searches!$P$89)</x:f>
      </x:c>
      <x:c r="E194" s="48" t="str">
        <x:f>IF(Searches!$A$89&lt;&gt;"Yes","",Searches!$Q$89)</x:f>
      </x:c>
      <x:c r="F194" s="48" t="str">
        <x:f>IF(Searches!$A$89&lt;&gt;"Yes","",Searches!$R$89)</x:f>
      </x:c>
      <x:c r="G194" s="48" t="str">
        <x:f>IF(Searches!$A$89&lt;&gt;"Yes","",Searches!$E$89)</x:f>
      </x:c>
      <x:c r="H194" s="48" t="str">
        <x:f>IF(Searches!$A$89&lt;&gt;"Yes","",Searches!$N$89)</x:f>
      </x:c>
      <x:c r="I194" s="48" t="str">
        <x:f>IF(Searches!$A$89&lt;&gt;"Yes","",Searches!$B$89)</x:f>
      </x:c>
      <x:c r="J194" s="48" t="str">
        <x:f>IF(Searches!$A$89&lt;&gt;"Yes","",Searches!$K$89)</x:f>
      </x:c>
    </x:row>
    <x:row r="195">
      <x:c r="A195" s="48" t="str">
        <x:f>IF(Searches!$A$90&lt;&gt;"Yes","",Searches!$C$90)</x:f>
      </x:c>
      <x:c r="B195" s="48" t="str">
        <x:f>IF(Searches!$A$90&lt;&gt;"Yes","",Searches!$D$90)</x:f>
      </x:c>
      <x:c r="C195" s="48" t="str">
        <x:f>IF(Searches!$A$90&lt;&gt;"Yes","",Searches!$O$90)</x:f>
      </x:c>
      <x:c r="D195" s="48" t="str">
        <x:f>IF(Searches!$A$90&lt;&gt;"Yes","",Searches!$P$90)</x:f>
      </x:c>
      <x:c r="E195" s="48" t="str">
        <x:f>IF(Searches!$A$90&lt;&gt;"Yes","",Searches!$Q$90)</x:f>
      </x:c>
      <x:c r="F195" s="48" t="str">
        <x:f>IF(Searches!$A$90&lt;&gt;"Yes","",Searches!$R$90)</x:f>
      </x:c>
      <x:c r="G195" s="48" t="str">
        <x:f>IF(Searches!$A$90&lt;&gt;"Yes","",Searches!$E$90)</x:f>
      </x:c>
      <x:c r="H195" s="48" t="str">
        <x:f>IF(Searches!$A$90&lt;&gt;"Yes","",Searches!$N$90)</x:f>
      </x:c>
      <x:c r="I195" s="48" t="str">
        <x:f>IF(Searches!$A$90&lt;&gt;"Yes","",Searches!$B$90)</x:f>
      </x:c>
      <x:c r="J195" s="48" t="str">
        <x:f>IF(Searches!$A$90&lt;&gt;"Yes","",Searches!$K$90)</x:f>
      </x:c>
    </x:row>
    <x:row r="196">
      <x:c r="A196" s="48" t="str">
        <x:f>IF(Searches!$A$91&lt;&gt;"Yes","",Searches!$C$91)</x:f>
      </x:c>
      <x:c r="B196" s="48" t="str">
        <x:f>IF(Searches!$A$91&lt;&gt;"Yes","",Searches!$D$91)</x:f>
      </x:c>
      <x:c r="C196" s="48" t="str">
        <x:f>IF(Searches!$A$91&lt;&gt;"Yes","",Searches!$O$91)</x:f>
      </x:c>
      <x:c r="D196" s="48" t="str">
        <x:f>IF(Searches!$A$91&lt;&gt;"Yes","",Searches!$P$91)</x:f>
      </x:c>
      <x:c r="E196" s="48" t="str">
        <x:f>IF(Searches!$A$91&lt;&gt;"Yes","",Searches!$Q$91)</x:f>
      </x:c>
      <x:c r="F196" s="48" t="str">
        <x:f>IF(Searches!$A$91&lt;&gt;"Yes","",Searches!$R$91)</x:f>
      </x:c>
      <x:c r="G196" s="48" t="str">
        <x:f>IF(Searches!$A$91&lt;&gt;"Yes","",Searches!$E$91)</x:f>
      </x:c>
      <x:c r="H196" s="48" t="str">
        <x:f>IF(Searches!$A$91&lt;&gt;"Yes","",Searches!$N$91)</x:f>
      </x:c>
      <x:c r="I196" s="48" t="str">
        <x:f>IF(Searches!$A$91&lt;&gt;"Yes","",Searches!$B$91)</x:f>
      </x:c>
      <x:c r="J196" s="48" t="str">
        <x:f>IF(Searches!$A$91&lt;&gt;"Yes","",Searches!$K$91)</x:f>
      </x:c>
    </x:row>
    <x:row r="197">
      <x:c r="A197" s="48" t="str">
        <x:f>IF(Searches!$A$92&lt;&gt;"Yes","",Searches!$C$92)</x:f>
      </x:c>
      <x:c r="B197" s="48" t="str">
        <x:f>IF(Searches!$A$92&lt;&gt;"Yes","",Searches!$D$92)</x:f>
      </x:c>
      <x:c r="C197" s="48" t="str">
        <x:f>IF(Searches!$A$92&lt;&gt;"Yes","",Searches!$O$92)</x:f>
      </x:c>
      <x:c r="D197" s="48" t="str">
        <x:f>IF(Searches!$A$92&lt;&gt;"Yes","",Searches!$P$92)</x:f>
      </x:c>
      <x:c r="E197" s="48" t="str">
        <x:f>IF(Searches!$A$92&lt;&gt;"Yes","",Searches!$Q$92)</x:f>
      </x:c>
      <x:c r="F197" s="48" t="str">
        <x:f>IF(Searches!$A$92&lt;&gt;"Yes","",Searches!$R$92)</x:f>
      </x:c>
      <x:c r="G197" s="48" t="str">
        <x:f>IF(Searches!$A$92&lt;&gt;"Yes","",Searches!$E$92)</x:f>
      </x:c>
      <x:c r="H197" s="48" t="str">
        <x:f>IF(Searches!$A$92&lt;&gt;"Yes","",Searches!$N$92)</x:f>
      </x:c>
      <x:c r="I197" s="48" t="str">
        <x:f>IF(Searches!$A$92&lt;&gt;"Yes","",Searches!$B$92)</x:f>
      </x:c>
      <x:c r="J197" s="48" t="str">
        <x:f>IF(Searches!$A$92&lt;&gt;"Yes","",Searches!$K$92)</x:f>
      </x:c>
    </x:row>
    <x:row r="198">
      <x:c r="A198" s="48" t="str">
        <x:f>IF(Searches!$A$93&lt;&gt;"Yes","",Searches!$C$93)</x:f>
      </x:c>
      <x:c r="B198" s="48" t="str">
        <x:f>IF(Searches!$A$93&lt;&gt;"Yes","",Searches!$D$93)</x:f>
      </x:c>
      <x:c r="C198" s="48" t="str">
        <x:f>IF(Searches!$A$93&lt;&gt;"Yes","",Searches!$O$93)</x:f>
      </x:c>
      <x:c r="D198" s="48" t="str">
        <x:f>IF(Searches!$A$93&lt;&gt;"Yes","",Searches!$P$93)</x:f>
      </x:c>
      <x:c r="E198" s="48" t="str">
        <x:f>IF(Searches!$A$93&lt;&gt;"Yes","",Searches!$Q$93)</x:f>
      </x:c>
      <x:c r="F198" s="48" t="str">
        <x:f>IF(Searches!$A$93&lt;&gt;"Yes","",Searches!$R$93)</x:f>
      </x:c>
      <x:c r="G198" s="48" t="str">
        <x:f>IF(Searches!$A$93&lt;&gt;"Yes","",Searches!$E$93)</x:f>
      </x:c>
      <x:c r="H198" s="48" t="str">
        <x:f>IF(Searches!$A$93&lt;&gt;"Yes","",Searches!$N$93)</x:f>
      </x:c>
      <x:c r="I198" s="48" t="str">
        <x:f>IF(Searches!$A$93&lt;&gt;"Yes","",Searches!$B$93)</x:f>
      </x:c>
      <x:c r="J198" s="48" t="str">
        <x:f>IF(Searches!$A$93&lt;&gt;"Yes","",Searches!$K$93)</x:f>
      </x:c>
    </x:row>
    <x:row r="199">
      <x:c r="A199" s="48" t="str">
        <x:f>IF(Searches!$A$94&lt;&gt;"Yes","",Searches!$C$94)</x:f>
      </x:c>
      <x:c r="B199" s="48" t="str">
        <x:f>IF(Searches!$A$94&lt;&gt;"Yes","",Searches!$D$94)</x:f>
      </x:c>
      <x:c r="C199" s="48" t="str">
        <x:f>IF(Searches!$A$94&lt;&gt;"Yes","",Searches!$O$94)</x:f>
      </x:c>
      <x:c r="D199" s="48" t="str">
        <x:f>IF(Searches!$A$94&lt;&gt;"Yes","",Searches!$P$94)</x:f>
      </x:c>
      <x:c r="E199" s="48" t="str">
        <x:f>IF(Searches!$A$94&lt;&gt;"Yes","",Searches!$Q$94)</x:f>
      </x:c>
      <x:c r="F199" s="48" t="str">
        <x:f>IF(Searches!$A$94&lt;&gt;"Yes","",Searches!$R$94)</x:f>
      </x:c>
      <x:c r="G199" s="48" t="str">
        <x:f>IF(Searches!$A$94&lt;&gt;"Yes","",Searches!$E$94)</x:f>
      </x:c>
      <x:c r="H199" s="48" t="str">
        <x:f>IF(Searches!$A$94&lt;&gt;"Yes","",Searches!$N$94)</x:f>
      </x:c>
      <x:c r="I199" s="48" t="str">
        <x:f>IF(Searches!$A$94&lt;&gt;"Yes","",Searches!$B$94)</x:f>
      </x:c>
      <x:c r="J199" s="48" t="str">
        <x:f>IF(Searches!$A$94&lt;&gt;"Yes","",Searches!$K$94)</x:f>
      </x:c>
    </x:row>
    <x:row r="200">
      <x:c r="A200" s="48" t="str">
        <x:f>IF(Searches!$A$95&lt;&gt;"Yes","",Searches!$C$95)</x:f>
      </x:c>
      <x:c r="B200" s="48" t="str">
        <x:f>IF(Searches!$A$95&lt;&gt;"Yes","",Searches!$D$95)</x:f>
      </x:c>
      <x:c r="C200" s="48" t="str">
        <x:f>IF(Searches!$A$95&lt;&gt;"Yes","",Searches!$O$95)</x:f>
      </x:c>
      <x:c r="D200" s="48" t="str">
        <x:f>IF(Searches!$A$95&lt;&gt;"Yes","",Searches!$P$95)</x:f>
      </x:c>
      <x:c r="E200" s="48" t="str">
        <x:f>IF(Searches!$A$95&lt;&gt;"Yes","",Searches!$Q$95)</x:f>
      </x:c>
      <x:c r="F200" s="48" t="str">
        <x:f>IF(Searches!$A$95&lt;&gt;"Yes","",Searches!$R$95)</x:f>
      </x:c>
      <x:c r="G200" s="48" t="str">
        <x:f>IF(Searches!$A$95&lt;&gt;"Yes","",Searches!$E$95)</x:f>
      </x:c>
      <x:c r="H200" s="48" t="str">
        <x:f>IF(Searches!$A$95&lt;&gt;"Yes","",Searches!$N$95)</x:f>
      </x:c>
      <x:c r="I200" s="48" t="str">
        <x:f>IF(Searches!$A$95&lt;&gt;"Yes","",Searches!$B$95)</x:f>
      </x:c>
      <x:c r="J200" s="48" t="str">
        <x:f>IF(Searches!$A$95&lt;&gt;"Yes","",Searches!$K$95)</x:f>
      </x:c>
    </x:row>
    <x:row r="201">
      <x:c r="A201" s="48" t="str">
        <x:f>IF(Searches!$A$96&lt;&gt;"Yes","",Searches!$C$96)</x:f>
      </x:c>
      <x:c r="B201" s="48" t="str">
        <x:f>IF(Searches!$A$96&lt;&gt;"Yes","",Searches!$D$96)</x:f>
      </x:c>
      <x:c r="C201" s="48" t="str">
        <x:f>IF(Searches!$A$96&lt;&gt;"Yes","",Searches!$O$96)</x:f>
      </x:c>
      <x:c r="D201" s="48" t="str">
        <x:f>IF(Searches!$A$96&lt;&gt;"Yes","",Searches!$P$96)</x:f>
      </x:c>
      <x:c r="E201" s="48" t="str">
        <x:f>IF(Searches!$A$96&lt;&gt;"Yes","",Searches!$Q$96)</x:f>
      </x:c>
      <x:c r="F201" s="48" t="str">
        <x:f>IF(Searches!$A$96&lt;&gt;"Yes","",Searches!$R$96)</x:f>
      </x:c>
      <x:c r="G201" s="48" t="str">
        <x:f>IF(Searches!$A$96&lt;&gt;"Yes","",Searches!$E$96)</x:f>
      </x:c>
      <x:c r="H201" s="48" t="str">
        <x:f>IF(Searches!$A$96&lt;&gt;"Yes","",Searches!$N$96)</x:f>
      </x:c>
      <x:c r="I201" s="48" t="str">
        <x:f>IF(Searches!$A$96&lt;&gt;"Yes","",Searches!$B$96)</x:f>
      </x:c>
      <x:c r="J201" s="48" t="str">
        <x:f>IF(Searches!$A$96&lt;&gt;"Yes","",Searches!$K$96)</x:f>
      </x:c>
    </x:row>
    <x:row r="202">
      <x:c r="A202" s="48" t="str">
        <x:f>IF(Searches!$A$97&lt;&gt;"Yes","",Searches!$C$97)</x:f>
      </x:c>
      <x:c r="B202" s="48" t="str">
        <x:f>IF(Searches!$A$97&lt;&gt;"Yes","",Searches!$D$97)</x:f>
      </x:c>
      <x:c r="C202" s="48" t="str">
        <x:f>IF(Searches!$A$97&lt;&gt;"Yes","",Searches!$O$97)</x:f>
      </x:c>
      <x:c r="D202" s="48" t="str">
        <x:f>IF(Searches!$A$97&lt;&gt;"Yes","",Searches!$P$97)</x:f>
      </x:c>
      <x:c r="E202" s="48" t="str">
        <x:f>IF(Searches!$A$97&lt;&gt;"Yes","",Searches!$Q$97)</x:f>
      </x:c>
      <x:c r="F202" s="48" t="str">
        <x:f>IF(Searches!$A$97&lt;&gt;"Yes","",Searches!$R$97)</x:f>
      </x:c>
      <x:c r="G202" s="48" t="str">
        <x:f>IF(Searches!$A$97&lt;&gt;"Yes","",Searches!$E$97)</x:f>
      </x:c>
      <x:c r="H202" s="48" t="str">
        <x:f>IF(Searches!$A$97&lt;&gt;"Yes","",Searches!$N$97)</x:f>
      </x:c>
      <x:c r="I202" s="48" t="str">
        <x:f>IF(Searches!$A$97&lt;&gt;"Yes","",Searches!$B$97)</x:f>
      </x:c>
      <x:c r="J202" s="48" t="str">
        <x:f>IF(Searches!$A$97&lt;&gt;"Yes","",Searches!$K$97)</x:f>
      </x:c>
    </x:row>
    <x:row r="203">
      <x:c r="A203" s="48" t="str">
        <x:f>IF(Searches!$A$98&lt;&gt;"Yes","",Searches!$C$98)</x:f>
      </x:c>
      <x:c r="B203" s="48" t="str">
        <x:f>IF(Searches!$A$98&lt;&gt;"Yes","",Searches!$D$98)</x:f>
      </x:c>
      <x:c r="C203" s="48" t="str">
        <x:f>IF(Searches!$A$98&lt;&gt;"Yes","",Searches!$O$98)</x:f>
      </x:c>
      <x:c r="D203" s="48" t="str">
        <x:f>IF(Searches!$A$98&lt;&gt;"Yes","",Searches!$P$98)</x:f>
      </x:c>
      <x:c r="E203" s="48" t="str">
        <x:f>IF(Searches!$A$98&lt;&gt;"Yes","",Searches!$Q$98)</x:f>
      </x:c>
      <x:c r="F203" s="48" t="str">
        <x:f>IF(Searches!$A$98&lt;&gt;"Yes","",Searches!$R$98)</x:f>
      </x:c>
      <x:c r="G203" s="48" t="str">
        <x:f>IF(Searches!$A$98&lt;&gt;"Yes","",Searches!$E$98)</x:f>
      </x:c>
      <x:c r="H203" s="48" t="str">
        <x:f>IF(Searches!$A$98&lt;&gt;"Yes","",Searches!$N$98)</x:f>
      </x:c>
      <x:c r="I203" s="48" t="str">
        <x:f>IF(Searches!$A$98&lt;&gt;"Yes","",Searches!$B$98)</x:f>
      </x:c>
      <x:c r="J203" s="48" t="str">
        <x:f>IF(Searches!$A$98&lt;&gt;"Yes","",Searches!$K$98)</x:f>
      </x:c>
    </x:row>
    <x:row r="204">
      <x:c r="A204" s="48" t="str">
        <x:f>IF(Searches!$A$99&lt;&gt;"Yes","",Searches!$C$99)</x:f>
      </x:c>
      <x:c r="B204" s="48" t="str">
        <x:f>IF(Searches!$A$99&lt;&gt;"Yes","",Searches!$D$99)</x:f>
      </x:c>
      <x:c r="C204" s="48" t="str">
        <x:f>IF(Searches!$A$99&lt;&gt;"Yes","",Searches!$O$99)</x:f>
      </x:c>
      <x:c r="D204" s="48" t="str">
        <x:f>IF(Searches!$A$99&lt;&gt;"Yes","",Searches!$P$99)</x:f>
      </x:c>
      <x:c r="E204" s="48" t="str">
        <x:f>IF(Searches!$A$99&lt;&gt;"Yes","",Searches!$Q$99)</x:f>
      </x:c>
      <x:c r="F204" s="48" t="str">
        <x:f>IF(Searches!$A$99&lt;&gt;"Yes","",Searches!$R$99)</x:f>
      </x:c>
      <x:c r="G204" s="48" t="str">
        <x:f>IF(Searches!$A$99&lt;&gt;"Yes","",Searches!$E$99)</x:f>
      </x:c>
      <x:c r="H204" s="48" t="str">
        <x:f>IF(Searches!$A$99&lt;&gt;"Yes","",Searches!$N$99)</x:f>
      </x:c>
      <x:c r="I204" s="48" t="str">
        <x:f>IF(Searches!$A$99&lt;&gt;"Yes","",Searches!$B$99)</x:f>
      </x:c>
      <x:c r="J204" s="48" t="str">
        <x:f>IF(Searches!$A$99&lt;&gt;"Yes","",Searches!$K$99)</x:f>
      </x:c>
    </x:row>
    <x:row r="205">
      <x:c r="A205" s="48" t="str">
        <x:f>IF(Searches!$A$100&lt;&gt;"Yes","",Searches!$C$100)</x:f>
      </x:c>
      <x:c r="B205" s="48" t="str">
        <x:f>IF(Searches!$A$100&lt;&gt;"Yes","",Searches!$D$100)</x:f>
      </x:c>
      <x:c r="C205" s="48" t="str">
        <x:f>IF(Searches!$A$100&lt;&gt;"Yes","",Searches!$O$100)</x:f>
      </x:c>
      <x:c r="D205" s="48" t="str">
        <x:f>IF(Searches!$A$100&lt;&gt;"Yes","",Searches!$P$100)</x:f>
      </x:c>
      <x:c r="E205" s="48" t="str">
        <x:f>IF(Searches!$A$100&lt;&gt;"Yes","",Searches!$Q$100)</x:f>
      </x:c>
      <x:c r="F205" s="48" t="str">
        <x:f>IF(Searches!$A$100&lt;&gt;"Yes","",Searches!$R$100)</x:f>
      </x:c>
      <x:c r="G205" s="48" t="str">
        <x:f>IF(Searches!$A$100&lt;&gt;"Yes","",Searches!$E$100)</x:f>
      </x:c>
      <x:c r="H205" s="48" t="str">
        <x:f>IF(Searches!$A$100&lt;&gt;"Yes","",Searches!$N$100)</x:f>
      </x:c>
      <x:c r="I205" s="48" t="str">
        <x:f>IF(Searches!$A$100&lt;&gt;"Yes","",Searches!$B$100)</x:f>
      </x:c>
      <x:c r="J205" s="48" t="str">
        <x:f>IF(Searches!$A$100&lt;&gt;"Yes","",Searches!$K$100)</x:f>
      </x:c>
    </x:row>
    <x:row r="206">
      <x:c r="A206" s="48" t="str">
        <x:f>IF(Searches!$A$101&lt;&gt;"Yes","",Searches!$C$101)</x:f>
      </x:c>
      <x:c r="B206" s="48" t="str">
        <x:f>IF(Searches!$A$101&lt;&gt;"Yes","",Searches!$D$101)</x:f>
      </x:c>
      <x:c r="C206" s="48" t="str">
        <x:f>IF(Searches!$A$101&lt;&gt;"Yes","",Searches!$O$101)</x:f>
      </x:c>
      <x:c r="D206" s="48" t="str">
        <x:f>IF(Searches!$A$101&lt;&gt;"Yes","",Searches!$P$101)</x:f>
      </x:c>
      <x:c r="E206" s="48" t="str">
        <x:f>IF(Searches!$A$101&lt;&gt;"Yes","",Searches!$Q$101)</x:f>
      </x:c>
      <x:c r="F206" s="48" t="str">
        <x:f>IF(Searches!$A$101&lt;&gt;"Yes","",Searches!$R$101)</x:f>
      </x:c>
      <x:c r="G206" s="48" t="str">
        <x:f>IF(Searches!$A$101&lt;&gt;"Yes","",Searches!$E$101)</x:f>
      </x:c>
      <x:c r="H206" s="48" t="str">
        <x:f>IF(Searches!$A$101&lt;&gt;"Yes","",Searches!$N$101)</x:f>
      </x:c>
      <x:c r="I206" s="48" t="str">
        <x:f>IF(Searches!$A$101&lt;&gt;"Yes","",Searches!$B$101)</x:f>
      </x:c>
      <x:c r="J206" s="48" t="str">
        <x:f>IF(Searches!$A$101&lt;&gt;"Yes","",Searches!$K$101)</x:f>
      </x:c>
    </x:row>
    <x:row r="207">
      <x:c r="A207" s="48" t="str">
        <x:f>IF(Searches!$A$102&lt;&gt;"Yes","",Searches!$C$102)</x:f>
      </x:c>
      <x:c r="B207" s="48" t="str">
        <x:f>IF(Searches!$A$102&lt;&gt;"Yes","",Searches!$D$102)</x:f>
      </x:c>
      <x:c r="C207" s="48" t="str">
        <x:f>IF(Searches!$A$102&lt;&gt;"Yes","",Searches!$O$102)</x:f>
      </x:c>
      <x:c r="D207" s="48" t="str">
        <x:f>IF(Searches!$A$102&lt;&gt;"Yes","",Searches!$P$102)</x:f>
      </x:c>
      <x:c r="E207" s="48" t="str">
        <x:f>IF(Searches!$A$102&lt;&gt;"Yes","",Searches!$Q$102)</x:f>
      </x:c>
      <x:c r="F207" s="48" t="str">
        <x:f>IF(Searches!$A$102&lt;&gt;"Yes","",Searches!$R$102)</x:f>
      </x:c>
      <x:c r="G207" s="48" t="str">
        <x:f>IF(Searches!$A$102&lt;&gt;"Yes","",Searches!$E$102)</x:f>
      </x:c>
      <x:c r="H207" s="48" t="str">
        <x:f>IF(Searches!$A$102&lt;&gt;"Yes","",Searches!$N$102)</x:f>
      </x:c>
      <x:c r="I207" s="48" t="str">
        <x:f>IF(Searches!$A$102&lt;&gt;"Yes","",Searches!$B$102)</x:f>
      </x:c>
      <x:c r="J207" s="48" t="str">
        <x:f>IF(Searches!$A$102&lt;&gt;"Yes","",Searches!$K$102)</x:f>
      </x:c>
    </x:row>
    <x:row r="208">
      <x:c r="A208" s="48" t="str">
        <x:f>IF(Searches!$A$103&lt;&gt;"Yes","",Searches!$C$103)</x:f>
      </x:c>
      <x:c r="B208" s="48" t="str">
        <x:f>IF(Searches!$A$103&lt;&gt;"Yes","",Searches!$D$103)</x:f>
      </x:c>
      <x:c r="C208" s="48" t="str">
        <x:f>IF(Searches!$A$103&lt;&gt;"Yes","",Searches!$O$103)</x:f>
      </x:c>
      <x:c r="D208" s="48" t="str">
        <x:f>IF(Searches!$A$103&lt;&gt;"Yes","",Searches!$P$103)</x:f>
      </x:c>
      <x:c r="E208" s="48" t="str">
        <x:f>IF(Searches!$A$103&lt;&gt;"Yes","",Searches!$Q$103)</x:f>
      </x:c>
      <x:c r="F208" s="48" t="str">
        <x:f>IF(Searches!$A$103&lt;&gt;"Yes","",Searches!$R$103)</x:f>
      </x:c>
      <x:c r="G208" s="48" t="str">
        <x:f>IF(Searches!$A$103&lt;&gt;"Yes","",Searches!$E$103)</x:f>
      </x:c>
      <x:c r="H208" s="48" t="str">
        <x:f>IF(Searches!$A$103&lt;&gt;"Yes","",Searches!$N$103)</x:f>
      </x:c>
      <x:c r="I208" s="48" t="str">
        <x:f>IF(Searches!$A$103&lt;&gt;"Yes","",Searches!$B$103)</x:f>
      </x:c>
      <x:c r="J208" s="48" t="str">
        <x:f>IF(Searches!$A$103&lt;&gt;"Yes","",Searches!$K$103)</x:f>
      </x:c>
    </x:row>
    <x:row r="209">
      <x:c r="A209" s="48" t="str">
        <x:f>IF(Searches!$A$104&lt;&gt;"Yes","",Searches!$C$104)</x:f>
      </x:c>
      <x:c r="B209" s="48" t="str">
        <x:f>IF(Searches!$A$104&lt;&gt;"Yes","",Searches!$D$104)</x:f>
      </x:c>
      <x:c r="C209" s="48" t="str">
        <x:f>IF(Searches!$A$104&lt;&gt;"Yes","",Searches!$O$104)</x:f>
      </x:c>
      <x:c r="D209" s="48" t="str">
        <x:f>IF(Searches!$A$104&lt;&gt;"Yes","",Searches!$P$104)</x:f>
      </x:c>
      <x:c r="E209" s="48" t="str">
        <x:f>IF(Searches!$A$104&lt;&gt;"Yes","",Searches!$Q$104)</x:f>
      </x:c>
      <x:c r="F209" s="48" t="str">
        <x:f>IF(Searches!$A$104&lt;&gt;"Yes","",Searches!$R$104)</x:f>
      </x:c>
      <x:c r="G209" s="48" t="str">
        <x:f>IF(Searches!$A$104&lt;&gt;"Yes","",Searches!$E$104)</x:f>
      </x:c>
      <x:c r="H209" s="48" t="str">
        <x:f>IF(Searches!$A$104&lt;&gt;"Yes","",Searches!$N$104)</x:f>
      </x:c>
      <x:c r="I209" s="48" t="str">
        <x:f>IF(Searches!$A$104&lt;&gt;"Yes","",Searches!$B$104)</x:f>
      </x:c>
      <x:c r="J209" s="48" t="str">
        <x:f>IF(Searches!$A$104&lt;&gt;"Yes","",Searches!$K$104)</x:f>
      </x:c>
    </x:row>
    <x:row r="210">
      <x:c r="A210" s="48" t="str">
        <x:f>IF(Searches!$A$105&lt;&gt;"Yes","",Searches!$C$105)</x:f>
      </x:c>
      <x:c r="B210" s="48" t="str">
        <x:f>IF(Searches!$A$105&lt;&gt;"Yes","",Searches!$D$105)</x:f>
      </x:c>
      <x:c r="C210" s="48" t="str">
        <x:f>IF(Searches!$A$105&lt;&gt;"Yes","",Searches!$O$105)</x:f>
      </x:c>
      <x:c r="D210" s="48" t="str">
        <x:f>IF(Searches!$A$105&lt;&gt;"Yes","",Searches!$P$105)</x:f>
      </x:c>
      <x:c r="E210" s="48" t="str">
        <x:f>IF(Searches!$A$105&lt;&gt;"Yes","",Searches!$Q$105)</x:f>
      </x:c>
      <x:c r="F210" s="48" t="str">
        <x:f>IF(Searches!$A$105&lt;&gt;"Yes","",Searches!$R$105)</x:f>
      </x:c>
      <x:c r="G210" s="48" t="str">
        <x:f>IF(Searches!$A$105&lt;&gt;"Yes","",Searches!$E$105)</x:f>
      </x:c>
      <x:c r="H210" s="48" t="str">
        <x:f>IF(Searches!$A$105&lt;&gt;"Yes","",Searches!$N$105)</x:f>
      </x:c>
      <x:c r="I210" s="48" t="str">
        <x:f>IF(Searches!$A$105&lt;&gt;"Yes","",Searches!$B$105)</x:f>
      </x:c>
      <x:c r="J210" s="48" t="str">
        <x:f>IF(Searches!$A$105&lt;&gt;"Yes","",Searches!$K$105)</x:f>
      </x:c>
    </x:row>
    <x:row r="211">
      <x:c r="A211" s="48" t="str">
        <x:f>IF(Searches!$A$106&lt;&gt;"Yes","",Searches!$C$106)</x:f>
      </x:c>
      <x:c r="B211" s="48" t="str">
        <x:f>IF(Searches!$A$106&lt;&gt;"Yes","",Searches!$D$106)</x:f>
      </x:c>
      <x:c r="C211" s="48" t="str">
        <x:f>IF(Searches!$A$106&lt;&gt;"Yes","",Searches!$O$106)</x:f>
      </x:c>
      <x:c r="D211" s="48" t="str">
        <x:f>IF(Searches!$A$106&lt;&gt;"Yes","",Searches!$P$106)</x:f>
      </x:c>
      <x:c r="E211" s="48" t="str">
        <x:f>IF(Searches!$A$106&lt;&gt;"Yes","",Searches!$Q$106)</x:f>
      </x:c>
      <x:c r="F211" s="48" t="str">
        <x:f>IF(Searches!$A$106&lt;&gt;"Yes","",Searches!$R$106)</x:f>
      </x:c>
      <x:c r="G211" s="48" t="str">
        <x:f>IF(Searches!$A$106&lt;&gt;"Yes","",Searches!$E$106)</x:f>
      </x:c>
      <x:c r="H211" s="48" t="str">
        <x:f>IF(Searches!$A$106&lt;&gt;"Yes","",Searches!$N$106)</x:f>
      </x:c>
      <x:c r="I211" s="48" t="str">
        <x:f>IF(Searches!$A$106&lt;&gt;"Yes","",Searches!$B$106)</x:f>
      </x:c>
      <x:c r="J211" s="48" t="str">
        <x:f>IF(Searches!$A$106&lt;&gt;"Yes","",Searches!$K$106)</x:f>
      </x:c>
    </x:row>
    <x:row r="212">
      <x:c r="A212" s="48" t="str">
        <x:f>IF(Searches!$A$107&lt;&gt;"Yes","",Searches!$C$107)</x:f>
      </x:c>
      <x:c r="B212" s="48" t="str">
        <x:f>IF(Searches!$A$107&lt;&gt;"Yes","",Searches!$D$107)</x:f>
      </x:c>
      <x:c r="C212" s="48" t="str">
        <x:f>IF(Searches!$A$107&lt;&gt;"Yes","",Searches!$O$107)</x:f>
      </x:c>
      <x:c r="D212" s="48" t="str">
        <x:f>IF(Searches!$A$107&lt;&gt;"Yes","",Searches!$P$107)</x:f>
      </x:c>
      <x:c r="E212" s="48" t="str">
        <x:f>IF(Searches!$A$107&lt;&gt;"Yes","",Searches!$Q$107)</x:f>
      </x:c>
      <x:c r="F212" s="48" t="str">
        <x:f>IF(Searches!$A$107&lt;&gt;"Yes","",Searches!$R$107)</x:f>
      </x:c>
      <x:c r="G212" s="48" t="str">
        <x:f>IF(Searches!$A$107&lt;&gt;"Yes","",Searches!$E$107)</x:f>
      </x:c>
      <x:c r="H212" s="48" t="str">
        <x:f>IF(Searches!$A$107&lt;&gt;"Yes","",Searches!$N$107)</x:f>
      </x:c>
      <x:c r="I212" s="48" t="str">
        <x:f>IF(Searches!$A$107&lt;&gt;"Yes","",Searches!$B$107)</x:f>
      </x:c>
      <x:c r="J212" s="48" t="str">
        <x:f>IF(Searches!$A$107&lt;&gt;"Yes","",Searches!$K$107)</x:f>
      </x:c>
    </x:row>
    <x:row r="213">
      <x:c r="A213" s="48" t="str">
        <x:f>IF(Searches!$A$108&lt;&gt;"Yes","",Searches!$C$108)</x:f>
      </x:c>
      <x:c r="B213" s="48" t="str">
        <x:f>IF(Searches!$A$108&lt;&gt;"Yes","",Searches!$D$108)</x:f>
      </x:c>
      <x:c r="C213" s="48" t="str">
        <x:f>IF(Searches!$A$108&lt;&gt;"Yes","",Searches!$O$108)</x:f>
      </x:c>
      <x:c r="D213" s="48" t="str">
        <x:f>IF(Searches!$A$108&lt;&gt;"Yes","",Searches!$P$108)</x:f>
      </x:c>
      <x:c r="E213" s="48" t="str">
        <x:f>IF(Searches!$A$108&lt;&gt;"Yes","",Searches!$Q$108)</x:f>
      </x:c>
      <x:c r="F213" s="48" t="str">
        <x:f>IF(Searches!$A$108&lt;&gt;"Yes","",Searches!$R$108)</x:f>
      </x:c>
      <x:c r="G213" s="48" t="str">
        <x:f>IF(Searches!$A$108&lt;&gt;"Yes","",Searches!$E$108)</x:f>
      </x:c>
      <x:c r="H213" s="48" t="str">
        <x:f>IF(Searches!$A$108&lt;&gt;"Yes","",Searches!$N$108)</x:f>
      </x:c>
      <x:c r="I213" s="48" t="str">
        <x:f>IF(Searches!$A$108&lt;&gt;"Yes","",Searches!$B$108)</x:f>
      </x:c>
      <x:c r="J213" s="48" t="str">
        <x:f>IF(Searches!$A$108&lt;&gt;"Yes","",Searches!$K$108)</x:f>
      </x:c>
    </x:row>
    <x:row r="214">
      <x:c r="A214" s="48" t="str">
        <x:f>IF(Searches!$A$109&lt;&gt;"Yes","",Searches!$C$109)</x:f>
      </x:c>
      <x:c r="B214" s="48" t="str">
        <x:f>IF(Searches!$A$109&lt;&gt;"Yes","",Searches!$D$109)</x:f>
      </x:c>
      <x:c r="C214" s="48" t="str">
        <x:f>IF(Searches!$A$109&lt;&gt;"Yes","",Searches!$O$109)</x:f>
      </x:c>
      <x:c r="D214" s="48" t="str">
        <x:f>IF(Searches!$A$109&lt;&gt;"Yes","",Searches!$P$109)</x:f>
      </x:c>
      <x:c r="E214" s="48" t="str">
        <x:f>IF(Searches!$A$109&lt;&gt;"Yes","",Searches!$Q$109)</x:f>
      </x:c>
      <x:c r="F214" s="48" t="str">
        <x:f>IF(Searches!$A$109&lt;&gt;"Yes","",Searches!$R$109)</x:f>
      </x:c>
      <x:c r="G214" s="48" t="str">
        <x:f>IF(Searches!$A$109&lt;&gt;"Yes","",Searches!$E$109)</x:f>
      </x:c>
      <x:c r="H214" s="48" t="str">
        <x:f>IF(Searches!$A$109&lt;&gt;"Yes","",Searches!$N$109)</x:f>
      </x:c>
      <x:c r="I214" s="48" t="str">
        <x:f>IF(Searches!$A$109&lt;&gt;"Yes","",Searches!$B$109)</x:f>
      </x:c>
      <x:c r="J214" s="48" t="str">
        <x:f>IF(Searches!$A$109&lt;&gt;"Yes","",Searches!$K$109)</x:f>
      </x:c>
    </x:row>
    <x:row r="215">
      <x:c r="A215" s="48" t="str">
        <x:f>IF(Searches!$A$110&lt;&gt;"Yes","",Searches!$C$110)</x:f>
      </x:c>
      <x:c r="B215" s="48" t="str">
        <x:f>IF(Searches!$A$110&lt;&gt;"Yes","",Searches!$D$110)</x:f>
      </x:c>
      <x:c r="C215" s="48" t="str">
        <x:f>IF(Searches!$A$110&lt;&gt;"Yes","",Searches!$O$110)</x:f>
      </x:c>
      <x:c r="D215" s="48" t="str">
        <x:f>IF(Searches!$A$110&lt;&gt;"Yes","",Searches!$P$110)</x:f>
      </x:c>
      <x:c r="E215" s="48" t="str">
        <x:f>IF(Searches!$A$110&lt;&gt;"Yes","",Searches!$Q$110)</x:f>
      </x:c>
      <x:c r="F215" s="48" t="str">
        <x:f>IF(Searches!$A$110&lt;&gt;"Yes","",Searches!$R$110)</x:f>
      </x:c>
      <x:c r="G215" s="48" t="str">
        <x:f>IF(Searches!$A$110&lt;&gt;"Yes","",Searches!$E$110)</x:f>
      </x:c>
      <x:c r="H215" s="48" t="str">
        <x:f>IF(Searches!$A$110&lt;&gt;"Yes","",Searches!$N$110)</x:f>
      </x:c>
      <x:c r="I215" s="48" t="str">
        <x:f>IF(Searches!$A$110&lt;&gt;"Yes","",Searches!$B$110)</x:f>
      </x:c>
      <x:c r="J215" s="48" t="str">
        <x:f>IF(Searches!$A$110&lt;&gt;"Yes","",Searches!$K$110)</x:f>
      </x:c>
    </x:row>
    <x:row r="216">
      <x:c r="A216" s="48" t="str">
        <x:f>IF(Searches!$A$111&lt;&gt;"Yes","",Searches!$C$111)</x:f>
      </x:c>
      <x:c r="B216" s="48" t="str">
        <x:f>IF(Searches!$A$111&lt;&gt;"Yes","",Searches!$D$111)</x:f>
      </x:c>
      <x:c r="C216" s="48" t="str">
        <x:f>IF(Searches!$A$111&lt;&gt;"Yes","",Searches!$O$111)</x:f>
      </x:c>
      <x:c r="D216" s="48" t="str">
        <x:f>IF(Searches!$A$111&lt;&gt;"Yes","",Searches!$P$111)</x:f>
      </x:c>
      <x:c r="E216" s="48" t="str">
        <x:f>IF(Searches!$A$111&lt;&gt;"Yes","",Searches!$Q$111)</x:f>
      </x:c>
      <x:c r="F216" s="48" t="str">
        <x:f>IF(Searches!$A$111&lt;&gt;"Yes","",Searches!$R$111)</x:f>
      </x:c>
      <x:c r="G216" s="48" t="str">
        <x:f>IF(Searches!$A$111&lt;&gt;"Yes","",Searches!$E$111)</x:f>
      </x:c>
      <x:c r="H216" s="48" t="str">
        <x:f>IF(Searches!$A$111&lt;&gt;"Yes","",Searches!$N$111)</x:f>
      </x:c>
      <x:c r="I216" s="48" t="str">
        <x:f>IF(Searches!$A$111&lt;&gt;"Yes","",Searches!$B$111)</x:f>
      </x:c>
      <x:c r="J216" s="48" t="str">
        <x:f>IF(Searches!$A$111&lt;&gt;"Yes","",Searches!$K$111)</x:f>
      </x:c>
    </x:row>
    <x:row r="217">
      <x:c r="A217" s="48" t="str">
        <x:f>IF(Searches!$A$112&lt;&gt;"Yes","",Searches!$C$112)</x:f>
      </x:c>
      <x:c r="B217" s="48" t="str">
        <x:f>IF(Searches!$A$112&lt;&gt;"Yes","",Searches!$D$112)</x:f>
      </x:c>
      <x:c r="C217" s="48" t="str">
        <x:f>IF(Searches!$A$112&lt;&gt;"Yes","",Searches!$O$112)</x:f>
      </x:c>
      <x:c r="D217" s="48" t="str">
        <x:f>IF(Searches!$A$112&lt;&gt;"Yes","",Searches!$P$112)</x:f>
      </x:c>
      <x:c r="E217" s="48" t="str">
        <x:f>IF(Searches!$A$112&lt;&gt;"Yes","",Searches!$Q$112)</x:f>
      </x:c>
      <x:c r="F217" s="48" t="str">
        <x:f>IF(Searches!$A$112&lt;&gt;"Yes","",Searches!$R$112)</x:f>
      </x:c>
      <x:c r="G217" s="48" t="str">
        <x:f>IF(Searches!$A$112&lt;&gt;"Yes","",Searches!$E$112)</x:f>
      </x:c>
      <x:c r="H217" s="48" t="str">
        <x:f>IF(Searches!$A$112&lt;&gt;"Yes","",Searches!$N$112)</x:f>
      </x:c>
      <x:c r="I217" s="48" t="str">
        <x:f>IF(Searches!$A$112&lt;&gt;"Yes","",Searches!$B$112)</x:f>
      </x:c>
      <x:c r="J217" s="48" t="str">
        <x:f>IF(Searches!$A$112&lt;&gt;"Yes","",Searches!$K$112)</x:f>
      </x:c>
    </x:row>
    <x:row r="218">
      <x:c r="A218" s="48" t="str">
        <x:f>IF(Searches!$A$113&lt;&gt;"Yes","",Searches!$C$113)</x:f>
      </x:c>
      <x:c r="B218" s="48" t="str">
        <x:f>IF(Searches!$A$113&lt;&gt;"Yes","",Searches!$D$113)</x:f>
      </x:c>
      <x:c r="C218" s="48" t="str">
        <x:f>IF(Searches!$A$113&lt;&gt;"Yes","",Searches!$O$113)</x:f>
      </x:c>
      <x:c r="D218" s="48" t="str">
        <x:f>IF(Searches!$A$113&lt;&gt;"Yes","",Searches!$P$113)</x:f>
      </x:c>
      <x:c r="E218" s="48" t="str">
        <x:f>IF(Searches!$A$113&lt;&gt;"Yes","",Searches!$Q$113)</x:f>
      </x:c>
      <x:c r="F218" s="48" t="str">
        <x:f>IF(Searches!$A$113&lt;&gt;"Yes","",Searches!$R$113)</x:f>
      </x:c>
      <x:c r="G218" s="48" t="str">
        <x:f>IF(Searches!$A$113&lt;&gt;"Yes","",Searches!$E$113)</x:f>
      </x:c>
      <x:c r="H218" s="48" t="str">
        <x:f>IF(Searches!$A$113&lt;&gt;"Yes","",Searches!$N$113)</x:f>
      </x:c>
      <x:c r="I218" s="48" t="str">
        <x:f>IF(Searches!$A$113&lt;&gt;"Yes","",Searches!$B$113)</x:f>
      </x:c>
      <x:c r="J218" s="48" t="str">
        <x:f>IF(Searches!$A$113&lt;&gt;"Yes","",Searches!$K$113)</x:f>
      </x:c>
    </x:row>
    <x:row r="219">
      <x:c r="A219" s="48" t="str">
        <x:f>IF(Searches!$A$114&lt;&gt;"Yes","",Searches!$C$114)</x:f>
      </x:c>
      <x:c r="B219" s="48" t="str">
        <x:f>IF(Searches!$A$114&lt;&gt;"Yes","",Searches!$D$114)</x:f>
      </x:c>
      <x:c r="C219" s="48" t="str">
        <x:f>IF(Searches!$A$114&lt;&gt;"Yes","",Searches!$O$114)</x:f>
      </x:c>
      <x:c r="D219" s="48" t="str">
        <x:f>IF(Searches!$A$114&lt;&gt;"Yes","",Searches!$P$114)</x:f>
      </x:c>
      <x:c r="E219" s="48" t="str">
        <x:f>IF(Searches!$A$114&lt;&gt;"Yes","",Searches!$Q$114)</x:f>
      </x:c>
      <x:c r="F219" s="48" t="str">
        <x:f>IF(Searches!$A$114&lt;&gt;"Yes","",Searches!$R$114)</x:f>
      </x:c>
      <x:c r="G219" s="48" t="str">
        <x:f>IF(Searches!$A$114&lt;&gt;"Yes","",Searches!$E$114)</x:f>
      </x:c>
      <x:c r="H219" s="48" t="str">
        <x:f>IF(Searches!$A$114&lt;&gt;"Yes","",Searches!$N$114)</x:f>
      </x:c>
      <x:c r="I219" s="48" t="str">
        <x:f>IF(Searches!$A$114&lt;&gt;"Yes","",Searches!$B$114)</x:f>
      </x:c>
      <x:c r="J219" s="48" t="str">
        <x:f>IF(Searches!$A$114&lt;&gt;"Yes","",Searches!$K$114)</x:f>
      </x:c>
    </x:row>
    <x:row r="220">
      <x:c r="A220" s="48" t="str">
        <x:f>IF(Searches!$A$115&lt;&gt;"Yes","",Searches!$C$115)</x:f>
      </x:c>
      <x:c r="B220" s="48" t="str">
        <x:f>IF(Searches!$A$115&lt;&gt;"Yes","",Searches!$D$115)</x:f>
      </x:c>
      <x:c r="C220" s="48" t="str">
        <x:f>IF(Searches!$A$115&lt;&gt;"Yes","",Searches!$O$115)</x:f>
      </x:c>
      <x:c r="D220" s="48" t="str">
        <x:f>IF(Searches!$A$115&lt;&gt;"Yes","",Searches!$P$115)</x:f>
      </x:c>
      <x:c r="E220" s="48" t="str">
        <x:f>IF(Searches!$A$115&lt;&gt;"Yes","",Searches!$Q$115)</x:f>
      </x:c>
      <x:c r="F220" s="48" t="str">
        <x:f>IF(Searches!$A$115&lt;&gt;"Yes","",Searches!$R$115)</x:f>
      </x:c>
      <x:c r="G220" s="48" t="str">
        <x:f>IF(Searches!$A$115&lt;&gt;"Yes","",Searches!$E$115)</x:f>
      </x:c>
      <x:c r="H220" s="48" t="str">
        <x:f>IF(Searches!$A$115&lt;&gt;"Yes","",Searches!$N$115)</x:f>
      </x:c>
      <x:c r="I220" s="48" t="str">
        <x:f>IF(Searches!$A$115&lt;&gt;"Yes","",Searches!$B$115)</x:f>
      </x:c>
      <x:c r="J220" s="48" t="str">
        <x:f>IF(Searches!$A$115&lt;&gt;"Yes","",Searches!$K$115)</x:f>
      </x:c>
    </x:row>
    <x:row r="221">
      <x:c r="A221" s="48" t="str">
        <x:f>IF(Searches!$A$116&lt;&gt;"Yes","",Searches!$C$116)</x:f>
      </x:c>
      <x:c r="B221" s="48" t="str">
        <x:f>IF(Searches!$A$116&lt;&gt;"Yes","",Searches!$D$116)</x:f>
      </x:c>
      <x:c r="C221" s="48" t="str">
        <x:f>IF(Searches!$A$116&lt;&gt;"Yes","",Searches!$O$116)</x:f>
      </x:c>
      <x:c r="D221" s="48" t="str">
        <x:f>IF(Searches!$A$116&lt;&gt;"Yes","",Searches!$P$116)</x:f>
      </x:c>
      <x:c r="E221" s="48" t="str">
        <x:f>IF(Searches!$A$116&lt;&gt;"Yes","",Searches!$Q$116)</x:f>
      </x:c>
      <x:c r="F221" s="48" t="str">
        <x:f>IF(Searches!$A$116&lt;&gt;"Yes","",Searches!$R$116)</x:f>
      </x:c>
      <x:c r="G221" s="48" t="str">
        <x:f>IF(Searches!$A$116&lt;&gt;"Yes","",Searches!$E$116)</x:f>
      </x:c>
      <x:c r="H221" s="48" t="str">
        <x:f>IF(Searches!$A$116&lt;&gt;"Yes","",Searches!$N$116)</x:f>
      </x:c>
      <x:c r="I221" s="48" t="str">
        <x:f>IF(Searches!$A$116&lt;&gt;"Yes","",Searches!$B$116)</x:f>
      </x:c>
      <x:c r="J221" s="48" t="str">
        <x:f>IF(Searches!$A$116&lt;&gt;"Yes","",Searches!$K$116)</x:f>
      </x:c>
    </x:row>
    <x:row r="222">
      <x:c r="A222" s="48" t="str">
        <x:f>IF(Searches!$A$117&lt;&gt;"Yes","",Searches!$C$117)</x:f>
      </x:c>
      <x:c r="B222" s="48" t="str">
        <x:f>IF(Searches!$A$117&lt;&gt;"Yes","",Searches!$D$117)</x:f>
      </x:c>
      <x:c r="C222" s="48" t="str">
        <x:f>IF(Searches!$A$117&lt;&gt;"Yes","",Searches!$O$117)</x:f>
      </x:c>
      <x:c r="D222" s="48" t="str">
        <x:f>IF(Searches!$A$117&lt;&gt;"Yes","",Searches!$P$117)</x:f>
      </x:c>
      <x:c r="E222" s="48" t="str">
        <x:f>IF(Searches!$A$117&lt;&gt;"Yes","",Searches!$Q$117)</x:f>
      </x:c>
      <x:c r="F222" s="48" t="str">
        <x:f>IF(Searches!$A$117&lt;&gt;"Yes","",Searches!$R$117)</x:f>
      </x:c>
      <x:c r="G222" s="48" t="str">
        <x:f>IF(Searches!$A$117&lt;&gt;"Yes","",Searches!$E$117)</x:f>
      </x:c>
      <x:c r="H222" s="48" t="str">
        <x:f>IF(Searches!$A$117&lt;&gt;"Yes","",Searches!$N$117)</x:f>
      </x:c>
      <x:c r="I222" s="48" t="str">
        <x:f>IF(Searches!$A$117&lt;&gt;"Yes","",Searches!$B$117)</x:f>
      </x:c>
      <x:c r="J222" s="48" t="str">
        <x:f>IF(Searches!$A$117&lt;&gt;"Yes","",Searches!$K$117)</x:f>
      </x:c>
    </x:row>
    <x:row r="223">
      <x:c r="A223" s="48" t="str">
        <x:f>IF(Searches!$A$118&lt;&gt;"Yes","",Searches!$C$118)</x:f>
      </x:c>
      <x:c r="B223" s="48" t="str">
        <x:f>IF(Searches!$A$118&lt;&gt;"Yes","",Searches!$D$118)</x:f>
      </x:c>
      <x:c r="C223" s="48" t="str">
        <x:f>IF(Searches!$A$118&lt;&gt;"Yes","",Searches!$O$118)</x:f>
      </x:c>
      <x:c r="D223" s="48" t="str">
        <x:f>IF(Searches!$A$118&lt;&gt;"Yes","",Searches!$P$118)</x:f>
      </x:c>
      <x:c r="E223" s="48" t="str">
        <x:f>IF(Searches!$A$118&lt;&gt;"Yes","",Searches!$Q$118)</x:f>
      </x:c>
      <x:c r="F223" s="48" t="str">
        <x:f>IF(Searches!$A$118&lt;&gt;"Yes","",Searches!$R$118)</x:f>
      </x:c>
      <x:c r="G223" s="48" t="str">
        <x:f>IF(Searches!$A$118&lt;&gt;"Yes","",Searches!$E$118)</x:f>
      </x:c>
      <x:c r="H223" s="48" t="str">
        <x:f>IF(Searches!$A$118&lt;&gt;"Yes","",Searches!$N$118)</x:f>
      </x:c>
      <x:c r="I223" s="48" t="str">
        <x:f>IF(Searches!$A$118&lt;&gt;"Yes","",Searches!$B$118)</x:f>
      </x:c>
      <x:c r="J223" s="48" t="str">
        <x:f>IF(Searches!$A$118&lt;&gt;"Yes","",Searches!$K$118)</x:f>
      </x:c>
    </x:row>
    <x:row r="224">
      <x:c r="A224" s="48" t="str">
        <x:f>IF(Searches!$A$119&lt;&gt;"Yes","",Searches!$C$119)</x:f>
      </x:c>
      <x:c r="B224" s="48" t="str">
        <x:f>IF(Searches!$A$119&lt;&gt;"Yes","",Searches!$D$119)</x:f>
      </x:c>
      <x:c r="C224" s="48" t="str">
        <x:f>IF(Searches!$A$119&lt;&gt;"Yes","",Searches!$O$119)</x:f>
      </x:c>
      <x:c r="D224" s="48" t="str">
        <x:f>IF(Searches!$A$119&lt;&gt;"Yes","",Searches!$P$119)</x:f>
      </x:c>
      <x:c r="E224" s="48" t="str">
        <x:f>IF(Searches!$A$119&lt;&gt;"Yes","",Searches!$Q$119)</x:f>
      </x:c>
      <x:c r="F224" s="48" t="str">
        <x:f>IF(Searches!$A$119&lt;&gt;"Yes","",Searches!$R$119)</x:f>
      </x:c>
      <x:c r="G224" s="48" t="str">
        <x:f>IF(Searches!$A$119&lt;&gt;"Yes","",Searches!$E$119)</x:f>
      </x:c>
      <x:c r="H224" s="48" t="str">
        <x:f>IF(Searches!$A$119&lt;&gt;"Yes","",Searches!$N$119)</x:f>
      </x:c>
      <x:c r="I224" s="48" t="str">
        <x:f>IF(Searches!$A$119&lt;&gt;"Yes","",Searches!$B$119)</x:f>
      </x:c>
      <x:c r="J224" s="48" t="str">
        <x:f>IF(Searches!$A$119&lt;&gt;"Yes","",Searches!$K$119)</x:f>
      </x:c>
    </x:row>
    <x:row r="225">
      <x:c r="A225" s="48" t="str">
        <x:f>IF(Searches!$A$120&lt;&gt;"Yes","",Searches!$C$120)</x:f>
      </x:c>
      <x:c r="B225" s="48" t="str">
        <x:f>IF(Searches!$A$120&lt;&gt;"Yes","",Searches!$D$120)</x:f>
      </x:c>
      <x:c r="C225" s="48" t="str">
        <x:f>IF(Searches!$A$120&lt;&gt;"Yes","",Searches!$O$120)</x:f>
      </x:c>
      <x:c r="D225" s="48" t="str">
        <x:f>IF(Searches!$A$120&lt;&gt;"Yes","",Searches!$P$120)</x:f>
      </x:c>
      <x:c r="E225" s="48" t="str">
        <x:f>IF(Searches!$A$120&lt;&gt;"Yes","",Searches!$Q$120)</x:f>
      </x:c>
      <x:c r="F225" s="48" t="str">
        <x:f>IF(Searches!$A$120&lt;&gt;"Yes","",Searches!$R$120)</x:f>
      </x:c>
      <x:c r="G225" s="48" t="str">
        <x:f>IF(Searches!$A$120&lt;&gt;"Yes","",Searches!$E$120)</x:f>
      </x:c>
      <x:c r="H225" s="48" t="str">
        <x:f>IF(Searches!$A$120&lt;&gt;"Yes","",Searches!$N$120)</x:f>
      </x:c>
      <x:c r="I225" s="48" t="str">
        <x:f>IF(Searches!$A$120&lt;&gt;"Yes","",Searches!$B$120)</x:f>
      </x:c>
      <x:c r="J225" s="48" t="str">
        <x:f>IF(Searches!$A$120&lt;&gt;"Yes","",Searches!$K$120)</x:f>
      </x:c>
    </x:row>
    <x:row r="226">
      <x:c r="A226" s="48" t="str">
        <x:f>IF(Searches!$A$121&lt;&gt;"Yes","",Searches!$C$121)</x:f>
      </x:c>
      <x:c r="B226" s="48" t="str">
        <x:f>IF(Searches!$A$121&lt;&gt;"Yes","",Searches!$D$121)</x:f>
      </x:c>
      <x:c r="C226" s="48" t="str">
        <x:f>IF(Searches!$A$121&lt;&gt;"Yes","",Searches!$O$121)</x:f>
      </x:c>
      <x:c r="D226" s="48" t="str">
        <x:f>IF(Searches!$A$121&lt;&gt;"Yes","",Searches!$P$121)</x:f>
      </x:c>
      <x:c r="E226" s="48" t="str">
        <x:f>IF(Searches!$A$121&lt;&gt;"Yes","",Searches!$Q$121)</x:f>
      </x:c>
      <x:c r="F226" s="48" t="str">
        <x:f>IF(Searches!$A$121&lt;&gt;"Yes","",Searches!$R$121)</x:f>
      </x:c>
      <x:c r="G226" s="48" t="str">
        <x:f>IF(Searches!$A$121&lt;&gt;"Yes","",Searches!$E$121)</x:f>
      </x:c>
      <x:c r="H226" s="48" t="str">
        <x:f>IF(Searches!$A$121&lt;&gt;"Yes","",Searches!$N$121)</x:f>
      </x:c>
      <x:c r="I226" s="48" t="str">
        <x:f>IF(Searches!$A$121&lt;&gt;"Yes","",Searches!$B$121)</x:f>
      </x:c>
      <x:c r="J226" s="48" t="str">
        <x:f>IF(Searches!$A$121&lt;&gt;"Yes","",Searches!$K$121)</x:f>
      </x:c>
    </x:row>
    <x:row r="227">
      <x:c r="A227" s="48" t="str">
        <x:f>IF(Searches!$A$122&lt;&gt;"Yes","",Searches!$C$122)</x:f>
      </x:c>
      <x:c r="B227" s="48" t="str">
        <x:f>IF(Searches!$A$122&lt;&gt;"Yes","",Searches!$D$122)</x:f>
      </x:c>
      <x:c r="C227" s="48" t="str">
        <x:f>IF(Searches!$A$122&lt;&gt;"Yes","",Searches!$O$122)</x:f>
      </x:c>
      <x:c r="D227" s="48" t="str">
        <x:f>IF(Searches!$A$122&lt;&gt;"Yes","",Searches!$P$122)</x:f>
      </x:c>
      <x:c r="E227" s="48" t="str">
        <x:f>IF(Searches!$A$122&lt;&gt;"Yes","",Searches!$Q$122)</x:f>
      </x:c>
      <x:c r="F227" s="48" t="str">
        <x:f>IF(Searches!$A$122&lt;&gt;"Yes","",Searches!$R$122)</x:f>
      </x:c>
      <x:c r="G227" s="48" t="str">
        <x:f>IF(Searches!$A$122&lt;&gt;"Yes","",Searches!$E$122)</x:f>
      </x:c>
      <x:c r="H227" s="48" t="str">
        <x:f>IF(Searches!$A$122&lt;&gt;"Yes","",Searches!$N$122)</x:f>
      </x:c>
      <x:c r="I227" s="48" t="str">
        <x:f>IF(Searches!$A$122&lt;&gt;"Yes","",Searches!$B$122)</x:f>
      </x:c>
      <x:c r="J227" s="48" t="str">
        <x:f>IF(Searches!$A$122&lt;&gt;"Yes","",Searches!$K$122)</x:f>
      </x:c>
    </x:row>
    <x:row r="228">
      <x:c r="A228" s="48" t="str">
        <x:f>IF(Searches!$A$123&lt;&gt;"Yes","",Searches!$C$123)</x:f>
      </x:c>
      <x:c r="B228" s="48" t="str">
        <x:f>IF(Searches!$A$123&lt;&gt;"Yes","",Searches!$D$123)</x:f>
      </x:c>
      <x:c r="C228" s="48" t="str">
        <x:f>IF(Searches!$A$123&lt;&gt;"Yes","",Searches!$O$123)</x:f>
      </x:c>
      <x:c r="D228" s="48" t="str">
        <x:f>IF(Searches!$A$123&lt;&gt;"Yes","",Searches!$P$123)</x:f>
      </x:c>
      <x:c r="E228" s="48" t="str">
        <x:f>IF(Searches!$A$123&lt;&gt;"Yes","",Searches!$Q$123)</x:f>
      </x:c>
      <x:c r="F228" s="48" t="str">
        <x:f>IF(Searches!$A$123&lt;&gt;"Yes","",Searches!$R$123)</x:f>
      </x:c>
      <x:c r="G228" s="48" t="str">
        <x:f>IF(Searches!$A$123&lt;&gt;"Yes","",Searches!$E$123)</x:f>
      </x:c>
      <x:c r="H228" s="48" t="str">
        <x:f>IF(Searches!$A$123&lt;&gt;"Yes","",Searches!$N$123)</x:f>
      </x:c>
      <x:c r="I228" s="48" t="str">
        <x:f>IF(Searches!$A$123&lt;&gt;"Yes","",Searches!$B$123)</x:f>
      </x:c>
      <x:c r="J228" s="48" t="str">
        <x:f>IF(Searches!$A$123&lt;&gt;"Yes","",Searches!$K$123)</x:f>
      </x:c>
    </x:row>
    <x:row r="229">
      <x:c r="A229" s="48" t="str">
        <x:f>IF(Searches!$A$124&lt;&gt;"Yes","",Searches!$C$124)</x:f>
      </x:c>
      <x:c r="B229" s="48" t="str">
        <x:f>IF(Searches!$A$124&lt;&gt;"Yes","",Searches!$D$124)</x:f>
      </x:c>
      <x:c r="C229" s="48" t="str">
        <x:f>IF(Searches!$A$124&lt;&gt;"Yes","",Searches!$O$124)</x:f>
      </x:c>
      <x:c r="D229" s="48" t="str">
        <x:f>IF(Searches!$A$124&lt;&gt;"Yes","",Searches!$P$124)</x:f>
      </x:c>
      <x:c r="E229" s="48" t="str">
        <x:f>IF(Searches!$A$124&lt;&gt;"Yes","",Searches!$Q$124)</x:f>
      </x:c>
      <x:c r="F229" s="48" t="str">
        <x:f>IF(Searches!$A$124&lt;&gt;"Yes","",Searches!$R$124)</x:f>
      </x:c>
      <x:c r="G229" s="48" t="str">
        <x:f>IF(Searches!$A$124&lt;&gt;"Yes","",Searches!$E$124)</x:f>
      </x:c>
      <x:c r="H229" s="48" t="str">
        <x:f>IF(Searches!$A$124&lt;&gt;"Yes","",Searches!$N$124)</x:f>
      </x:c>
      <x:c r="I229" s="48" t="str">
        <x:f>IF(Searches!$A$124&lt;&gt;"Yes","",Searches!$B$124)</x:f>
      </x:c>
      <x:c r="J229" s="48" t="str">
        <x:f>IF(Searches!$A$124&lt;&gt;"Yes","",Searches!$K$124)</x:f>
      </x:c>
    </x:row>
    <x:row r="230">
      <x:c r="A230" s="48" t="str">
        <x:f>IF(Searches!$A$125&lt;&gt;"Yes","",Searches!$C$125)</x:f>
      </x:c>
      <x:c r="B230" s="48" t="str">
        <x:f>IF(Searches!$A$125&lt;&gt;"Yes","",Searches!$D$125)</x:f>
      </x:c>
      <x:c r="C230" s="48" t="str">
        <x:f>IF(Searches!$A$125&lt;&gt;"Yes","",Searches!$O$125)</x:f>
      </x:c>
      <x:c r="D230" s="48" t="str">
        <x:f>IF(Searches!$A$125&lt;&gt;"Yes","",Searches!$P$125)</x:f>
      </x:c>
      <x:c r="E230" s="48" t="str">
        <x:f>IF(Searches!$A$125&lt;&gt;"Yes","",Searches!$Q$125)</x:f>
      </x:c>
      <x:c r="F230" s="48" t="str">
        <x:f>IF(Searches!$A$125&lt;&gt;"Yes","",Searches!$R$125)</x:f>
      </x:c>
      <x:c r="G230" s="48" t="str">
        <x:f>IF(Searches!$A$125&lt;&gt;"Yes","",Searches!$E$125)</x:f>
      </x:c>
      <x:c r="H230" s="48" t="str">
        <x:f>IF(Searches!$A$125&lt;&gt;"Yes","",Searches!$N$125)</x:f>
      </x:c>
      <x:c r="I230" s="48" t="str">
        <x:f>IF(Searches!$A$125&lt;&gt;"Yes","",Searches!$B$125)</x:f>
      </x:c>
      <x:c r="J230" s="48" t="str">
        <x:f>IF(Searches!$A$125&lt;&gt;"Yes","",Searches!$K$125)</x:f>
      </x:c>
    </x:row>
    <x:row r="231">
      <x:c r="A231" s="48" t="str">
        <x:f>IF(Searches!$A$126&lt;&gt;"Yes","",Searches!$C$126)</x:f>
      </x:c>
      <x:c r="B231" s="48" t="str">
        <x:f>IF(Searches!$A$126&lt;&gt;"Yes","",Searches!$D$126)</x:f>
      </x:c>
      <x:c r="C231" s="48" t="str">
        <x:f>IF(Searches!$A$126&lt;&gt;"Yes","",Searches!$O$126)</x:f>
      </x:c>
      <x:c r="D231" s="48" t="str">
        <x:f>IF(Searches!$A$126&lt;&gt;"Yes","",Searches!$P$126)</x:f>
      </x:c>
      <x:c r="E231" s="48" t="str">
        <x:f>IF(Searches!$A$126&lt;&gt;"Yes","",Searches!$Q$126)</x:f>
      </x:c>
      <x:c r="F231" s="48" t="str">
        <x:f>IF(Searches!$A$126&lt;&gt;"Yes","",Searches!$R$126)</x:f>
      </x:c>
      <x:c r="G231" s="48" t="str">
        <x:f>IF(Searches!$A$126&lt;&gt;"Yes","",Searches!$E$126)</x:f>
      </x:c>
      <x:c r="H231" s="48" t="str">
        <x:f>IF(Searches!$A$126&lt;&gt;"Yes","",Searches!$N$126)</x:f>
      </x:c>
      <x:c r="I231" s="48" t="str">
        <x:f>IF(Searches!$A$126&lt;&gt;"Yes","",Searches!$B$126)</x:f>
      </x:c>
      <x:c r="J231" s="48" t="str">
        <x:f>IF(Searches!$A$126&lt;&gt;"Yes","",Searches!$K$126)</x:f>
      </x:c>
    </x:row>
    <x:row r="232">
      <x:c r="A232" s="48" t="str">
        <x:f>IF(Searches!$A$127&lt;&gt;"Yes","",Searches!$C$127)</x:f>
      </x:c>
      <x:c r="B232" s="48" t="str">
        <x:f>IF(Searches!$A$127&lt;&gt;"Yes","",Searches!$D$127)</x:f>
      </x:c>
      <x:c r="C232" s="48" t="str">
        <x:f>IF(Searches!$A$127&lt;&gt;"Yes","",Searches!$O$127)</x:f>
      </x:c>
      <x:c r="D232" s="48" t="str">
        <x:f>IF(Searches!$A$127&lt;&gt;"Yes","",Searches!$P$127)</x:f>
      </x:c>
      <x:c r="E232" s="48" t="str">
        <x:f>IF(Searches!$A$127&lt;&gt;"Yes","",Searches!$Q$127)</x:f>
      </x:c>
      <x:c r="F232" s="48" t="str">
        <x:f>IF(Searches!$A$127&lt;&gt;"Yes","",Searches!$R$127)</x:f>
      </x:c>
      <x:c r="G232" s="48" t="str">
        <x:f>IF(Searches!$A$127&lt;&gt;"Yes","",Searches!$E$127)</x:f>
      </x:c>
      <x:c r="H232" s="48" t="str">
        <x:f>IF(Searches!$A$127&lt;&gt;"Yes","",Searches!$N$127)</x:f>
      </x:c>
      <x:c r="I232" s="48" t="str">
        <x:f>IF(Searches!$A$127&lt;&gt;"Yes","",Searches!$B$127)</x:f>
      </x:c>
      <x:c r="J232" s="48" t="str">
        <x:f>IF(Searches!$A$127&lt;&gt;"Yes","",Searches!$K$127)</x:f>
      </x:c>
    </x:row>
    <x:row r="233">
      <x:c r="A233" s="48" t="str">
        <x:f>IF(Searches!$A$128&lt;&gt;"Yes","",Searches!$C$128)</x:f>
      </x:c>
      <x:c r="B233" s="48" t="str">
        <x:f>IF(Searches!$A$128&lt;&gt;"Yes","",Searches!$D$128)</x:f>
      </x:c>
      <x:c r="C233" s="48" t="str">
        <x:f>IF(Searches!$A$128&lt;&gt;"Yes","",Searches!$O$128)</x:f>
      </x:c>
      <x:c r="D233" s="48" t="str">
        <x:f>IF(Searches!$A$128&lt;&gt;"Yes","",Searches!$P$128)</x:f>
      </x:c>
      <x:c r="E233" s="48" t="str">
        <x:f>IF(Searches!$A$128&lt;&gt;"Yes","",Searches!$Q$128)</x:f>
      </x:c>
      <x:c r="F233" s="48" t="str">
        <x:f>IF(Searches!$A$128&lt;&gt;"Yes","",Searches!$R$128)</x:f>
      </x:c>
      <x:c r="G233" s="48" t="str">
        <x:f>IF(Searches!$A$128&lt;&gt;"Yes","",Searches!$E$128)</x:f>
      </x:c>
      <x:c r="H233" s="48" t="str">
        <x:f>IF(Searches!$A$128&lt;&gt;"Yes","",Searches!$N$128)</x:f>
      </x:c>
      <x:c r="I233" s="48" t="str">
        <x:f>IF(Searches!$A$128&lt;&gt;"Yes","",Searches!$B$128)</x:f>
      </x:c>
      <x:c r="J233" s="48" t="str">
        <x:f>IF(Searches!$A$128&lt;&gt;"Yes","",Searches!$K$128)</x:f>
      </x:c>
    </x:row>
    <x:row r="234">
      <x:c r="A234" s="48" t="str">
        <x:f>IF(Searches!$A$129&lt;&gt;"Yes","",Searches!$C$129)</x:f>
      </x:c>
      <x:c r="B234" s="48" t="str">
        <x:f>IF(Searches!$A$129&lt;&gt;"Yes","",Searches!$D$129)</x:f>
      </x:c>
      <x:c r="C234" s="48" t="str">
        <x:f>IF(Searches!$A$129&lt;&gt;"Yes","",Searches!$O$129)</x:f>
      </x:c>
      <x:c r="D234" s="48" t="str">
        <x:f>IF(Searches!$A$129&lt;&gt;"Yes","",Searches!$P$129)</x:f>
      </x:c>
      <x:c r="E234" s="48" t="str">
        <x:f>IF(Searches!$A$129&lt;&gt;"Yes","",Searches!$Q$129)</x:f>
      </x:c>
      <x:c r="F234" s="48" t="str">
        <x:f>IF(Searches!$A$129&lt;&gt;"Yes","",Searches!$R$129)</x:f>
      </x:c>
      <x:c r="G234" s="48" t="str">
        <x:f>IF(Searches!$A$129&lt;&gt;"Yes","",Searches!$E$129)</x:f>
      </x:c>
      <x:c r="H234" s="48" t="str">
        <x:f>IF(Searches!$A$129&lt;&gt;"Yes","",Searches!$N$129)</x:f>
      </x:c>
      <x:c r="I234" s="48" t="str">
        <x:f>IF(Searches!$A$129&lt;&gt;"Yes","",Searches!$B$129)</x:f>
      </x:c>
      <x:c r="J234" s="48" t="str">
        <x:f>IF(Searches!$A$129&lt;&gt;"Yes","",Searches!$K$129)</x:f>
      </x:c>
    </x:row>
    <x:row r="235">
      <x:c r="A235" s="48" t="str">
        <x:f>IF(Searches!$A$130&lt;&gt;"Yes","",Searches!$C$130)</x:f>
      </x:c>
      <x:c r="B235" s="48" t="str">
        <x:f>IF(Searches!$A$130&lt;&gt;"Yes","",Searches!$D$130)</x:f>
      </x:c>
      <x:c r="C235" s="48" t="str">
        <x:f>IF(Searches!$A$130&lt;&gt;"Yes","",Searches!$O$130)</x:f>
      </x:c>
      <x:c r="D235" s="48" t="str">
        <x:f>IF(Searches!$A$130&lt;&gt;"Yes","",Searches!$P$130)</x:f>
      </x:c>
      <x:c r="E235" s="48" t="str">
        <x:f>IF(Searches!$A$130&lt;&gt;"Yes","",Searches!$Q$130)</x:f>
      </x:c>
      <x:c r="F235" s="48" t="str">
        <x:f>IF(Searches!$A$130&lt;&gt;"Yes","",Searches!$R$130)</x:f>
      </x:c>
      <x:c r="G235" s="48" t="str">
        <x:f>IF(Searches!$A$130&lt;&gt;"Yes","",Searches!$E$130)</x:f>
      </x:c>
      <x:c r="H235" s="48" t="str">
        <x:f>IF(Searches!$A$130&lt;&gt;"Yes","",Searches!$N$130)</x:f>
      </x:c>
      <x:c r="I235" s="48" t="str">
        <x:f>IF(Searches!$A$130&lt;&gt;"Yes","",Searches!$B$130)</x:f>
      </x:c>
      <x:c r="J235" s="48" t="str">
        <x:f>IF(Searches!$A$130&lt;&gt;"Yes","",Searches!$K$130)</x:f>
      </x:c>
    </x:row>
    <x:row r="236">
      <x:c r="A236" s="48" t="str">
        <x:f>IF(Searches!$A$131&lt;&gt;"Yes","",Searches!$C$131)</x:f>
      </x:c>
      <x:c r="B236" s="48" t="str">
        <x:f>IF(Searches!$A$131&lt;&gt;"Yes","",Searches!$D$131)</x:f>
      </x:c>
      <x:c r="C236" s="48" t="str">
        <x:f>IF(Searches!$A$131&lt;&gt;"Yes","",Searches!$O$131)</x:f>
      </x:c>
      <x:c r="D236" s="48" t="str">
        <x:f>IF(Searches!$A$131&lt;&gt;"Yes","",Searches!$P$131)</x:f>
      </x:c>
      <x:c r="E236" s="48" t="str">
        <x:f>IF(Searches!$A$131&lt;&gt;"Yes","",Searches!$Q$131)</x:f>
      </x:c>
      <x:c r="F236" s="48" t="str">
        <x:f>IF(Searches!$A$131&lt;&gt;"Yes","",Searches!$R$131)</x:f>
      </x:c>
      <x:c r="G236" s="48" t="str">
        <x:f>IF(Searches!$A$131&lt;&gt;"Yes","",Searches!$E$131)</x:f>
      </x:c>
      <x:c r="H236" s="48" t="str">
        <x:f>IF(Searches!$A$131&lt;&gt;"Yes","",Searches!$N$131)</x:f>
      </x:c>
      <x:c r="I236" s="48" t="str">
        <x:f>IF(Searches!$A$131&lt;&gt;"Yes","",Searches!$B$131)</x:f>
      </x:c>
      <x:c r="J236" s="48" t="str">
        <x:f>IF(Searches!$A$131&lt;&gt;"Yes","",Searches!$K$131)</x:f>
      </x:c>
    </x:row>
    <x:row r="237">
      <x:c r="A237" s="48" t="str">
        <x:f>IF(Searches!$A$132&lt;&gt;"Yes","",Searches!$C$132)</x:f>
      </x:c>
      <x:c r="B237" s="48" t="str">
        <x:f>IF(Searches!$A$132&lt;&gt;"Yes","",Searches!$D$132)</x:f>
      </x:c>
      <x:c r="C237" s="48" t="str">
        <x:f>IF(Searches!$A$132&lt;&gt;"Yes","",Searches!$O$132)</x:f>
      </x:c>
      <x:c r="D237" s="48" t="str">
        <x:f>IF(Searches!$A$132&lt;&gt;"Yes","",Searches!$P$132)</x:f>
      </x:c>
      <x:c r="E237" s="48" t="str">
        <x:f>IF(Searches!$A$132&lt;&gt;"Yes","",Searches!$Q$132)</x:f>
      </x:c>
      <x:c r="F237" s="48" t="str">
        <x:f>IF(Searches!$A$132&lt;&gt;"Yes","",Searches!$R$132)</x:f>
      </x:c>
      <x:c r="G237" s="48" t="str">
        <x:f>IF(Searches!$A$132&lt;&gt;"Yes","",Searches!$E$132)</x:f>
      </x:c>
      <x:c r="H237" s="48" t="str">
        <x:f>IF(Searches!$A$132&lt;&gt;"Yes","",Searches!$N$132)</x:f>
      </x:c>
      <x:c r="I237" s="48" t="str">
        <x:f>IF(Searches!$A$132&lt;&gt;"Yes","",Searches!$B$132)</x:f>
      </x:c>
      <x:c r="J237" s="48" t="str">
        <x:f>IF(Searches!$A$132&lt;&gt;"Yes","",Searches!$K$132)</x:f>
      </x:c>
    </x:row>
    <x:row r="238">
      <x:c r="A238" s="48" t="str">
        <x:f>IF(Searches!$A$133&lt;&gt;"Yes","",Searches!$C$133)</x:f>
      </x:c>
      <x:c r="B238" s="48" t="str">
        <x:f>IF(Searches!$A$133&lt;&gt;"Yes","",Searches!$D$133)</x:f>
      </x:c>
      <x:c r="C238" s="48" t="str">
        <x:f>IF(Searches!$A$133&lt;&gt;"Yes","",Searches!$O$133)</x:f>
      </x:c>
      <x:c r="D238" s="48" t="str">
        <x:f>IF(Searches!$A$133&lt;&gt;"Yes","",Searches!$P$133)</x:f>
      </x:c>
      <x:c r="E238" s="48" t="str">
        <x:f>IF(Searches!$A$133&lt;&gt;"Yes","",Searches!$Q$133)</x:f>
      </x:c>
      <x:c r="F238" s="48" t="str">
        <x:f>IF(Searches!$A$133&lt;&gt;"Yes","",Searches!$R$133)</x:f>
      </x:c>
      <x:c r="G238" s="48" t="str">
        <x:f>IF(Searches!$A$133&lt;&gt;"Yes","",Searches!$E$133)</x:f>
      </x:c>
      <x:c r="H238" s="48" t="str">
        <x:f>IF(Searches!$A$133&lt;&gt;"Yes","",Searches!$N$133)</x:f>
      </x:c>
      <x:c r="I238" s="48" t="str">
        <x:f>IF(Searches!$A$133&lt;&gt;"Yes","",Searches!$B$133)</x:f>
      </x:c>
      <x:c r="J238" s="48" t="str">
        <x:f>IF(Searches!$A$133&lt;&gt;"Yes","",Searches!$K$133)</x:f>
      </x:c>
    </x:row>
    <x:row r="239">
      <x:c r="A239" s="48" t="str">
        <x:f>IF(Searches!$A$134&lt;&gt;"Yes","",Searches!$C$134)</x:f>
      </x:c>
      <x:c r="B239" s="48" t="str">
        <x:f>IF(Searches!$A$134&lt;&gt;"Yes","",Searches!$D$134)</x:f>
      </x:c>
      <x:c r="C239" s="48" t="str">
        <x:f>IF(Searches!$A$134&lt;&gt;"Yes","",Searches!$O$134)</x:f>
      </x:c>
      <x:c r="D239" s="48" t="str">
        <x:f>IF(Searches!$A$134&lt;&gt;"Yes","",Searches!$P$134)</x:f>
      </x:c>
      <x:c r="E239" s="48" t="str">
        <x:f>IF(Searches!$A$134&lt;&gt;"Yes","",Searches!$Q$134)</x:f>
      </x:c>
      <x:c r="F239" s="48" t="str">
        <x:f>IF(Searches!$A$134&lt;&gt;"Yes","",Searches!$R$134)</x:f>
      </x:c>
      <x:c r="G239" s="48" t="str">
        <x:f>IF(Searches!$A$134&lt;&gt;"Yes","",Searches!$E$134)</x:f>
      </x:c>
      <x:c r="H239" s="48" t="str">
        <x:f>IF(Searches!$A$134&lt;&gt;"Yes","",Searches!$N$134)</x:f>
      </x:c>
      <x:c r="I239" s="48" t="str">
        <x:f>IF(Searches!$A$134&lt;&gt;"Yes","",Searches!$B$134)</x:f>
      </x:c>
      <x:c r="J239" s="48" t="str">
        <x:f>IF(Searches!$A$134&lt;&gt;"Yes","",Searches!$K$134)</x:f>
      </x:c>
    </x:row>
    <x:row r="240">
      <x:c r="A240" s="48" t="str">
        <x:f>IF(Searches!$A$135&lt;&gt;"Yes","",Searches!$C$135)</x:f>
      </x:c>
      <x:c r="B240" s="48" t="str">
        <x:f>IF(Searches!$A$135&lt;&gt;"Yes","",Searches!$D$135)</x:f>
      </x:c>
      <x:c r="C240" s="48" t="str">
        <x:f>IF(Searches!$A$135&lt;&gt;"Yes","",Searches!$O$135)</x:f>
      </x:c>
      <x:c r="D240" s="48" t="str">
        <x:f>IF(Searches!$A$135&lt;&gt;"Yes","",Searches!$P$135)</x:f>
      </x:c>
      <x:c r="E240" s="48" t="str">
        <x:f>IF(Searches!$A$135&lt;&gt;"Yes","",Searches!$Q$135)</x:f>
      </x:c>
      <x:c r="F240" s="48" t="str">
        <x:f>IF(Searches!$A$135&lt;&gt;"Yes","",Searches!$R$135)</x:f>
      </x:c>
      <x:c r="G240" s="48" t="str">
        <x:f>IF(Searches!$A$135&lt;&gt;"Yes","",Searches!$E$135)</x:f>
      </x:c>
      <x:c r="H240" s="48" t="str">
        <x:f>IF(Searches!$A$135&lt;&gt;"Yes","",Searches!$N$135)</x:f>
      </x:c>
      <x:c r="I240" s="48" t="str">
        <x:f>IF(Searches!$A$135&lt;&gt;"Yes","",Searches!$B$135)</x:f>
      </x:c>
      <x:c r="J240" s="48" t="str">
        <x:f>IF(Searches!$A$135&lt;&gt;"Yes","",Searches!$K$135)</x:f>
      </x:c>
    </x:row>
    <x:row r="241">
      <x:c r="A241" s="48" t="str">
        <x:f>IF(Searches!$A$136&lt;&gt;"Yes","",Searches!$C$136)</x:f>
      </x:c>
      <x:c r="B241" s="48" t="str">
        <x:f>IF(Searches!$A$136&lt;&gt;"Yes","",Searches!$D$136)</x:f>
      </x:c>
      <x:c r="C241" s="48" t="str">
        <x:f>IF(Searches!$A$136&lt;&gt;"Yes","",Searches!$O$136)</x:f>
      </x:c>
      <x:c r="D241" s="48" t="str">
        <x:f>IF(Searches!$A$136&lt;&gt;"Yes","",Searches!$P$136)</x:f>
      </x:c>
      <x:c r="E241" s="48" t="str">
        <x:f>IF(Searches!$A$136&lt;&gt;"Yes","",Searches!$Q$136)</x:f>
      </x:c>
      <x:c r="F241" s="48" t="str">
        <x:f>IF(Searches!$A$136&lt;&gt;"Yes","",Searches!$R$136)</x:f>
      </x:c>
      <x:c r="G241" s="48" t="str">
        <x:f>IF(Searches!$A$136&lt;&gt;"Yes","",Searches!$E$136)</x:f>
      </x:c>
      <x:c r="H241" s="48" t="str">
        <x:f>IF(Searches!$A$136&lt;&gt;"Yes","",Searches!$N$136)</x:f>
      </x:c>
      <x:c r="I241" s="48" t="str">
        <x:f>IF(Searches!$A$136&lt;&gt;"Yes","",Searches!$B$136)</x:f>
      </x:c>
      <x:c r="J241" s="48" t="str">
        <x:f>IF(Searches!$A$136&lt;&gt;"Yes","",Searches!$K$136)</x:f>
      </x:c>
    </x:row>
    <x:row r="242">
      <x:c r="A242" s="48" t="str">
        <x:f>IF(Searches!$A$137&lt;&gt;"Yes","",Searches!$C$137)</x:f>
      </x:c>
      <x:c r="B242" s="48" t="str">
        <x:f>IF(Searches!$A$137&lt;&gt;"Yes","",Searches!$D$137)</x:f>
      </x:c>
      <x:c r="C242" s="48" t="str">
        <x:f>IF(Searches!$A$137&lt;&gt;"Yes","",Searches!$O$137)</x:f>
      </x:c>
      <x:c r="D242" s="48" t="str">
        <x:f>IF(Searches!$A$137&lt;&gt;"Yes","",Searches!$P$137)</x:f>
      </x:c>
      <x:c r="E242" s="48" t="str">
        <x:f>IF(Searches!$A$137&lt;&gt;"Yes","",Searches!$Q$137)</x:f>
      </x:c>
      <x:c r="F242" s="48" t="str">
        <x:f>IF(Searches!$A$137&lt;&gt;"Yes","",Searches!$R$137)</x:f>
      </x:c>
      <x:c r="G242" s="48" t="str">
        <x:f>IF(Searches!$A$137&lt;&gt;"Yes","",Searches!$E$137)</x:f>
      </x:c>
      <x:c r="H242" s="48" t="str">
        <x:f>IF(Searches!$A$137&lt;&gt;"Yes","",Searches!$N$137)</x:f>
      </x:c>
      <x:c r="I242" s="48" t="str">
        <x:f>IF(Searches!$A$137&lt;&gt;"Yes","",Searches!$B$137)</x:f>
      </x:c>
      <x:c r="J242" s="48" t="str">
        <x:f>IF(Searches!$A$137&lt;&gt;"Yes","",Searches!$K$137)</x:f>
      </x:c>
    </x:row>
    <x:row r="243">
      <x:c r="A243" s="48" t="str">
        <x:f>IF(Searches!$A$138&lt;&gt;"Yes","",Searches!$C$138)</x:f>
      </x:c>
      <x:c r="B243" s="48" t="str">
        <x:f>IF(Searches!$A$138&lt;&gt;"Yes","",Searches!$D$138)</x:f>
      </x:c>
      <x:c r="C243" s="48" t="str">
        <x:f>IF(Searches!$A$138&lt;&gt;"Yes","",Searches!$O$138)</x:f>
      </x:c>
      <x:c r="D243" s="48" t="str">
        <x:f>IF(Searches!$A$138&lt;&gt;"Yes","",Searches!$P$138)</x:f>
      </x:c>
      <x:c r="E243" s="48" t="str">
        <x:f>IF(Searches!$A$138&lt;&gt;"Yes","",Searches!$Q$138)</x:f>
      </x:c>
      <x:c r="F243" s="48" t="str">
        <x:f>IF(Searches!$A$138&lt;&gt;"Yes","",Searches!$R$138)</x:f>
      </x:c>
      <x:c r="G243" s="48" t="str">
        <x:f>IF(Searches!$A$138&lt;&gt;"Yes","",Searches!$E$138)</x:f>
      </x:c>
      <x:c r="H243" s="48" t="str">
        <x:f>IF(Searches!$A$138&lt;&gt;"Yes","",Searches!$N$138)</x:f>
      </x:c>
      <x:c r="I243" s="48" t="str">
        <x:f>IF(Searches!$A$138&lt;&gt;"Yes","",Searches!$B$138)</x:f>
      </x:c>
      <x:c r="J243" s="48" t="str">
        <x:f>IF(Searches!$A$138&lt;&gt;"Yes","",Searches!$K$138)</x:f>
      </x:c>
    </x:row>
    <x:row r="244">
      <x:c r="A244" s="48" t="str">
        <x:f>IF(Searches!$A$139&lt;&gt;"Yes","",Searches!$C$139)</x:f>
      </x:c>
      <x:c r="B244" s="48" t="str">
        <x:f>IF(Searches!$A$139&lt;&gt;"Yes","",Searches!$D$139)</x:f>
      </x:c>
      <x:c r="C244" s="48" t="str">
        <x:f>IF(Searches!$A$139&lt;&gt;"Yes","",Searches!$O$139)</x:f>
      </x:c>
      <x:c r="D244" s="48" t="str">
        <x:f>IF(Searches!$A$139&lt;&gt;"Yes","",Searches!$P$139)</x:f>
      </x:c>
      <x:c r="E244" s="48" t="str">
        <x:f>IF(Searches!$A$139&lt;&gt;"Yes","",Searches!$Q$139)</x:f>
      </x:c>
      <x:c r="F244" s="48" t="str">
        <x:f>IF(Searches!$A$139&lt;&gt;"Yes","",Searches!$R$139)</x:f>
      </x:c>
      <x:c r="G244" s="48" t="str">
        <x:f>IF(Searches!$A$139&lt;&gt;"Yes","",Searches!$E$139)</x:f>
      </x:c>
      <x:c r="H244" s="48" t="str">
        <x:f>IF(Searches!$A$139&lt;&gt;"Yes","",Searches!$N$139)</x:f>
      </x:c>
      <x:c r="I244" s="48" t="str">
        <x:f>IF(Searches!$A$139&lt;&gt;"Yes","",Searches!$B$139)</x:f>
      </x:c>
      <x:c r="J244" s="48" t="str">
        <x:f>IF(Searches!$A$139&lt;&gt;"Yes","",Searches!$K$139)</x:f>
      </x:c>
    </x:row>
    <x:row r="245">
      <x:c r="A245" s="48" t="str">
        <x:f>IF(Searches!$A$140&lt;&gt;"Yes","",Searches!$C$140)</x:f>
      </x:c>
      <x:c r="B245" s="48" t="str">
        <x:f>IF(Searches!$A$140&lt;&gt;"Yes","",Searches!$D$140)</x:f>
      </x:c>
      <x:c r="C245" s="48" t="str">
        <x:f>IF(Searches!$A$140&lt;&gt;"Yes","",Searches!$O$140)</x:f>
      </x:c>
      <x:c r="D245" s="48" t="str">
        <x:f>IF(Searches!$A$140&lt;&gt;"Yes","",Searches!$P$140)</x:f>
      </x:c>
      <x:c r="E245" s="48" t="str">
        <x:f>IF(Searches!$A$140&lt;&gt;"Yes","",Searches!$Q$140)</x:f>
      </x:c>
      <x:c r="F245" s="48" t="str">
        <x:f>IF(Searches!$A$140&lt;&gt;"Yes","",Searches!$R$140)</x:f>
      </x:c>
      <x:c r="G245" s="48" t="str">
        <x:f>IF(Searches!$A$140&lt;&gt;"Yes","",Searches!$E$140)</x:f>
      </x:c>
      <x:c r="H245" s="48" t="str">
        <x:f>IF(Searches!$A$140&lt;&gt;"Yes","",Searches!$N$140)</x:f>
      </x:c>
      <x:c r="I245" s="48" t="str">
        <x:f>IF(Searches!$A$140&lt;&gt;"Yes","",Searches!$B$140)</x:f>
      </x:c>
      <x:c r="J245" s="48" t="str">
        <x:f>IF(Searches!$A$140&lt;&gt;"Yes","",Searches!$K$140)</x:f>
      </x:c>
    </x:row>
    <x:row r="246">
      <x:c r="A246" s="48" t="str">
        <x:f>IF(Searches!$A$141&lt;&gt;"Yes","",Searches!$C$141)</x:f>
      </x:c>
      <x:c r="B246" s="48" t="str">
        <x:f>IF(Searches!$A$141&lt;&gt;"Yes","",Searches!$D$141)</x:f>
      </x:c>
      <x:c r="C246" s="48" t="str">
        <x:f>IF(Searches!$A$141&lt;&gt;"Yes","",Searches!$O$141)</x:f>
      </x:c>
      <x:c r="D246" s="48" t="str">
        <x:f>IF(Searches!$A$141&lt;&gt;"Yes","",Searches!$P$141)</x:f>
      </x:c>
      <x:c r="E246" s="48" t="str">
        <x:f>IF(Searches!$A$141&lt;&gt;"Yes","",Searches!$Q$141)</x:f>
      </x:c>
      <x:c r="F246" s="48" t="str">
        <x:f>IF(Searches!$A$141&lt;&gt;"Yes","",Searches!$R$141)</x:f>
      </x:c>
      <x:c r="G246" s="48" t="str">
        <x:f>IF(Searches!$A$141&lt;&gt;"Yes","",Searches!$E$141)</x:f>
      </x:c>
      <x:c r="H246" s="48" t="str">
        <x:f>IF(Searches!$A$141&lt;&gt;"Yes","",Searches!$N$141)</x:f>
      </x:c>
      <x:c r="I246" s="48" t="str">
        <x:f>IF(Searches!$A$141&lt;&gt;"Yes","",Searches!$B$141)</x:f>
      </x:c>
      <x:c r="J246" s="48" t="str">
        <x:f>IF(Searches!$A$141&lt;&gt;"Yes","",Searches!$K$141)</x:f>
      </x:c>
    </x:row>
    <x:row r="247">
      <x:c r="A247" s="48" t="str">
        <x:f>IF(Searches!$A$142&lt;&gt;"Yes","",Searches!$C$142)</x:f>
      </x:c>
      <x:c r="B247" s="48" t="str">
        <x:f>IF(Searches!$A$142&lt;&gt;"Yes","",Searches!$D$142)</x:f>
      </x:c>
      <x:c r="C247" s="48" t="str">
        <x:f>IF(Searches!$A$142&lt;&gt;"Yes","",Searches!$O$142)</x:f>
      </x:c>
      <x:c r="D247" s="48" t="str">
        <x:f>IF(Searches!$A$142&lt;&gt;"Yes","",Searches!$P$142)</x:f>
      </x:c>
      <x:c r="E247" s="48" t="str">
        <x:f>IF(Searches!$A$142&lt;&gt;"Yes","",Searches!$Q$142)</x:f>
      </x:c>
      <x:c r="F247" s="48" t="str">
        <x:f>IF(Searches!$A$142&lt;&gt;"Yes","",Searches!$R$142)</x:f>
      </x:c>
      <x:c r="G247" s="48" t="str">
        <x:f>IF(Searches!$A$142&lt;&gt;"Yes","",Searches!$E$142)</x:f>
      </x:c>
      <x:c r="H247" s="48" t="str">
        <x:f>IF(Searches!$A$142&lt;&gt;"Yes","",Searches!$N$142)</x:f>
      </x:c>
      <x:c r="I247" s="48" t="str">
        <x:f>IF(Searches!$A$142&lt;&gt;"Yes","",Searches!$B$142)</x:f>
      </x:c>
      <x:c r="J247" s="48" t="str">
        <x:f>IF(Searches!$A$142&lt;&gt;"Yes","",Searches!$K$142)</x:f>
      </x:c>
    </x:row>
    <x:row r="248">
      <x:c r="A248" s="48" t="str">
        <x:f>IF(Searches!$A$143&lt;&gt;"Yes","",Searches!$C$143)</x:f>
      </x:c>
      <x:c r="B248" s="48" t="str">
        <x:f>IF(Searches!$A$143&lt;&gt;"Yes","",Searches!$D$143)</x:f>
      </x:c>
      <x:c r="C248" s="48" t="str">
        <x:f>IF(Searches!$A$143&lt;&gt;"Yes","",Searches!$O$143)</x:f>
      </x:c>
      <x:c r="D248" s="48" t="str">
        <x:f>IF(Searches!$A$143&lt;&gt;"Yes","",Searches!$P$143)</x:f>
      </x:c>
      <x:c r="E248" s="48" t="str">
        <x:f>IF(Searches!$A$143&lt;&gt;"Yes","",Searches!$Q$143)</x:f>
      </x:c>
      <x:c r="F248" s="48" t="str">
        <x:f>IF(Searches!$A$143&lt;&gt;"Yes","",Searches!$R$143)</x:f>
      </x:c>
      <x:c r="G248" s="48" t="str">
        <x:f>IF(Searches!$A$143&lt;&gt;"Yes","",Searches!$E$143)</x:f>
      </x:c>
      <x:c r="H248" s="48" t="str">
        <x:f>IF(Searches!$A$143&lt;&gt;"Yes","",Searches!$N$143)</x:f>
      </x:c>
      <x:c r="I248" s="48" t="str">
        <x:f>IF(Searches!$A$143&lt;&gt;"Yes","",Searches!$B$143)</x:f>
      </x:c>
      <x:c r="J248" s="48" t="str">
        <x:f>IF(Searches!$A$143&lt;&gt;"Yes","",Searches!$K$143)</x:f>
      </x:c>
    </x:row>
    <x:row r="249">
      <x:c r="A249" s="48" t="str">
        <x:f>IF(Searches!$A$144&lt;&gt;"Yes","",Searches!$C$144)</x:f>
      </x:c>
      <x:c r="B249" s="48" t="str">
        <x:f>IF(Searches!$A$144&lt;&gt;"Yes","",Searches!$D$144)</x:f>
      </x:c>
      <x:c r="C249" s="48" t="str">
        <x:f>IF(Searches!$A$144&lt;&gt;"Yes","",Searches!$O$144)</x:f>
      </x:c>
      <x:c r="D249" s="48" t="str">
        <x:f>IF(Searches!$A$144&lt;&gt;"Yes","",Searches!$P$144)</x:f>
      </x:c>
      <x:c r="E249" s="48" t="str">
        <x:f>IF(Searches!$A$144&lt;&gt;"Yes","",Searches!$Q$144)</x:f>
      </x:c>
      <x:c r="F249" s="48" t="str">
        <x:f>IF(Searches!$A$144&lt;&gt;"Yes","",Searches!$R$144)</x:f>
      </x:c>
      <x:c r="G249" s="48" t="str">
        <x:f>IF(Searches!$A$144&lt;&gt;"Yes","",Searches!$E$144)</x:f>
      </x:c>
      <x:c r="H249" s="48" t="str">
        <x:f>IF(Searches!$A$144&lt;&gt;"Yes","",Searches!$N$144)</x:f>
      </x:c>
      <x:c r="I249" s="48" t="str">
        <x:f>IF(Searches!$A$144&lt;&gt;"Yes","",Searches!$B$144)</x:f>
      </x:c>
      <x:c r="J249" s="48" t="str">
        <x:f>IF(Searches!$A$144&lt;&gt;"Yes","",Searches!$K$144)</x:f>
      </x:c>
    </x:row>
    <x:row r="250">
      <x:c r="A250" s="48" t="str">
        <x:f>IF(Searches!$A$145&lt;&gt;"Yes","",Searches!$C$145)</x:f>
      </x:c>
      <x:c r="B250" s="48" t="str">
        <x:f>IF(Searches!$A$145&lt;&gt;"Yes","",Searches!$D$145)</x:f>
      </x:c>
      <x:c r="C250" s="48" t="str">
        <x:f>IF(Searches!$A$145&lt;&gt;"Yes","",Searches!$O$145)</x:f>
      </x:c>
      <x:c r="D250" s="48" t="str">
        <x:f>IF(Searches!$A$145&lt;&gt;"Yes","",Searches!$P$145)</x:f>
      </x:c>
      <x:c r="E250" s="48" t="str">
        <x:f>IF(Searches!$A$145&lt;&gt;"Yes","",Searches!$Q$145)</x:f>
      </x:c>
      <x:c r="F250" s="48" t="str">
        <x:f>IF(Searches!$A$145&lt;&gt;"Yes","",Searches!$R$145)</x:f>
      </x:c>
      <x:c r="G250" s="48" t="str">
        <x:f>IF(Searches!$A$145&lt;&gt;"Yes","",Searches!$E$145)</x:f>
      </x:c>
      <x:c r="H250" s="48" t="str">
        <x:f>IF(Searches!$A$145&lt;&gt;"Yes","",Searches!$N$145)</x:f>
      </x:c>
      <x:c r="I250" s="48" t="str">
        <x:f>IF(Searches!$A$145&lt;&gt;"Yes","",Searches!$B$145)</x:f>
      </x:c>
      <x:c r="J250" s="48" t="str">
        <x:f>IF(Searches!$A$145&lt;&gt;"Yes","",Searches!$K$145)</x:f>
      </x:c>
    </x:row>
    <x:row r="251">
      <x:c r="A251" s="48" t="str">
        <x:f>IF(Searches!$A$146&lt;&gt;"Yes","",Searches!$C$146)</x:f>
      </x:c>
      <x:c r="B251" s="48" t="str">
        <x:f>IF(Searches!$A$146&lt;&gt;"Yes","",Searches!$D$146)</x:f>
      </x:c>
      <x:c r="C251" s="48" t="str">
        <x:f>IF(Searches!$A$146&lt;&gt;"Yes","",Searches!$O$146)</x:f>
      </x:c>
      <x:c r="D251" s="48" t="str">
        <x:f>IF(Searches!$A$146&lt;&gt;"Yes","",Searches!$P$146)</x:f>
      </x:c>
      <x:c r="E251" s="48" t="str">
        <x:f>IF(Searches!$A$146&lt;&gt;"Yes","",Searches!$Q$146)</x:f>
      </x:c>
      <x:c r="F251" s="48" t="str">
        <x:f>IF(Searches!$A$146&lt;&gt;"Yes","",Searches!$R$146)</x:f>
      </x:c>
      <x:c r="G251" s="48" t="str">
        <x:f>IF(Searches!$A$146&lt;&gt;"Yes","",Searches!$E$146)</x:f>
      </x:c>
      <x:c r="H251" s="48" t="str">
        <x:f>IF(Searches!$A$146&lt;&gt;"Yes","",Searches!$N$146)</x:f>
      </x:c>
      <x:c r="I251" s="48" t="str">
        <x:f>IF(Searches!$A$146&lt;&gt;"Yes","",Searches!$B$146)</x:f>
      </x:c>
      <x:c r="J251" s="48" t="str">
        <x:f>IF(Searches!$A$146&lt;&gt;"Yes","",Searches!$K$146)</x:f>
      </x:c>
    </x:row>
    <x:row r="252">
      <x:c r="A252" s="48" t="str">
        <x:f>IF(Searches!$A$147&lt;&gt;"Yes","",Searches!$C$147)</x:f>
      </x:c>
      <x:c r="B252" s="48" t="str">
        <x:f>IF(Searches!$A$147&lt;&gt;"Yes","",Searches!$D$147)</x:f>
      </x:c>
      <x:c r="C252" s="48" t="str">
        <x:f>IF(Searches!$A$147&lt;&gt;"Yes","",Searches!$O$147)</x:f>
      </x:c>
      <x:c r="D252" s="48" t="str">
        <x:f>IF(Searches!$A$147&lt;&gt;"Yes","",Searches!$P$147)</x:f>
      </x:c>
      <x:c r="E252" s="48" t="str">
        <x:f>IF(Searches!$A$147&lt;&gt;"Yes","",Searches!$Q$147)</x:f>
      </x:c>
      <x:c r="F252" s="48" t="str">
        <x:f>IF(Searches!$A$147&lt;&gt;"Yes","",Searches!$R$147)</x:f>
      </x:c>
      <x:c r="G252" s="48" t="str">
        <x:f>IF(Searches!$A$147&lt;&gt;"Yes","",Searches!$E$147)</x:f>
      </x:c>
      <x:c r="H252" s="48" t="str">
        <x:f>IF(Searches!$A$147&lt;&gt;"Yes","",Searches!$N$147)</x:f>
      </x:c>
      <x:c r="I252" s="48" t="str">
        <x:f>IF(Searches!$A$147&lt;&gt;"Yes","",Searches!$B$147)</x:f>
      </x:c>
      <x:c r="J252" s="48" t="str">
        <x:f>IF(Searches!$A$147&lt;&gt;"Yes","",Searches!$K$147)</x:f>
      </x:c>
    </x:row>
    <x:row r="253">
      <x:c r="A253" s="48" t="str">
        <x:f>IF(Searches!$A$148&lt;&gt;"Yes","",Searches!$C$148)</x:f>
      </x:c>
      <x:c r="B253" s="48" t="str">
        <x:f>IF(Searches!$A$148&lt;&gt;"Yes","",Searches!$D$148)</x:f>
      </x:c>
      <x:c r="C253" s="48" t="str">
        <x:f>IF(Searches!$A$148&lt;&gt;"Yes","",Searches!$O$148)</x:f>
      </x:c>
      <x:c r="D253" s="48" t="str">
        <x:f>IF(Searches!$A$148&lt;&gt;"Yes","",Searches!$P$148)</x:f>
      </x:c>
      <x:c r="E253" s="48" t="str">
        <x:f>IF(Searches!$A$148&lt;&gt;"Yes","",Searches!$Q$148)</x:f>
      </x:c>
      <x:c r="F253" s="48" t="str">
        <x:f>IF(Searches!$A$148&lt;&gt;"Yes","",Searches!$R$148)</x:f>
      </x:c>
      <x:c r="G253" s="48" t="str">
        <x:f>IF(Searches!$A$148&lt;&gt;"Yes","",Searches!$E$148)</x:f>
      </x:c>
      <x:c r="H253" s="48" t="str">
        <x:f>IF(Searches!$A$148&lt;&gt;"Yes","",Searches!$N$148)</x:f>
      </x:c>
      <x:c r="I253" s="48" t="str">
        <x:f>IF(Searches!$A$148&lt;&gt;"Yes","",Searches!$B$148)</x:f>
      </x:c>
      <x:c r="J253" s="48" t="str">
        <x:f>IF(Searches!$A$148&lt;&gt;"Yes","",Searches!$K$148)</x:f>
      </x:c>
    </x:row>
    <x:row r="254">
      <x:c r="A254" s="48" t="str">
        <x:f>IF(Searches!$A$149&lt;&gt;"Yes","",Searches!$C$149)</x:f>
      </x:c>
      <x:c r="B254" s="48" t="str">
        <x:f>IF(Searches!$A$149&lt;&gt;"Yes","",Searches!$D$149)</x:f>
      </x:c>
      <x:c r="C254" s="48" t="str">
        <x:f>IF(Searches!$A$149&lt;&gt;"Yes","",Searches!$O$149)</x:f>
      </x:c>
      <x:c r="D254" s="48" t="str">
        <x:f>IF(Searches!$A$149&lt;&gt;"Yes","",Searches!$P$149)</x:f>
      </x:c>
      <x:c r="E254" s="48" t="str">
        <x:f>IF(Searches!$A$149&lt;&gt;"Yes","",Searches!$Q$149)</x:f>
      </x:c>
      <x:c r="F254" s="48" t="str">
        <x:f>IF(Searches!$A$149&lt;&gt;"Yes","",Searches!$R$149)</x:f>
      </x:c>
      <x:c r="G254" s="48" t="str">
        <x:f>IF(Searches!$A$149&lt;&gt;"Yes","",Searches!$E$149)</x:f>
      </x:c>
      <x:c r="H254" s="48" t="str">
        <x:f>IF(Searches!$A$149&lt;&gt;"Yes","",Searches!$N$149)</x:f>
      </x:c>
      <x:c r="I254" s="48" t="str">
        <x:f>IF(Searches!$A$149&lt;&gt;"Yes","",Searches!$B$149)</x:f>
      </x:c>
      <x:c r="J254" s="48" t="str">
        <x:f>IF(Searches!$A$149&lt;&gt;"Yes","",Searches!$K$149)</x:f>
      </x:c>
    </x:row>
    <x:row r="255">
      <x:c r="A255" s="48" t="str">
        <x:f>IF(Searches!$A$150&lt;&gt;"Yes","",Searches!$C$150)</x:f>
      </x:c>
      <x:c r="B255" s="48" t="str">
        <x:f>IF(Searches!$A$150&lt;&gt;"Yes","",Searches!$D$150)</x:f>
      </x:c>
      <x:c r="C255" s="48" t="str">
        <x:f>IF(Searches!$A$150&lt;&gt;"Yes","",Searches!$O$150)</x:f>
      </x:c>
      <x:c r="D255" s="48" t="str">
        <x:f>IF(Searches!$A$150&lt;&gt;"Yes","",Searches!$P$150)</x:f>
      </x:c>
      <x:c r="E255" s="48" t="str">
        <x:f>IF(Searches!$A$150&lt;&gt;"Yes","",Searches!$Q$150)</x:f>
      </x:c>
      <x:c r="F255" s="48" t="str">
        <x:f>IF(Searches!$A$150&lt;&gt;"Yes","",Searches!$R$150)</x:f>
      </x:c>
      <x:c r="G255" s="48" t="str">
        <x:f>IF(Searches!$A$150&lt;&gt;"Yes","",Searches!$E$150)</x:f>
      </x:c>
      <x:c r="H255" s="48" t="str">
        <x:f>IF(Searches!$A$150&lt;&gt;"Yes","",Searches!$N$150)</x:f>
      </x:c>
      <x:c r="I255" s="48" t="str">
        <x:f>IF(Searches!$A$150&lt;&gt;"Yes","",Searches!$B$150)</x:f>
      </x:c>
      <x:c r="J255" s="48" t="str">
        <x:f>IF(Searches!$A$150&lt;&gt;"Yes","",Searches!$K$150)</x:f>
      </x:c>
    </x:row>
    <x:row r="256">
      <x:c r="A256" s="48" t="str">
        <x:f>IF(Searches!$A$151&lt;&gt;"Yes","",Searches!$C$151)</x:f>
      </x:c>
      <x:c r="B256" s="48" t="str">
        <x:f>IF(Searches!$A$151&lt;&gt;"Yes","",Searches!$D$151)</x:f>
      </x:c>
      <x:c r="C256" s="48" t="str">
        <x:f>IF(Searches!$A$151&lt;&gt;"Yes","",Searches!$O$151)</x:f>
      </x:c>
      <x:c r="D256" s="48" t="str">
        <x:f>IF(Searches!$A$151&lt;&gt;"Yes","",Searches!$P$151)</x:f>
      </x:c>
      <x:c r="E256" s="48" t="str">
        <x:f>IF(Searches!$A$151&lt;&gt;"Yes","",Searches!$Q$151)</x:f>
      </x:c>
      <x:c r="F256" s="48" t="str">
        <x:f>IF(Searches!$A$151&lt;&gt;"Yes","",Searches!$R$151)</x:f>
      </x:c>
      <x:c r="G256" s="48" t="str">
        <x:f>IF(Searches!$A$151&lt;&gt;"Yes","",Searches!$E$151)</x:f>
      </x:c>
      <x:c r="H256" s="48" t="str">
        <x:f>IF(Searches!$A$151&lt;&gt;"Yes","",Searches!$N$151)</x:f>
      </x:c>
      <x:c r="I256" s="48" t="str">
        <x:f>IF(Searches!$A$151&lt;&gt;"Yes","",Searches!$B$151)</x:f>
      </x:c>
      <x:c r="J256" s="48" t="str">
        <x:f>IF(Searches!$A$151&lt;&gt;"Yes","",Searches!$K$151)</x:f>
      </x:c>
    </x:row>
    <x:row r="257">
      <x:c r="A257" s="48" t="str">
        <x:f>IF(Searches!$A$152&lt;&gt;"Yes","",Searches!$C$152)</x:f>
      </x:c>
      <x:c r="B257" s="48" t="str">
        <x:f>IF(Searches!$A$152&lt;&gt;"Yes","",Searches!$D$152)</x:f>
      </x:c>
      <x:c r="C257" s="48" t="str">
        <x:f>IF(Searches!$A$152&lt;&gt;"Yes","",Searches!$O$152)</x:f>
      </x:c>
      <x:c r="D257" s="48" t="str">
        <x:f>IF(Searches!$A$152&lt;&gt;"Yes","",Searches!$P$152)</x:f>
      </x:c>
      <x:c r="E257" s="48" t="str">
        <x:f>IF(Searches!$A$152&lt;&gt;"Yes","",Searches!$Q$152)</x:f>
      </x:c>
      <x:c r="F257" s="48" t="str">
        <x:f>IF(Searches!$A$152&lt;&gt;"Yes","",Searches!$R$152)</x:f>
      </x:c>
      <x:c r="G257" s="48" t="str">
        <x:f>IF(Searches!$A$152&lt;&gt;"Yes","",Searches!$E$152)</x:f>
      </x:c>
      <x:c r="H257" s="48" t="str">
        <x:f>IF(Searches!$A$152&lt;&gt;"Yes","",Searches!$N$152)</x:f>
      </x:c>
      <x:c r="I257" s="48" t="str">
        <x:f>IF(Searches!$A$152&lt;&gt;"Yes","",Searches!$B$152)</x:f>
      </x:c>
      <x:c r="J257" s="48" t="str">
        <x:f>IF(Searches!$A$152&lt;&gt;"Yes","",Searches!$K$152)</x:f>
      </x:c>
    </x:row>
    <x:row r="258">
      <x:c r="A258" s="48" t="str">
        <x:f>IF(Searches!$A$153&lt;&gt;"Yes","",Searches!$C$153)</x:f>
      </x:c>
      <x:c r="B258" s="48" t="str">
        <x:f>IF(Searches!$A$153&lt;&gt;"Yes","",Searches!$D$153)</x:f>
      </x:c>
      <x:c r="C258" s="48" t="str">
        <x:f>IF(Searches!$A$153&lt;&gt;"Yes","",Searches!$O$153)</x:f>
      </x:c>
      <x:c r="D258" s="48" t="str">
        <x:f>IF(Searches!$A$153&lt;&gt;"Yes","",Searches!$P$153)</x:f>
      </x:c>
      <x:c r="E258" s="48" t="str">
        <x:f>IF(Searches!$A$153&lt;&gt;"Yes","",Searches!$Q$153)</x:f>
      </x:c>
      <x:c r="F258" s="48" t="str">
        <x:f>IF(Searches!$A$153&lt;&gt;"Yes","",Searches!$R$153)</x:f>
      </x:c>
      <x:c r="G258" s="48" t="str">
        <x:f>IF(Searches!$A$153&lt;&gt;"Yes","",Searches!$E$153)</x:f>
      </x:c>
      <x:c r="H258" s="48" t="str">
        <x:f>IF(Searches!$A$153&lt;&gt;"Yes","",Searches!$N$153)</x:f>
      </x:c>
      <x:c r="I258" s="48" t="str">
        <x:f>IF(Searches!$A$153&lt;&gt;"Yes","",Searches!$B$153)</x:f>
      </x:c>
      <x:c r="J258" s="48" t="str">
        <x:f>IF(Searches!$A$153&lt;&gt;"Yes","",Searches!$K$153)</x:f>
      </x:c>
    </x:row>
    <x:row r="259">
      <x:c r="A259" s="48" t="str">
        <x:f>IF(Searches!$A$154&lt;&gt;"Yes","",Searches!$C$154)</x:f>
      </x:c>
      <x:c r="B259" s="48" t="str">
        <x:f>IF(Searches!$A$154&lt;&gt;"Yes","",Searches!$D$154)</x:f>
      </x:c>
      <x:c r="C259" s="48" t="str">
        <x:f>IF(Searches!$A$154&lt;&gt;"Yes","",Searches!$O$154)</x:f>
      </x:c>
      <x:c r="D259" s="48" t="str">
        <x:f>IF(Searches!$A$154&lt;&gt;"Yes","",Searches!$P$154)</x:f>
      </x:c>
      <x:c r="E259" s="48" t="str">
        <x:f>IF(Searches!$A$154&lt;&gt;"Yes","",Searches!$Q$154)</x:f>
      </x:c>
      <x:c r="F259" s="48" t="str">
        <x:f>IF(Searches!$A$154&lt;&gt;"Yes","",Searches!$R$154)</x:f>
      </x:c>
      <x:c r="G259" s="48" t="str">
        <x:f>IF(Searches!$A$154&lt;&gt;"Yes","",Searches!$E$154)</x:f>
      </x:c>
      <x:c r="H259" s="48" t="str">
        <x:f>IF(Searches!$A$154&lt;&gt;"Yes","",Searches!$N$154)</x:f>
      </x:c>
      <x:c r="I259" s="48" t="str">
        <x:f>IF(Searches!$A$154&lt;&gt;"Yes","",Searches!$B$154)</x:f>
      </x:c>
      <x:c r="J259" s="48" t="str">
        <x:f>IF(Searches!$A$154&lt;&gt;"Yes","",Searches!$K$154)</x:f>
      </x:c>
    </x:row>
    <x:row r="260">
      <x:c r="A260" s="48" t="str">
        <x:f>IF(Searches!$A$155&lt;&gt;"Yes","",Searches!$C$155)</x:f>
      </x:c>
      <x:c r="B260" s="48" t="str">
        <x:f>IF(Searches!$A$155&lt;&gt;"Yes","",Searches!$D$155)</x:f>
      </x:c>
      <x:c r="C260" s="48" t="str">
        <x:f>IF(Searches!$A$155&lt;&gt;"Yes","",Searches!$O$155)</x:f>
      </x:c>
      <x:c r="D260" s="48" t="str">
        <x:f>IF(Searches!$A$155&lt;&gt;"Yes","",Searches!$P$155)</x:f>
      </x:c>
      <x:c r="E260" s="48" t="str">
        <x:f>IF(Searches!$A$155&lt;&gt;"Yes","",Searches!$Q$155)</x:f>
      </x:c>
      <x:c r="F260" s="48" t="str">
        <x:f>IF(Searches!$A$155&lt;&gt;"Yes","",Searches!$R$155)</x:f>
      </x:c>
      <x:c r="G260" s="48" t="str">
        <x:f>IF(Searches!$A$155&lt;&gt;"Yes","",Searches!$E$155)</x:f>
      </x:c>
      <x:c r="H260" s="48" t="str">
        <x:f>IF(Searches!$A$155&lt;&gt;"Yes","",Searches!$N$155)</x:f>
      </x:c>
      <x:c r="I260" s="48" t="str">
        <x:f>IF(Searches!$A$155&lt;&gt;"Yes","",Searches!$B$155)</x:f>
      </x:c>
      <x:c r="J260" s="48" t="str">
        <x:f>IF(Searches!$A$155&lt;&gt;"Yes","",Searches!$K$155)</x:f>
      </x:c>
    </x:row>
    <x:row r="261">
      <x:c r="A261" s="48" t="str">
        <x:f>IF(Searches!$A$156&lt;&gt;"Yes","",Searches!$C$156)</x:f>
      </x:c>
      <x:c r="B261" s="48" t="str">
        <x:f>IF(Searches!$A$156&lt;&gt;"Yes","",Searches!$D$156)</x:f>
      </x:c>
      <x:c r="C261" s="48" t="str">
        <x:f>IF(Searches!$A$156&lt;&gt;"Yes","",Searches!$O$156)</x:f>
      </x:c>
      <x:c r="D261" s="48" t="str">
        <x:f>IF(Searches!$A$156&lt;&gt;"Yes","",Searches!$P$156)</x:f>
      </x:c>
      <x:c r="E261" s="48" t="str">
        <x:f>IF(Searches!$A$156&lt;&gt;"Yes","",Searches!$Q$156)</x:f>
      </x:c>
      <x:c r="F261" s="48" t="str">
        <x:f>IF(Searches!$A$156&lt;&gt;"Yes","",Searches!$R$156)</x:f>
      </x:c>
      <x:c r="G261" s="48" t="str">
        <x:f>IF(Searches!$A$156&lt;&gt;"Yes","",Searches!$E$156)</x:f>
      </x:c>
      <x:c r="H261" s="48" t="str">
        <x:f>IF(Searches!$A$156&lt;&gt;"Yes","",Searches!$N$156)</x:f>
      </x:c>
      <x:c r="I261" s="48" t="str">
        <x:f>IF(Searches!$A$156&lt;&gt;"Yes","",Searches!$B$156)</x:f>
      </x:c>
      <x:c r="J261" s="48" t="str">
        <x:f>IF(Searches!$A$156&lt;&gt;"Yes","",Searches!$K$156)</x:f>
      </x:c>
    </x:row>
    <x:row r="262">
      <x:c r="A262" s="48" t="str">
        <x:f>IF(Searches!$A$157&lt;&gt;"Yes","",Searches!$C$157)</x:f>
      </x:c>
      <x:c r="B262" s="48" t="str">
        <x:f>IF(Searches!$A$157&lt;&gt;"Yes","",Searches!$D$157)</x:f>
      </x:c>
      <x:c r="C262" s="48" t="str">
        <x:f>IF(Searches!$A$157&lt;&gt;"Yes","",Searches!$O$157)</x:f>
      </x:c>
      <x:c r="D262" s="48" t="str">
        <x:f>IF(Searches!$A$157&lt;&gt;"Yes","",Searches!$P$157)</x:f>
      </x:c>
      <x:c r="E262" s="48" t="str">
        <x:f>IF(Searches!$A$157&lt;&gt;"Yes","",Searches!$Q$157)</x:f>
      </x:c>
      <x:c r="F262" s="48" t="str">
        <x:f>IF(Searches!$A$157&lt;&gt;"Yes","",Searches!$R$157)</x:f>
      </x:c>
      <x:c r="G262" s="48" t="str">
        <x:f>IF(Searches!$A$157&lt;&gt;"Yes","",Searches!$E$157)</x:f>
      </x:c>
      <x:c r="H262" s="48" t="str">
        <x:f>IF(Searches!$A$157&lt;&gt;"Yes","",Searches!$N$157)</x:f>
      </x:c>
      <x:c r="I262" s="48" t="str">
        <x:f>IF(Searches!$A$157&lt;&gt;"Yes","",Searches!$B$157)</x:f>
      </x:c>
      <x:c r="J262" s="48" t="str">
        <x:f>IF(Searches!$A$157&lt;&gt;"Yes","",Searches!$K$157)</x:f>
      </x:c>
    </x:row>
    <x:row r="263">
      <x:c r="A263" s="48" t="str">
        <x:f>IF(Searches!$A$158&lt;&gt;"Yes","",Searches!$C$158)</x:f>
      </x:c>
      <x:c r="B263" s="48" t="str">
        <x:f>IF(Searches!$A$158&lt;&gt;"Yes","",Searches!$D$158)</x:f>
      </x:c>
      <x:c r="C263" s="48" t="str">
        <x:f>IF(Searches!$A$158&lt;&gt;"Yes","",Searches!$O$158)</x:f>
      </x:c>
      <x:c r="D263" s="48" t="str">
        <x:f>IF(Searches!$A$158&lt;&gt;"Yes","",Searches!$P$158)</x:f>
      </x:c>
      <x:c r="E263" s="48" t="str">
        <x:f>IF(Searches!$A$158&lt;&gt;"Yes","",Searches!$Q$158)</x:f>
      </x:c>
      <x:c r="F263" s="48" t="str">
        <x:f>IF(Searches!$A$158&lt;&gt;"Yes","",Searches!$R$158)</x:f>
      </x:c>
      <x:c r="G263" s="48" t="str">
        <x:f>IF(Searches!$A$158&lt;&gt;"Yes","",Searches!$E$158)</x:f>
      </x:c>
      <x:c r="H263" s="48" t="str">
        <x:f>IF(Searches!$A$158&lt;&gt;"Yes","",Searches!$N$158)</x:f>
      </x:c>
      <x:c r="I263" s="48" t="str">
        <x:f>IF(Searches!$A$158&lt;&gt;"Yes","",Searches!$B$158)</x:f>
      </x:c>
      <x:c r="J263" s="48" t="str">
        <x:f>IF(Searches!$A$158&lt;&gt;"Yes","",Searches!$K$158)</x:f>
      </x:c>
    </x:row>
    <x:row r="264">
      <x:c r="A264" s="48" t="str">
        <x:f>IF(Searches!$A$159&lt;&gt;"Yes","",Searches!$C$159)</x:f>
      </x:c>
      <x:c r="B264" s="48" t="str">
        <x:f>IF(Searches!$A$159&lt;&gt;"Yes","",Searches!$D$159)</x:f>
      </x:c>
      <x:c r="C264" s="48" t="str">
        <x:f>IF(Searches!$A$159&lt;&gt;"Yes","",Searches!$O$159)</x:f>
      </x:c>
      <x:c r="D264" s="48" t="str">
        <x:f>IF(Searches!$A$159&lt;&gt;"Yes","",Searches!$P$159)</x:f>
      </x:c>
      <x:c r="E264" s="48" t="str">
        <x:f>IF(Searches!$A$159&lt;&gt;"Yes","",Searches!$Q$159)</x:f>
      </x:c>
      <x:c r="F264" s="48" t="str">
        <x:f>IF(Searches!$A$159&lt;&gt;"Yes","",Searches!$R$159)</x:f>
      </x:c>
      <x:c r="G264" s="48" t="str">
        <x:f>IF(Searches!$A$159&lt;&gt;"Yes","",Searches!$E$159)</x:f>
      </x:c>
      <x:c r="H264" s="48" t="str">
        <x:f>IF(Searches!$A$159&lt;&gt;"Yes","",Searches!$N$159)</x:f>
      </x:c>
      <x:c r="I264" s="48" t="str">
        <x:f>IF(Searches!$A$159&lt;&gt;"Yes","",Searches!$B$159)</x:f>
      </x:c>
      <x:c r="J264" s="48" t="str">
        <x:f>IF(Searches!$A$159&lt;&gt;"Yes","",Searches!$K$159)</x:f>
      </x:c>
    </x:row>
    <x:row r="265">
      <x:c r="A265" s="48" t="str">
        <x:f>IF(Searches!$A$160&lt;&gt;"Yes","",Searches!$C$160)</x:f>
      </x:c>
      <x:c r="B265" s="48" t="str">
        <x:f>IF(Searches!$A$160&lt;&gt;"Yes","",Searches!$D$160)</x:f>
      </x:c>
      <x:c r="C265" s="48" t="str">
        <x:f>IF(Searches!$A$160&lt;&gt;"Yes","",Searches!$O$160)</x:f>
      </x:c>
      <x:c r="D265" s="48" t="str">
        <x:f>IF(Searches!$A$160&lt;&gt;"Yes","",Searches!$P$160)</x:f>
      </x:c>
      <x:c r="E265" s="48" t="str">
        <x:f>IF(Searches!$A$160&lt;&gt;"Yes","",Searches!$Q$160)</x:f>
      </x:c>
      <x:c r="F265" s="48" t="str">
        <x:f>IF(Searches!$A$160&lt;&gt;"Yes","",Searches!$R$160)</x:f>
      </x:c>
      <x:c r="G265" s="48" t="str">
        <x:f>IF(Searches!$A$160&lt;&gt;"Yes","",Searches!$E$160)</x:f>
      </x:c>
      <x:c r="H265" s="48" t="str">
        <x:f>IF(Searches!$A$160&lt;&gt;"Yes","",Searches!$N$160)</x:f>
      </x:c>
      <x:c r="I265" s="48" t="str">
        <x:f>IF(Searches!$A$160&lt;&gt;"Yes","",Searches!$B$160)</x:f>
      </x:c>
      <x:c r="J265" s="48" t="str">
        <x:f>IF(Searches!$A$160&lt;&gt;"Yes","",Searches!$K$160)</x:f>
      </x:c>
    </x:row>
    <x:row r="266">
      <x:c r="A266" s="48" t="str">
        <x:f>IF(Searches!$A$161&lt;&gt;"Yes","",Searches!$C$161)</x:f>
      </x:c>
      <x:c r="B266" s="48" t="str">
        <x:f>IF(Searches!$A$161&lt;&gt;"Yes","",Searches!$D$161)</x:f>
      </x:c>
      <x:c r="C266" s="48" t="str">
        <x:f>IF(Searches!$A$161&lt;&gt;"Yes","",Searches!$O$161)</x:f>
      </x:c>
      <x:c r="D266" s="48" t="str">
        <x:f>IF(Searches!$A$161&lt;&gt;"Yes","",Searches!$P$161)</x:f>
      </x:c>
      <x:c r="E266" s="48" t="str">
        <x:f>IF(Searches!$A$161&lt;&gt;"Yes","",Searches!$Q$161)</x:f>
      </x:c>
      <x:c r="F266" s="48" t="str">
        <x:f>IF(Searches!$A$161&lt;&gt;"Yes","",Searches!$R$161)</x:f>
      </x:c>
      <x:c r="G266" s="48" t="str">
        <x:f>IF(Searches!$A$161&lt;&gt;"Yes","",Searches!$E$161)</x:f>
      </x:c>
      <x:c r="H266" s="48" t="str">
        <x:f>IF(Searches!$A$161&lt;&gt;"Yes","",Searches!$N$161)</x:f>
      </x:c>
      <x:c r="I266" s="48" t="str">
        <x:f>IF(Searches!$A$161&lt;&gt;"Yes","",Searches!$B$161)</x:f>
      </x:c>
      <x:c r="J266" s="48" t="str">
        <x:f>IF(Searches!$A$161&lt;&gt;"Yes","",Searches!$K$161)</x:f>
      </x:c>
    </x:row>
    <x:row r="267">
      <x:c r="A267" s="48" t="str">
        <x:f>IF(Searches!$A$162&lt;&gt;"Yes","",Searches!$C$162)</x:f>
      </x:c>
      <x:c r="B267" s="48" t="str">
        <x:f>IF(Searches!$A$162&lt;&gt;"Yes","",Searches!$D$162)</x:f>
      </x:c>
      <x:c r="C267" s="48" t="str">
        <x:f>IF(Searches!$A$162&lt;&gt;"Yes","",Searches!$O$162)</x:f>
      </x:c>
      <x:c r="D267" s="48" t="str">
        <x:f>IF(Searches!$A$162&lt;&gt;"Yes","",Searches!$P$162)</x:f>
      </x:c>
      <x:c r="E267" s="48" t="str">
        <x:f>IF(Searches!$A$162&lt;&gt;"Yes","",Searches!$Q$162)</x:f>
      </x:c>
      <x:c r="F267" s="48" t="str">
        <x:f>IF(Searches!$A$162&lt;&gt;"Yes","",Searches!$R$162)</x:f>
      </x:c>
      <x:c r="G267" s="48" t="str">
        <x:f>IF(Searches!$A$162&lt;&gt;"Yes","",Searches!$E$162)</x:f>
      </x:c>
      <x:c r="H267" s="48" t="str">
        <x:f>IF(Searches!$A$162&lt;&gt;"Yes","",Searches!$N$162)</x:f>
      </x:c>
      <x:c r="I267" s="48" t="str">
        <x:f>IF(Searches!$A$162&lt;&gt;"Yes","",Searches!$B$162)</x:f>
      </x:c>
      <x:c r="J267" s="48" t="str">
        <x:f>IF(Searches!$A$162&lt;&gt;"Yes","",Searches!$K$162)</x:f>
      </x:c>
    </x:row>
    <x:row r="268">
      <x:c r="A268" s="48" t="str">
        <x:f>IF(Searches!$A$163&lt;&gt;"Yes","",Searches!$C$163)</x:f>
      </x:c>
      <x:c r="B268" s="48" t="str">
        <x:f>IF(Searches!$A$163&lt;&gt;"Yes","",Searches!$D$163)</x:f>
      </x:c>
      <x:c r="C268" s="48" t="str">
        <x:f>IF(Searches!$A$163&lt;&gt;"Yes","",Searches!$O$163)</x:f>
      </x:c>
      <x:c r="D268" s="48" t="str">
        <x:f>IF(Searches!$A$163&lt;&gt;"Yes","",Searches!$P$163)</x:f>
      </x:c>
      <x:c r="E268" s="48" t="str">
        <x:f>IF(Searches!$A$163&lt;&gt;"Yes","",Searches!$Q$163)</x:f>
      </x:c>
      <x:c r="F268" s="48" t="str">
        <x:f>IF(Searches!$A$163&lt;&gt;"Yes","",Searches!$R$163)</x:f>
      </x:c>
      <x:c r="G268" s="48" t="str">
        <x:f>IF(Searches!$A$163&lt;&gt;"Yes","",Searches!$E$163)</x:f>
      </x:c>
      <x:c r="H268" s="48" t="str">
        <x:f>IF(Searches!$A$163&lt;&gt;"Yes","",Searches!$N$163)</x:f>
      </x:c>
      <x:c r="I268" s="48" t="str">
        <x:f>IF(Searches!$A$163&lt;&gt;"Yes","",Searches!$B$163)</x:f>
      </x:c>
      <x:c r="J268" s="48" t="str">
        <x:f>IF(Searches!$A$163&lt;&gt;"Yes","",Searches!$K$163)</x:f>
      </x:c>
    </x:row>
    <x:row r="269">
      <x:c r="A269" s="48" t="str">
        <x:f>IF(Searches!$A$164&lt;&gt;"Yes","",Searches!$C$164)</x:f>
      </x:c>
      <x:c r="B269" s="48" t="str">
        <x:f>IF(Searches!$A$164&lt;&gt;"Yes","",Searches!$D$164)</x:f>
      </x:c>
      <x:c r="C269" s="48" t="str">
        <x:f>IF(Searches!$A$164&lt;&gt;"Yes","",Searches!$O$164)</x:f>
      </x:c>
      <x:c r="D269" s="48" t="str">
        <x:f>IF(Searches!$A$164&lt;&gt;"Yes","",Searches!$P$164)</x:f>
      </x:c>
      <x:c r="E269" s="48" t="str">
        <x:f>IF(Searches!$A$164&lt;&gt;"Yes","",Searches!$Q$164)</x:f>
      </x:c>
      <x:c r="F269" s="48" t="str">
        <x:f>IF(Searches!$A$164&lt;&gt;"Yes","",Searches!$R$164)</x:f>
      </x:c>
      <x:c r="G269" s="48" t="str">
        <x:f>IF(Searches!$A$164&lt;&gt;"Yes","",Searches!$E$164)</x:f>
      </x:c>
      <x:c r="H269" s="48" t="str">
        <x:f>IF(Searches!$A$164&lt;&gt;"Yes","",Searches!$N$164)</x:f>
      </x:c>
      <x:c r="I269" s="48" t="str">
        <x:f>IF(Searches!$A$164&lt;&gt;"Yes","",Searches!$B$164)</x:f>
      </x:c>
      <x:c r="J269" s="48" t="str">
        <x:f>IF(Searches!$A$164&lt;&gt;"Yes","",Searches!$K$164)</x:f>
      </x:c>
    </x:row>
    <x:row r="270">
      <x:c r="A270" s="48" t="str">
        <x:f>IF(Searches!$A$165&lt;&gt;"Yes","",Searches!$C$165)</x:f>
      </x:c>
      <x:c r="B270" s="48" t="str">
        <x:f>IF(Searches!$A$165&lt;&gt;"Yes","",Searches!$D$165)</x:f>
      </x:c>
      <x:c r="C270" s="48" t="str">
        <x:f>IF(Searches!$A$165&lt;&gt;"Yes","",Searches!$O$165)</x:f>
      </x:c>
      <x:c r="D270" s="48" t="str">
        <x:f>IF(Searches!$A$165&lt;&gt;"Yes","",Searches!$P$165)</x:f>
      </x:c>
      <x:c r="E270" s="48" t="str">
        <x:f>IF(Searches!$A$165&lt;&gt;"Yes","",Searches!$Q$165)</x:f>
      </x:c>
      <x:c r="F270" s="48" t="str">
        <x:f>IF(Searches!$A$165&lt;&gt;"Yes","",Searches!$R$165)</x:f>
      </x:c>
      <x:c r="G270" s="48" t="str">
        <x:f>IF(Searches!$A$165&lt;&gt;"Yes","",Searches!$E$165)</x:f>
      </x:c>
      <x:c r="H270" s="48" t="str">
        <x:f>IF(Searches!$A$165&lt;&gt;"Yes","",Searches!$N$165)</x:f>
      </x:c>
      <x:c r="I270" s="48" t="str">
        <x:f>IF(Searches!$A$165&lt;&gt;"Yes","",Searches!$B$165)</x:f>
      </x:c>
      <x:c r="J270" s="48" t="str">
        <x:f>IF(Searches!$A$165&lt;&gt;"Yes","",Searches!$K$165)</x:f>
      </x:c>
    </x:row>
    <x:row r="271">
      <x:c r="A271" s="48" t="str">
        <x:f>IF(Searches!$A$166&lt;&gt;"Yes","",Searches!$C$166)</x:f>
      </x:c>
      <x:c r="B271" s="48" t="str">
        <x:f>IF(Searches!$A$166&lt;&gt;"Yes","",Searches!$D$166)</x:f>
      </x:c>
      <x:c r="C271" s="48" t="str">
        <x:f>IF(Searches!$A$166&lt;&gt;"Yes","",Searches!$O$166)</x:f>
      </x:c>
      <x:c r="D271" s="48" t="str">
        <x:f>IF(Searches!$A$166&lt;&gt;"Yes","",Searches!$P$166)</x:f>
      </x:c>
      <x:c r="E271" s="48" t="str">
        <x:f>IF(Searches!$A$166&lt;&gt;"Yes","",Searches!$Q$166)</x:f>
      </x:c>
      <x:c r="F271" s="48" t="str">
        <x:f>IF(Searches!$A$166&lt;&gt;"Yes","",Searches!$R$166)</x:f>
      </x:c>
      <x:c r="G271" s="48" t="str">
        <x:f>IF(Searches!$A$166&lt;&gt;"Yes","",Searches!$E$166)</x:f>
      </x:c>
      <x:c r="H271" s="48" t="str">
        <x:f>IF(Searches!$A$166&lt;&gt;"Yes","",Searches!$N$166)</x:f>
      </x:c>
      <x:c r="I271" s="48" t="str">
        <x:f>IF(Searches!$A$166&lt;&gt;"Yes","",Searches!$B$166)</x:f>
      </x:c>
      <x:c r="J271" s="48" t="str">
        <x:f>IF(Searches!$A$166&lt;&gt;"Yes","",Searches!$K$166)</x:f>
      </x:c>
    </x:row>
    <x:row r="272">
      <x:c r="A272" s="48" t="str">
        <x:f>IF(Searches!$A$167&lt;&gt;"Yes","",Searches!$C$167)</x:f>
      </x:c>
      <x:c r="B272" s="48" t="str">
        <x:f>IF(Searches!$A$167&lt;&gt;"Yes","",Searches!$D$167)</x:f>
      </x:c>
      <x:c r="C272" s="48" t="str">
        <x:f>IF(Searches!$A$167&lt;&gt;"Yes","",Searches!$O$167)</x:f>
      </x:c>
      <x:c r="D272" s="48" t="str">
        <x:f>IF(Searches!$A$167&lt;&gt;"Yes","",Searches!$P$167)</x:f>
      </x:c>
      <x:c r="E272" s="48" t="str">
        <x:f>IF(Searches!$A$167&lt;&gt;"Yes","",Searches!$Q$167)</x:f>
      </x:c>
      <x:c r="F272" s="48" t="str">
        <x:f>IF(Searches!$A$167&lt;&gt;"Yes","",Searches!$R$167)</x:f>
      </x:c>
      <x:c r="G272" s="48" t="str">
        <x:f>IF(Searches!$A$167&lt;&gt;"Yes","",Searches!$E$167)</x:f>
      </x:c>
      <x:c r="H272" s="48" t="str">
        <x:f>IF(Searches!$A$167&lt;&gt;"Yes","",Searches!$N$167)</x:f>
      </x:c>
      <x:c r="I272" s="48" t="str">
        <x:f>IF(Searches!$A$167&lt;&gt;"Yes","",Searches!$B$167)</x:f>
      </x:c>
      <x:c r="J272" s="48" t="str">
        <x:f>IF(Searches!$A$167&lt;&gt;"Yes","",Searches!$K$167)</x:f>
      </x:c>
    </x:row>
    <x:row r="273">
      <x:c r="A273" s="48" t="str">
        <x:f>IF(Searches!$A$168&lt;&gt;"Yes","",Searches!$C$168)</x:f>
      </x:c>
      <x:c r="B273" s="48" t="str">
        <x:f>IF(Searches!$A$168&lt;&gt;"Yes","",Searches!$D$168)</x:f>
      </x:c>
      <x:c r="C273" s="48" t="str">
        <x:f>IF(Searches!$A$168&lt;&gt;"Yes","",Searches!$O$168)</x:f>
      </x:c>
      <x:c r="D273" s="48" t="str">
        <x:f>IF(Searches!$A$168&lt;&gt;"Yes","",Searches!$P$168)</x:f>
      </x:c>
      <x:c r="E273" s="48" t="str">
        <x:f>IF(Searches!$A$168&lt;&gt;"Yes","",Searches!$Q$168)</x:f>
      </x:c>
      <x:c r="F273" s="48" t="str">
        <x:f>IF(Searches!$A$168&lt;&gt;"Yes","",Searches!$R$168)</x:f>
      </x:c>
      <x:c r="G273" s="48" t="str">
        <x:f>IF(Searches!$A$168&lt;&gt;"Yes","",Searches!$E$168)</x:f>
      </x:c>
      <x:c r="H273" s="48" t="str">
        <x:f>IF(Searches!$A$168&lt;&gt;"Yes","",Searches!$N$168)</x:f>
      </x:c>
      <x:c r="I273" s="48" t="str">
        <x:f>IF(Searches!$A$168&lt;&gt;"Yes","",Searches!$B$168)</x:f>
      </x:c>
      <x:c r="J273" s="48" t="str">
        <x:f>IF(Searches!$A$168&lt;&gt;"Yes","",Searches!$K$168)</x:f>
      </x:c>
    </x:row>
    <x:row r="274">
      <x:c r="A274" s="48" t="str">
        <x:f>IF(Searches!$A$169&lt;&gt;"Yes","",Searches!$C$169)</x:f>
      </x:c>
      <x:c r="B274" s="48" t="str">
        <x:f>IF(Searches!$A$169&lt;&gt;"Yes","",Searches!$D$169)</x:f>
      </x:c>
      <x:c r="C274" s="48" t="str">
        <x:f>IF(Searches!$A$169&lt;&gt;"Yes","",Searches!$O$169)</x:f>
      </x:c>
      <x:c r="D274" s="48" t="str">
        <x:f>IF(Searches!$A$169&lt;&gt;"Yes","",Searches!$P$169)</x:f>
      </x:c>
      <x:c r="E274" s="48" t="str">
        <x:f>IF(Searches!$A$169&lt;&gt;"Yes","",Searches!$Q$169)</x:f>
      </x:c>
      <x:c r="F274" s="48" t="str">
        <x:f>IF(Searches!$A$169&lt;&gt;"Yes","",Searches!$R$169)</x:f>
      </x:c>
      <x:c r="G274" s="48" t="str">
        <x:f>IF(Searches!$A$169&lt;&gt;"Yes","",Searches!$E$169)</x:f>
      </x:c>
      <x:c r="H274" s="48" t="str">
        <x:f>IF(Searches!$A$169&lt;&gt;"Yes","",Searches!$N$169)</x:f>
      </x:c>
      <x:c r="I274" s="48" t="str">
        <x:f>IF(Searches!$A$169&lt;&gt;"Yes","",Searches!$B$169)</x:f>
      </x:c>
      <x:c r="J274" s="48" t="str">
        <x:f>IF(Searches!$A$169&lt;&gt;"Yes","",Searches!$K$169)</x:f>
      </x:c>
    </x:row>
    <x:row r="275">
      <x:c r="A275" s="48" t="str">
        <x:f>IF(Searches!$A$170&lt;&gt;"Yes","",Searches!$C$170)</x:f>
      </x:c>
      <x:c r="B275" s="48" t="str">
        <x:f>IF(Searches!$A$170&lt;&gt;"Yes","",Searches!$D$170)</x:f>
      </x:c>
      <x:c r="C275" s="48" t="str">
        <x:f>IF(Searches!$A$170&lt;&gt;"Yes","",Searches!$O$170)</x:f>
      </x:c>
      <x:c r="D275" s="48" t="str">
        <x:f>IF(Searches!$A$170&lt;&gt;"Yes","",Searches!$P$170)</x:f>
      </x:c>
      <x:c r="E275" s="48" t="str">
        <x:f>IF(Searches!$A$170&lt;&gt;"Yes","",Searches!$Q$170)</x:f>
      </x:c>
      <x:c r="F275" s="48" t="str">
        <x:f>IF(Searches!$A$170&lt;&gt;"Yes","",Searches!$R$170)</x:f>
      </x:c>
      <x:c r="G275" s="48" t="str">
        <x:f>IF(Searches!$A$170&lt;&gt;"Yes","",Searches!$E$170)</x:f>
      </x:c>
      <x:c r="H275" s="48" t="str">
        <x:f>IF(Searches!$A$170&lt;&gt;"Yes","",Searches!$N$170)</x:f>
      </x:c>
      <x:c r="I275" s="48" t="str">
        <x:f>IF(Searches!$A$170&lt;&gt;"Yes","",Searches!$B$170)</x:f>
      </x:c>
      <x:c r="J275" s="48" t="str">
        <x:f>IF(Searches!$A$170&lt;&gt;"Yes","",Searches!$K$170)</x:f>
      </x:c>
    </x:row>
    <x:row r="276">
      <x:c r="A276" s="48" t="str">
        <x:f>IF(Searches!$A$171&lt;&gt;"Yes","",Searches!$C$171)</x:f>
      </x:c>
      <x:c r="B276" s="48" t="str">
        <x:f>IF(Searches!$A$171&lt;&gt;"Yes","",Searches!$D$171)</x:f>
      </x:c>
      <x:c r="C276" s="48" t="str">
        <x:f>IF(Searches!$A$171&lt;&gt;"Yes","",Searches!$O$171)</x:f>
      </x:c>
      <x:c r="D276" s="48" t="str">
        <x:f>IF(Searches!$A$171&lt;&gt;"Yes","",Searches!$P$171)</x:f>
      </x:c>
      <x:c r="E276" s="48" t="str">
        <x:f>IF(Searches!$A$171&lt;&gt;"Yes","",Searches!$Q$171)</x:f>
      </x:c>
      <x:c r="F276" s="48" t="str">
        <x:f>IF(Searches!$A$171&lt;&gt;"Yes","",Searches!$R$171)</x:f>
      </x:c>
      <x:c r="G276" s="48" t="str">
        <x:f>IF(Searches!$A$171&lt;&gt;"Yes","",Searches!$E$171)</x:f>
      </x:c>
      <x:c r="H276" s="48" t="str">
        <x:f>IF(Searches!$A$171&lt;&gt;"Yes","",Searches!$N$171)</x:f>
      </x:c>
      <x:c r="I276" s="48" t="str">
        <x:f>IF(Searches!$A$171&lt;&gt;"Yes","",Searches!$B$171)</x:f>
      </x:c>
      <x:c r="J276" s="48" t="str">
        <x:f>IF(Searches!$A$171&lt;&gt;"Yes","",Searches!$K$171)</x:f>
      </x:c>
    </x:row>
    <x:row r="277">
      <x:c r="A277" s="48" t="str">
        <x:f>IF(Searches!$A$172&lt;&gt;"Yes","",Searches!$C$172)</x:f>
      </x:c>
      <x:c r="B277" s="48" t="str">
        <x:f>IF(Searches!$A$172&lt;&gt;"Yes","",Searches!$D$172)</x:f>
      </x:c>
      <x:c r="C277" s="48" t="str">
        <x:f>IF(Searches!$A$172&lt;&gt;"Yes","",Searches!$O$172)</x:f>
      </x:c>
      <x:c r="D277" s="48" t="str">
        <x:f>IF(Searches!$A$172&lt;&gt;"Yes","",Searches!$P$172)</x:f>
      </x:c>
      <x:c r="E277" s="48" t="str">
        <x:f>IF(Searches!$A$172&lt;&gt;"Yes","",Searches!$Q$172)</x:f>
      </x:c>
      <x:c r="F277" s="48" t="str">
        <x:f>IF(Searches!$A$172&lt;&gt;"Yes","",Searches!$R$172)</x:f>
      </x:c>
      <x:c r="G277" s="48" t="str">
        <x:f>IF(Searches!$A$172&lt;&gt;"Yes","",Searches!$E$172)</x:f>
      </x:c>
      <x:c r="H277" s="48" t="str">
        <x:f>IF(Searches!$A$172&lt;&gt;"Yes","",Searches!$N$172)</x:f>
      </x:c>
      <x:c r="I277" s="48" t="str">
        <x:f>IF(Searches!$A$172&lt;&gt;"Yes","",Searches!$B$172)</x:f>
      </x:c>
      <x:c r="J277" s="48" t="str">
        <x:f>IF(Searches!$A$172&lt;&gt;"Yes","",Searches!$K$172)</x:f>
      </x:c>
    </x:row>
    <x:row r="278">
      <x:c r="A278" s="48" t="str">
        <x:f>IF(Searches!$A$173&lt;&gt;"Yes","",Searches!$C$173)</x:f>
      </x:c>
      <x:c r="B278" s="48" t="str">
        <x:f>IF(Searches!$A$173&lt;&gt;"Yes","",Searches!$D$173)</x:f>
      </x:c>
      <x:c r="C278" s="48" t="str">
        <x:f>IF(Searches!$A$173&lt;&gt;"Yes","",Searches!$O$173)</x:f>
      </x:c>
      <x:c r="D278" s="48" t="str">
        <x:f>IF(Searches!$A$173&lt;&gt;"Yes","",Searches!$P$173)</x:f>
      </x:c>
      <x:c r="E278" s="48" t="str">
        <x:f>IF(Searches!$A$173&lt;&gt;"Yes","",Searches!$Q$173)</x:f>
      </x:c>
      <x:c r="F278" s="48" t="str">
        <x:f>IF(Searches!$A$173&lt;&gt;"Yes","",Searches!$R$173)</x:f>
      </x:c>
      <x:c r="G278" s="48" t="str">
        <x:f>IF(Searches!$A$173&lt;&gt;"Yes","",Searches!$E$173)</x:f>
      </x:c>
      <x:c r="H278" s="48" t="str">
        <x:f>IF(Searches!$A$173&lt;&gt;"Yes","",Searches!$N$173)</x:f>
      </x:c>
      <x:c r="I278" s="48" t="str">
        <x:f>IF(Searches!$A$173&lt;&gt;"Yes","",Searches!$B$173)</x:f>
      </x:c>
      <x:c r="J278" s="48" t="str">
        <x:f>IF(Searches!$A$173&lt;&gt;"Yes","",Searches!$K$173)</x:f>
      </x:c>
    </x:row>
    <x:row r="279">
      <x:c r="A279" s="48" t="str">
        <x:f>IF(Searches!$A$174&lt;&gt;"Yes","",Searches!$C$174)</x:f>
      </x:c>
      <x:c r="B279" s="48" t="str">
        <x:f>IF(Searches!$A$174&lt;&gt;"Yes","",Searches!$D$174)</x:f>
      </x:c>
      <x:c r="C279" s="48" t="str">
        <x:f>IF(Searches!$A$174&lt;&gt;"Yes","",Searches!$O$174)</x:f>
      </x:c>
      <x:c r="D279" s="48" t="str">
        <x:f>IF(Searches!$A$174&lt;&gt;"Yes","",Searches!$P$174)</x:f>
      </x:c>
      <x:c r="E279" s="48" t="str">
        <x:f>IF(Searches!$A$174&lt;&gt;"Yes","",Searches!$Q$174)</x:f>
      </x:c>
      <x:c r="F279" s="48" t="str">
        <x:f>IF(Searches!$A$174&lt;&gt;"Yes","",Searches!$R$174)</x:f>
      </x:c>
      <x:c r="G279" s="48" t="str">
        <x:f>IF(Searches!$A$174&lt;&gt;"Yes","",Searches!$E$174)</x:f>
      </x:c>
      <x:c r="H279" s="48" t="str">
        <x:f>IF(Searches!$A$174&lt;&gt;"Yes","",Searches!$N$174)</x:f>
      </x:c>
      <x:c r="I279" s="48" t="str">
        <x:f>IF(Searches!$A$174&lt;&gt;"Yes","",Searches!$B$174)</x:f>
      </x:c>
      <x:c r="J279" s="48" t="str">
        <x:f>IF(Searches!$A$174&lt;&gt;"Yes","",Searches!$K$174)</x:f>
      </x:c>
    </x:row>
    <x:row r="280">
      <x:c r="A280" s="48" t="str">
        <x:f>IF(Searches!$A$175&lt;&gt;"Yes","",Searches!$C$175)</x:f>
      </x:c>
      <x:c r="B280" s="48" t="str">
        <x:f>IF(Searches!$A$175&lt;&gt;"Yes","",Searches!$D$175)</x:f>
      </x:c>
      <x:c r="C280" s="48" t="str">
        <x:f>IF(Searches!$A$175&lt;&gt;"Yes","",Searches!$O$175)</x:f>
      </x:c>
      <x:c r="D280" s="48" t="str">
        <x:f>IF(Searches!$A$175&lt;&gt;"Yes","",Searches!$P$175)</x:f>
      </x:c>
      <x:c r="E280" s="48" t="str">
        <x:f>IF(Searches!$A$175&lt;&gt;"Yes","",Searches!$Q$175)</x:f>
      </x:c>
      <x:c r="F280" s="48" t="str">
        <x:f>IF(Searches!$A$175&lt;&gt;"Yes","",Searches!$R$175)</x:f>
      </x:c>
      <x:c r="G280" s="48" t="str">
        <x:f>IF(Searches!$A$175&lt;&gt;"Yes","",Searches!$E$175)</x:f>
      </x:c>
      <x:c r="H280" s="48" t="str">
        <x:f>IF(Searches!$A$175&lt;&gt;"Yes","",Searches!$N$175)</x:f>
      </x:c>
      <x:c r="I280" s="48" t="str">
        <x:f>IF(Searches!$A$175&lt;&gt;"Yes","",Searches!$B$175)</x:f>
      </x:c>
      <x:c r="J280" s="48" t="str">
        <x:f>IF(Searches!$A$175&lt;&gt;"Yes","",Searches!$K$175)</x:f>
      </x:c>
    </x:row>
    <x:row r="281">
      <x:c r="A281" s="48" t="str">
        <x:f>IF(Searches!$A$176&lt;&gt;"Yes","",Searches!$C$176)</x:f>
      </x:c>
      <x:c r="B281" s="48" t="str">
        <x:f>IF(Searches!$A$176&lt;&gt;"Yes","",Searches!$D$176)</x:f>
      </x:c>
      <x:c r="C281" s="48" t="str">
        <x:f>IF(Searches!$A$176&lt;&gt;"Yes","",Searches!$O$176)</x:f>
      </x:c>
      <x:c r="D281" s="48" t="str">
        <x:f>IF(Searches!$A$176&lt;&gt;"Yes","",Searches!$P$176)</x:f>
      </x:c>
      <x:c r="E281" s="48" t="str">
        <x:f>IF(Searches!$A$176&lt;&gt;"Yes","",Searches!$Q$176)</x:f>
      </x:c>
      <x:c r="F281" s="48" t="str">
        <x:f>IF(Searches!$A$176&lt;&gt;"Yes","",Searches!$R$176)</x:f>
      </x:c>
      <x:c r="G281" s="48" t="str">
        <x:f>IF(Searches!$A$176&lt;&gt;"Yes","",Searches!$E$176)</x:f>
      </x:c>
      <x:c r="H281" s="48" t="str">
        <x:f>IF(Searches!$A$176&lt;&gt;"Yes","",Searches!$N$176)</x:f>
      </x:c>
      <x:c r="I281" s="48" t="str">
        <x:f>IF(Searches!$A$176&lt;&gt;"Yes","",Searches!$B$176)</x:f>
      </x:c>
      <x:c r="J281" s="48" t="str">
        <x:f>IF(Searches!$A$176&lt;&gt;"Yes","",Searches!$K$176)</x:f>
      </x:c>
    </x:row>
    <x:row r="282">
      <x:c r="A282" s="48" t="str">
        <x:f>IF(Searches!$A$177&lt;&gt;"Yes","",Searches!$C$177)</x:f>
      </x:c>
      <x:c r="B282" s="48" t="str">
        <x:f>IF(Searches!$A$177&lt;&gt;"Yes","",Searches!$D$177)</x:f>
      </x:c>
      <x:c r="C282" s="48" t="str">
        <x:f>IF(Searches!$A$177&lt;&gt;"Yes","",Searches!$O$177)</x:f>
      </x:c>
      <x:c r="D282" s="48" t="str">
        <x:f>IF(Searches!$A$177&lt;&gt;"Yes","",Searches!$P$177)</x:f>
      </x:c>
      <x:c r="E282" s="48" t="str">
        <x:f>IF(Searches!$A$177&lt;&gt;"Yes","",Searches!$Q$177)</x:f>
      </x:c>
      <x:c r="F282" s="48" t="str">
        <x:f>IF(Searches!$A$177&lt;&gt;"Yes","",Searches!$R$177)</x:f>
      </x:c>
      <x:c r="G282" s="48" t="str">
        <x:f>IF(Searches!$A$177&lt;&gt;"Yes","",Searches!$E$177)</x:f>
      </x:c>
      <x:c r="H282" s="48" t="str">
        <x:f>IF(Searches!$A$177&lt;&gt;"Yes","",Searches!$N$177)</x:f>
      </x:c>
      <x:c r="I282" s="48" t="str">
        <x:f>IF(Searches!$A$177&lt;&gt;"Yes","",Searches!$B$177)</x:f>
      </x:c>
      <x:c r="J282" s="48" t="str">
        <x:f>IF(Searches!$A$177&lt;&gt;"Yes","",Searches!$K$177)</x:f>
      </x:c>
    </x:row>
    <x:row r="283">
      <x:c r="A283" s="48" t="str">
        <x:f>IF(Searches!$A$178&lt;&gt;"Yes","",Searches!$C$178)</x:f>
      </x:c>
      <x:c r="B283" s="48" t="str">
        <x:f>IF(Searches!$A$178&lt;&gt;"Yes","",Searches!$D$178)</x:f>
      </x:c>
      <x:c r="C283" s="48" t="str">
        <x:f>IF(Searches!$A$178&lt;&gt;"Yes","",Searches!$O$178)</x:f>
      </x:c>
      <x:c r="D283" s="48" t="str">
        <x:f>IF(Searches!$A$178&lt;&gt;"Yes","",Searches!$P$178)</x:f>
      </x:c>
      <x:c r="E283" s="48" t="str">
        <x:f>IF(Searches!$A$178&lt;&gt;"Yes","",Searches!$Q$178)</x:f>
      </x:c>
      <x:c r="F283" s="48" t="str">
        <x:f>IF(Searches!$A$178&lt;&gt;"Yes","",Searches!$R$178)</x:f>
      </x:c>
      <x:c r="G283" s="48" t="str">
        <x:f>IF(Searches!$A$178&lt;&gt;"Yes","",Searches!$E$178)</x:f>
      </x:c>
      <x:c r="H283" s="48" t="str">
        <x:f>IF(Searches!$A$178&lt;&gt;"Yes","",Searches!$N$178)</x:f>
      </x:c>
      <x:c r="I283" s="48" t="str">
        <x:f>IF(Searches!$A$178&lt;&gt;"Yes","",Searches!$B$178)</x:f>
      </x:c>
      <x:c r="J283" s="48" t="str">
        <x:f>IF(Searches!$A$178&lt;&gt;"Yes","",Searches!$K$178)</x:f>
      </x:c>
    </x:row>
    <x:row r="284">
      <x:c r="A284" s="48" t="str">
        <x:f>IF(Searches!$A$179&lt;&gt;"Yes","",Searches!$C$179)</x:f>
      </x:c>
      <x:c r="B284" s="48" t="str">
        <x:f>IF(Searches!$A$179&lt;&gt;"Yes","",Searches!$D$179)</x:f>
      </x:c>
      <x:c r="C284" s="48" t="str">
        <x:f>IF(Searches!$A$179&lt;&gt;"Yes","",Searches!$O$179)</x:f>
      </x:c>
      <x:c r="D284" s="48" t="str">
        <x:f>IF(Searches!$A$179&lt;&gt;"Yes","",Searches!$P$179)</x:f>
      </x:c>
      <x:c r="E284" s="48" t="str">
        <x:f>IF(Searches!$A$179&lt;&gt;"Yes","",Searches!$Q$179)</x:f>
      </x:c>
      <x:c r="F284" s="48" t="str">
        <x:f>IF(Searches!$A$179&lt;&gt;"Yes","",Searches!$R$179)</x:f>
      </x:c>
      <x:c r="G284" s="48" t="str">
        <x:f>IF(Searches!$A$179&lt;&gt;"Yes","",Searches!$E$179)</x:f>
      </x:c>
      <x:c r="H284" s="48" t="str">
        <x:f>IF(Searches!$A$179&lt;&gt;"Yes","",Searches!$N$179)</x:f>
      </x:c>
      <x:c r="I284" s="48" t="str">
        <x:f>IF(Searches!$A$179&lt;&gt;"Yes","",Searches!$B$179)</x:f>
      </x:c>
      <x:c r="J284" s="48" t="str">
        <x:f>IF(Searches!$A$179&lt;&gt;"Yes","",Searches!$K$179)</x:f>
      </x:c>
    </x:row>
    <x:row r="285">
      <x:c r="A285" s="48" t="str">
        <x:f>IF(Searches!$A$180&lt;&gt;"Yes","",Searches!$C$180)</x:f>
      </x:c>
      <x:c r="B285" s="48" t="str">
        <x:f>IF(Searches!$A$180&lt;&gt;"Yes","",Searches!$D$180)</x:f>
      </x:c>
      <x:c r="C285" s="48" t="str">
        <x:f>IF(Searches!$A$180&lt;&gt;"Yes","",Searches!$O$180)</x:f>
      </x:c>
      <x:c r="D285" s="48" t="str">
        <x:f>IF(Searches!$A$180&lt;&gt;"Yes","",Searches!$P$180)</x:f>
      </x:c>
      <x:c r="E285" s="48" t="str">
        <x:f>IF(Searches!$A$180&lt;&gt;"Yes","",Searches!$Q$180)</x:f>
      </x:c>
      <x:c r="F285" s="48" t="str">
        <x:f>IF(Searches!$A$180&lt;&gt;"Yes","",Searches!$R$180)</x:f>
      </x:c>
      <x:c r="G285" s="48" t="str">
        <x:f>IF(Searches!$A$180&lt;&gt;"Yes","",Searches!$E$180)</x:f>
      </x:c>
      <x:c r="H285" s="48" t="str">
        <x:f>IF(Searches!$A$180&lt;&gt;"Yes","",Searches!$N$180)</x:f>
      </x:c>
      <x:c r="I285" s="48" t="str">
        <x:f>IF(Searches!$A$180&lt;&gt;"Yes","",Searches!$B$180)</x:f>
      </x:c>
      <x:c r="J285" s="48" t="str">
        <x:f>IF(Searches!$A$180&lt;&gt;"Yes","",Searches!$K$180)</x:f>
      </x:c>
    </x:row>
    <x:row r="286">
      <x:c r="A286" s="48" t="str">
        <x:f>IF(Searches!$A$181&lt;&gt;"Yes","",Searches!$C$181)</x:f>
      </x:c>
      <x:c r="B286" s="48" t="str">
        <x:f>IF(Searches!$A$181&lt;&gt;"Yes","",Searches!$D$181)</x:f>
      </x:c>
      <x:c r="C286" s="48" t="str">
        <x:f>IF(Searches!$A$181&lt;&gt;"Yes","",Searches!$O$181)</x:f>
      </x:c>
      <x:c r="D286" s="48" t="str">
        <x:f>IF(Searches!$A$181&lt;&gt;"Yes","",Searches!$P$181)</x:f>
      </x:c>
      <x:c r="E286" s="48" t="str">
        <x:f>IF(Searches!$A$181&lt;&gt;"Yes","",Searches!$Q$181)</x:f>
      </x:c>
      <x:c r="F286" s="48" t="str">
        <x:f>IF(Searches!$A$181&lt;&gt;"Yes","",Searches!$R$181)</x:f>
      </x:c>
      <x:c r="G286" s="48" t="str">
        <x:f>IF(Searches!$A$181&lt;&gt;"Yes","",Searches!$E$181)</x:f>
      </x:c>
      <x:c r="H286" s="48" t="str">
        <x:f>IF(Searches!$A$181&lt;&gt;"Yes","",Searches!$N$181)</x:f>
      </x:c>
      <x:c r="I286" s="48" t="str">
        <x:f>IF(Searches!$A$181&lt;&gt;"Yes","",Searches!$B$181)</x:f>
      </x:c>
      <x:c r="J286" s="48" t="str">
        <x:f>IF(Searches!$A$181&lt;&gt;"Yes","",Searches!$K$181)</x:f>
      </x:c>
    </x:row>
    <x:row r="287">
      <x:c r="A287" s="48" t="str">
        <x:f>IF(Searches!$A$182&lt;&gt;"Yes","",Searches!$C$182)</x:f>
      </x:c>
      <x:c r="B287" s="48" t="str">
        <x:f>IF(Searches!$A$182&lt;&gt;"Yes","",Searches!$D$182)</x:f>
      </x:c>
      <x:c r="C287" s="48" t="str">
        <x:f>IF(Searches!$A$182&lt;&gt;"Yes","",Searches!$O$182)</x:f>
      </x:c>
      <x:c r="D287" s="48" t="str">
        <x:f>IF(Searches!$A$182&lt;&gt;"Yes","",Searches!$P$182)</x:f>
      </x:c>
      <x:c r="E287" s="48" t="str">
        <x:f>IF(Searches!$A$182&lt;&gt;"Yes","",Searches!$Q$182)</x:f>
      </x:c>
      <x:c r="F287" s="48" t="str">
        <x:f>IF(Searches!$A$182&lt;&gt;"Yes","",Searches!$R$182)</x:f>
      </x:c>
      <x:c r="G287" s="48" t="str">
        <x:f>IF(Searches!$A$182&lt;&gt;"Yes","",Searches!$E$182)</x:f>
      </x:c>
      <x:c r="H287" s="48" t="str">
        <x:f>IF(Searches!$A$182&lt;&gt;"Yes","",Searches!$N$182)</x:f>
      </x:c>
      <x:c r="I287" s="48" t="str">
        <x:f>IF(Searches!$A$182&lt;&gt;"Yes","",Searches!$B$182)</x:f>
      </x:c>
      <x:c r="J287" s="48" t="str">
        <x:f>IF(Searches!$A$182&lt;&gt;"Yes","",Searches!$K$182)</x:f>
      </x:c>
    </x:row>
    <x:row r="288">
      <x:c r="A288" s="48" t="str">
        <x:f>IF(Searches!$A$183&lt;&gt;"Yes","",Searches!$C$183)</x:f>
      </x:c>
      <x:c r="B288" s="48" t="str">
        <x:f>IF(Searches!$A$183&lt;&gt;"Yes","",Searches!$D$183)</x:f>
      </x:c>
      <x:c r="C288" s="48" t="str">
        <x:f>IF(Searches!$A$183&lt;&gt;"Yes","",Searches!$O$183)</x:f>
      </x:c>
      <x:c r="D288" s="48" t="str">
        <x:f>IF(Searches!$A$183&lt;&gt;"Yes","",Searches!$P$183)</x:f>
      </x:c>
      <x:c r="E288" s="48" t="str">
        <x:f>IF(Searches!$A$183&lt;&gt;"Yes","",Searches!$Q$183)</x:f>
      </x:c>
      <x:c r="F288" s="48" t="str">
        <x:f>IF(Searches!$A$183&lt;&gt;"Yes","",Searches!$R$183)</x:f>
      </x:c>
      <x:c r="G288" s="48" t="str">
        <x:f>IF(Searches!$A$183&lt;&gt;"Yes","",Searches!$E$183)</x:f>
      </x:c>
      <x:c r="H288" s="48" t="str">
        <x:f>IF(Searches!$A$183&lt;&gt;"Yes","",Searches!$N$183)</x:f>
      </x:c>
      <x:c r="I288" s="48" t="str">
        <x:f>IF(Searches!$A$183&lt;&gt;"Yes","",Searches!$B$183)</x:f>
      </x:c>
      <x:c r="J288" s="48" t="str">
        <x:f>IF(Searches!$A$183&lt;&gt;"Yes","",Searches!$K$183)</x:f>
      </x:c>
    </x:row>
    <x:row r="289">
      <x:c r="A289" s="48" t="str">
        <x:f>IF(Searches!$A$184&lt;&gt;"Yes","",Searches!$C$184)</x:f>
      </x:c>
      <x:c r="B289" s="48" t="str">
        <x:f>IF(Searches!$A$184&lt;&gt;"Yes","",Searches!$D$184)</x:f>
      </x:c>
      <x:c r="C289" s="48" t="str">
        <x:f>IF(Searches!$A$184&lt;&gt;"Yes","",Searches!$O$184)</x:f>
      </x:c>
      <x:c r="D289" s="48" t="str">
        <x:f>IF(Searches!$A$184&lt;&gt;"Yes","",Searches!$P$184)</x:f>
      </x:c>
      <x:c r="E289" s="48" t="str">
        <x:f>IF(Searches!$A$184&lt;&gt;"Yes","",Searches!$Q$184)</x:f>
      </x:c>
      <x:c r="F289" s="48" t="str">
        <x:f>IF(Searches!$A$184&lt;&gt;"Yes","",Searches!$R$184)</x:f>
      </x:c>
      <x:c r="G289" s="48" t="str">
        <x:f>IF(Searches!$A$184&lt;&gt;"Yes","",Searches!$E$184)</x:f>
      </x:c>
      <x:c r="H289" s="48" t="str">
        <x:f>IF(Searches!$A$184&lt;&gt;"Yes","",Searches!$N$184)</x:f>
      </x:c>
      <x:c r="I289" s="48" t="str">
        <x:f>IF(Searches!$A$184&lt;&gt;"Yes","",Searches!$B$184)</x:f>
      </x:c>
      <x:c r="J289" s="48" t="str">
        <x:f>IF(Searches!$A$184&lt;&gt;"Yes","",Searches!$K$184)</x:f>
      </x:c>
    </x:row>
    <x:row r="290">
      <x:c r="A290" s="48" t="str">
        <x:f>IF(Searches!$A$185&lt;&gt;"Yes","",Searches!$C$185)</x:f>
      </x:c>
      <x:c r="B290" s="48" t="str">
        <x:f>IF(Searches!$A$185&lt;&gt;"Yes","",Searches!$D$185)</x:f>
      </x:c>
      <x:c r="C290" s="48" t="str">
        <x:f>IF(Searches!$A$185&lt;&gt;"Yes","",Searches!$O$185)</x:f>
      </x:c>
      <x:c r="D290" s="48" t="str">
        <x:f>IF(Searches!$A$185&lt;&gt;"Yes","",Searches!$P$185)</x:f>
      </x:c>
      <x:c r="E290" s="48" t="str">
        <x:f>IF(Searches!$A$185&lt;&gt;"Yes","",Searches!$Q$185)</x:f>
      </x:c>
      <x:c r="F290" s="48" t="str">
        <x:f>IF(Searches!$A$185&lt;&gt;"Yes","",Searches!$R$185)</x:f>
      </x:c>
      <x:c r="G290" s="48" t="str">
        <x:f>IF(Searches!$A$185&lt;&gt;"Yes","",Searches!$E$185)</x:f>
      </x:c>
      <x:c r="H290" s="48" t="str">
        <x:f>IF(Searches!$A$185&lt;&gt;"Yes","",Searches!$N$185)</x:f>
      </x:c>
      <x:c r="I290" s="48" t="str">
        <x:f>IF(Searches!$A$185&lt;&gt;"Yes","",Searches!$B$185)</x:f>
      </x:c>
      <x:c r="J290" s="48" t="str">
        <x:f>IF(Searches!$A$185&lt;&gt;"Yes","",Searches!$K$185)</x:f>
      </x:c>
    </x:row>
    <x:row r="291">
      <x:c r="A291" s="48" t="str">
        <x:f>IF(Searches!$A$186&lt;&gt;"Yes","",Searches!$C$186)</x:f>
      </x:c>
      <x:c r="B291" s="48" t="str">
        <x:f>IF(Searches!$A$186&lt;&gt;"Yes","",Searches!$D$186)</x:f>
      </x:c>
      <x:c r="C291" s="48" t="str">
        <x:f>IF(Searches!$A$186&lt;&gt;"Yes","",Searches!$O$186)</x:f>
      </x:c>
      <x:c r="D291" s="48" t="str">
        <x:f>IF(Searches!$A$186&lt;&gt;"Yes","",Searches!$P$186)</x:f>
      </x:c>
      <x:c r="E291" s="48" t="str">
        <x:f>IF(Searches!$A$186&lt;&gt;"Yes","",Searches!$Q$186)</x:f>
      </x:c>
      <x:c r="F291" s="48" t="str">
        <x:f>IF(Searches!$A$186&lt;&gt;"Yes","",Searches!$R$186)</x:f>
      </x:c>
      <x:c r="G291" s="48" t="str">
        <x:f>IF(Searches!$A$186&lt;&gt;"Yes","",Searches!$E$186)</x:f>
      </x:c>
      <x:c r="H291" s="48" t="str">
        <x:f>IF(Searches!$A$186&lt;&gt;"Yes","",Searches!$N$186)</x:f>
      </x:c>
      <x:c r="I291" s="48" t="str">
        <x:f>IF(Searches!$A$186&lt;&gt;"Yes","",Searches!$B$186)</x:f>
      </x:c>
      <x:c r="J291" s="48" t="str">
        <x:f>IF(Searches!$A$186&lt;&gt;"Yes","",Searches!$K$186)</x:f>
      </x:c>
    </x:row>
    <x:row r="292">
      <x:c r="A292" s="48" t="str">
        <x:f>IF(Searches!$A$187&lt;&gt;"Yes","",Searches!$C$187)</x:f>
      </x:c>
      <x:c r="B292" s="48" t="str">
        <x:f>IF(Searches!$A$187&lt;&gt;"Yes","",Searches!$D$187)</x:f>
      </x:c>
      <x:c r="C292" s="48" t="str">
        <x:f>IF(Searches!$A$187&lt;&gt;"Yes","",Searches!$O$187)</x:f>
      </x:c>
      <x:c r="D292" s="48" t="str">
        <x:f>IF(Searches!$A$187&lt;&gt;"Yes","",Searches!$P$187)</x:f>
      </x:c>
      <x:c r="E292" s="48" t="str">
        <x:f>IF(Searches!$A$187&lt;&gt;"Yes","",Searches!$Q$187)</x:f>
      </x:c>
      <x:c r="F292" s="48" t="str">
        <x:f>IF(Searches!$A$187&lt;&gt;"Yes","",Searches!$R$187)</x:f>
      </x:c>
      <x:c r="G292" s="48" t="str">
        <x:f>IF(Searches!$A$187&lt;&gt;"Yes","",Searches!$E$187)</x:f>
      </x:c>
      <x:c r="H292" s="48" t="str">
        <x:f>IF(Searches!$A$187&lt;&gt;"Yes","",Searches!$N$187)</x:f>
      </x:c>
      <x:c r="I292" s="48" t="str">
        <x:f>IF(Searches!$A$187&lt;&gt;"Yes","",Searches!$B$187)</x:f>
      </x:c>
      <x:c r="J292" s="48" t="str">
        <x:f>IF(Searches!$A$187&lt;&gt;"Yes","",Searches!$K$187)</x:f>
      </x:c>
    </x:row>
    <x:row r="293">
      <x:c r="A293" s="48" t="str">
        <x:f>IF(Searches!$A$188&lt;&gt;"Yes","",Searches!$C$188)</x:f>
      </x:c>
      <x:c r="B293" s="48" t="str">
        <x:f>IF(Searches!$A$188&lt;&gt;"Yes","",Searches!$D$188)</x:f>
      </x:c>
      <x:c r="C293" s="48" t="str">
        <x:f>IF(Searches!$A$188&lt;&gt;"Yes","",Searches!$O$188)</x:f>
      </x:c>
      <x:c r="D293" s="48" t="str">
        <x:f>IF(Searches!$A$188&lt;&gt;"Yes","",Searches!$P$188)</x:f>
      </x:c>
      <x:c r="E293" s="48" t="str">
        <x:f>IF(Searches!$A$188&lt;&gt;"Yes","",Searches!$Q$188)</x:f>
      </x:c>
      <x:c r="F293" s="48" t="str">
        <x:f>IF(Searches!$A$188&lt;&gt;"Yes","",Searches!$R$188)</x:f>
      </x:c>
      <x:c r="G293" s="48" t="str">
        <x:f>IF(Searches!$A$188&lt;&gt;"Yes","",Searches!$E$188)</x:f>
      </x:c>
      <x:c r="H293" s="48" t="str">
        <x:f>IF(Searches!$A$188&lt;&gt;"Yes","",Searches!$N$188)</x:f>
      </x:c>
      <x:c r="I293" s="48" t="str">
        <x:f>IF(Searches!$A$188&lt;&gt;"Yes","",Searches!$B$188)</x:f>
      </x:c>
      <x:c r="J293" s="48" t="str">
        <x:f>IF(Searches!$A$188&lt;&gt;"Yes","",Searches!$K$188)</x:f>
      </x:c>
    </x:row>
    <x:row r="294">
      <x:c r="A294" s="48" t="str">
        <x:f>IF(Searches!$A$189&lt;&gt;"Yes","",Searches!$C$189)</x:f>
      </x:c>
      <x:c r="B294" s="48" t="str">
        <x:f>IF(Searches!$A$189&lt;&gt;"Yes","",Searches!$D$189)</x:f>
      </x:c>
      <x:c r="C294" s="48" t="str">
        <x:f>IF(Searches!$A$189&lt;&gt;"Yes","",Searches!$O$189)</x:f>
      </x:c>
      <x:c r="D294" s="48" t="str">
        <x:f>IF(Searches!$A$189&lt;&gt;"Yes","",Searches!$P$189)</x:f>
      </x:c>
      <x:c r="E294" s="48" t="str">
        <x:f>IF(Searches!$A$189&lt;&gt;"Yes","",Searches!$Q$189)</x:f>
      </x:c>
      <x:c r="F294" s="48" t="str">
        <x:f>IF(Searches!$A$189&lt;&gt;"Yes","",Searches!$R$189)</x:f>
      </x:c>
      <x:c r="G294" s="48" t="str">
        <x:f>IF(Searches!$A$189&lt;&gt;"Yes","",Searches!$E$189)</x:f>
      </x:c>
      <x:c r="H294" s="48" t="str">
        <x:f>IF(Searches!$A$189&lt;&gt;"Yes","",Searches!$N$189)</x:f>
      </x:c>
      <x:c r="I294" s="48" t="str">
        <x:f>IF(Searches!$A$189&lt;&gt;"Yes","",Searches!$B$189)</x:f>
      </x:c>
      <x:c r="J294" s="48" t="str">
        <x:f>IF(Searches!$A$189&lt;&gt;"Yes","",Searches!$K$189)</x:f>
      </x:c>
    </x:row>
    <x:row r="295">
      <x:c r="A295" s="48" t="str">
        <x:f>IF(Searches!$A$190&lt;&gt;"Yes","",Searches!$C$190)</x:f>
      </x:c>
      <x:c r="B295" s="48" t="str">
        <x:f>IF(Searches!$A$190&lt;&gt;"Yes","",Searches!$D$190)</x:f>
      </x:c>
      <x:c r="C295" s="48" t="str">
        <x:f>IF(Searches!$A$190&lt;&gt;"Yes","",Searches!$O$190)</x:f>
      </x:c>
      <x:c r="D295" s="48" t="str">
        <x:f>IF(Searches!$A$190&lt;&gt;"Yes","",Searches!$P$190)</x:f>
      </x:c>
      <x:c r="E295" s="48" t="str">
        <x:f>IF(Searches!$A$190&lt;&gt;"Yes","",Searches!$Q$190)</x:f>
      </x:c>
      <x:c r="F295" s="48" t="str">
        <x:f>IF(Searches!$A$190&lt;&gt;"Yes","",Searches!$R$190)</x:f>
      </x:c>
      <x:c r="G295" s="48" t="str">
        <x:f>IF(Searches!$A$190&lt;&gt;"Yes","",Searches!$E$190)</x:f>
      </x:c>
      <x:c r="H295" s="48" t="str">
        <x:f>IF(Searches!$A$190&lt;&gt;"Yes","",Searches!$N$190)</x:f>
      </x:c>
      <x:c r="I295" s="48" t="str">
        <x:f>IF(Searches!$A$190&lt;&gt;"Yes","",Searches!$B$190)</x:f>
      </x:c>
      <x:c r="J295" s="48" t="str">
        <x:f>IF(Searches!$A$190&lt;&gt;"Yes","",Searches!$K$190)</x:f>
      </x:c>
    </x:row>
    <x:row r="296">
      <x:c r="A296" s="48" t="str">
        <x:f>IF(Searches!$A$191&lt;&gt;"Yes","",Searches!$C$191)</x:f>
      </x:c>
      <x:c r="B296" s="48" t="str">
        <x:f>IF(Searches!$A$191&lt;&gt;"Yes","",Searches!$D$191)</x:f>
      </x:c>
      <x:c r="C296" s="48" t="str">
        <x:f>IF(Searches!$A$191&lt;&gt;"Yes","",Searches!$O$191)</x:f>
      </x:c>
      <x:c r="D296" s="48" t="str">
        <x:f>IF(Searches!$A$191&lt;&gt;"Yes","",Searches!$P$191)</x:f>
      </x:c>
      <x:c r="E296" s="48" t="str">
        <x:f>IF(Searches!$A$191&lt;&gt;"Yes","",Searches!$Q$191)</x:f>
      </x:c>
      <x:c r="F296" s="48" t="str">
        <x:f>IF(Searches!$A$191&lt;&gt;"Yes","",Searches!$R$191)</x:f>
      </x:c>
      <x:c r="G296" s="48" t="str">
        <x:f>IF(Searches!$A$191&lt;&gt;"Yes","",Searches!$E$191)</x:f>
      </x:c>
      <x:c r="H296" s="48" t="str">
        <x:f>IF(Searches!$A$191&lt;&gt;"Yes","",Searches!$N$191)</x:f>
      </x:c>
      <x:c r="I296" s="48" t="str">
        <x:f>IF(Searches!$A$191&lt;&gt;"Yes","",Searches!$B$191)</x:f>
      </x:c>
      <x:c r="J296" s="48" t="str">
        <x:f>IF(Searches!$A$191&lt;&gt;"Yes","",Searches!$K$191)</x:f>
      </x:c>
    </x:row>
    <x:row r="297">
      <x:c r="A297" s="48" t="str">
        <x:f>IF(Searches!$A$192&lt;&gt;"Yes","",Searches!$C$192)</x:f>
      </x:c>
      <x:c r="B297" s="48" t="str">
        <x:f>IF(Searches!$A$192&lt;&gt;"Yes","",Searches!$D$192)</x:f>
      </x:c>
      <x:c r="C297" s="48" t="str">
        <x:f>IF(Searches!$A$192&lt;&gt;"Yes","",Searches!$O$192)</x:f>
      </x:c>
      <x:c r="D297" s="48" t="str">
        <x:f>IF(Searches!$A$192&lt;&gt;"Yes","",Searches!$P$192)</x:f>
      </x:c>
      <x:c r="E297" s="48" t="str">
        <x:f>IF(Searches!$A$192&lt;&gt;"Yes","",Searches!$Q$192)</x:f>
      </x:c>
      <x:c r="F297" s="48" t="str">
        <x:f>IF(Searches!$A$192&lt;&gt;"Yes","",Searches!$R$192)</x:f>
      </x:c>
      <x:c r="G297" s="48" t="str">
        <x:f>IF(Searches!$A$192&lt;&gt;"Yes","",Searches!$E$192)</x:f>
      </x:c>
      <x:c r="H297" s="48" t="str">
        <x:f>IF(Searches!$A$192&lt;&gt;"Yes","",Searches!$N$192)</x:f>
      </x:c>
      <x:c r="I297" s="48" t="str">
        <x:f>IF(Searches!$A$192&lt;&gt;"Yes","",Searches!$B$192)</x:f>
      </x:c>
      <x:c r="J297" s="48" t="str">
        <x:f>IF(Searches!$A$192&lt;&gt;"Yes","",Searches!$K$192)</x:f>
      </x:c>
    </x:row>
    <x:row r="298">
      <x:c r="A298" s="48" t="str">
        <x:f>IF(Searches!$A$193&lt;&gt;"Yes","",Searches!$C$193)</x:f>
      </x:c>
      <x:c r="B298" s="48" t="str">
        <x:f>IF(Searches!$A$193&lt;&gt;"Yes","",Searches!$D$193)</x:f>
      </x:c>
      <x:c r="C298" s="48" t="str">
        <x:f>IF(Searches!$A$193&lt;&gt;"Yes","",Searches!$O$193)</x:f>
      </x:c>
      <x:c r="D298" s="48" t="str">
        <x:f>IF(Searches!$A$193&lt;&gt;"Yes","",Searches!$P$193)</x:f>
      </x:c>
      <x:c r="E298" s="48" t="str">
        <x:f>IF(Searches!$A$193&lt;&gt;"Yes","",Searches!$Q$193)</x:f>
      </x:c>
      <x:c r="F298" s="48" t="str">
        <x:f>IF(Searches!$A$193&lt;&gt;"Yes","",Searches!$R$193)</x:f>
      </x:c>
      <x:c r="G298" s="48" t="str">
        <x:f>IF(Searches!$A$193&lt;&gt;"Yes","",Searches!$E$193)</x:f>
      </x:c>
      <x:c r="H298" s="48" t="str">
        <x:f>IF(Searches!$A$193&lt;&gt;"Yes","",Searches!$N$193)</x:f>
      </x:c>
      <x:c r="I298" s="48" t="str">
        <x:f>IF(Searches!$A$193&lt;&gt;"Yes","",Searches!$B$193)</x:f>
      </x:c>
      <x:c r="J298" s="48" t="str">
        <x:f>IF(Searches!$A$193&lt;&gt;"Yes","",Searches!$K$193)</x:f>
      </x:c>
    </x:row>
    <x:row r="299">
      <x:c r="A299" s="48" t="str">
        <x:f>IF(Searches!$A$194&lt;&gt;"Yes","",Searches!$C$194)</x:f>
      </x:c>
      <x:c r="B299" s="48" t="str">
        <x:f>IF(Searches!$A$194&lt;&gt;"Yes","",Searches!$D$194)</x:f>
      </x:c>
      <x:c r="C299" s="48" t="str">
        <x:f>IF(Searches!$A$194&lt;&gt;"Yes","",Searches!$O$194)</x:f>
      </x:c>
      <x:c r="D299" s="48" t="str">
        <x:f>IF(Searches!$A$194&lt;&gt;"Yes","",Searches!$P$194)</x:f>
      </x:c>
      <x:c r="E299" s="48" t="str">
        <x:f>IF(Searches!$A$194&lt;&gt;"Yes","",Searches!$Q$194)</x:f>
      </x:c>
      <x:c r="F299" s="48" t="str">
        <x:f>IF(Searches!$A$194&lt;&gt;"Yes","",Searches!$R$194)</x:f>
      </x:c>
      <x:c r="G299" s="48" t="str">
        <x:f>IF(Searches!$A$194&lt;&gt;"Yes","",Searches!$E$194)</x:f>
      </x:c>
      <x:c r="H299" s="48" t="str">
        <x:f>IF(Searches!$A$194&lt;&gt;"Yes","",Searches!$N$194)</x:f>
      </x:c>
      <x:c r="I299" s="48" t="str">
        <x:f>IF(Searches!$A$194&lt;&gt;"Yes","",Searches!$B$194)</x:f>
      </x:c>
      <x:c r="J299" s="48" t="str">
        <x:f>IF(Searches!$A$194&lt;&gt;"Yes","",Searches!$K$194)</x:f>
      </x:c>
    </x:row>
    <x:row r="300">
      <x:c r="A300" s="48" t="str">
        <x:f>IF(Searches!$A$195&lt;&gt;"Yes","",Searches!$C$195)</x:f>
      </x:c>
      <x:c r="B300" s="48" t="str">
        <x:f>IF(Searches!$A$195&lt;&gt;"Yes","",Searches!$D$195)</x:f>
      </x:c>
      <x:c r="C300" s="48" t="str">
        <x:f>IF(Searches!$A$195&lt;&gt;"Yes","",Searches!$O$195)</x:f>
      </x:c>
      <x:c r="D300" s="48" t="str">
        <x:f>IF(Searches!$A$195&lt;&gt;"Yes","",Searches!$P$195)</x:f>
      </x:c>
      <x:c r="E300" s="48" t="str">
        <x:f>IF(Searches!$A$195&lt;&gt;"Yes","",Searches!$Q$195)</x:f>
      </x:c>
      <x:c r="F300" s="48" t="str">
        <x:f>IF(Searches!$A$195&lt;&gt;"Yes","",Searches!$R$195)</x:f>
      </x:c>
      <x:c r="G300" s="48" t="str">
        <x:f>IF(Searches!$A$195&lt;&gt;"Yes","",Searches!$E$195)</x:f>
      </x:c>
      <x:c r="H300" s="48" t="str">
        <x:f>IF(Searches!$A$195&lt;&gt;"Yes","",Searches!$N$195)</x:f>
      </x:c>
      <x:c r="I300" s="48" t="str">
        <x:f>IF(Searches!$A$195&lt;&gt;"Yes","",Searches!$B$195)</x:f>
      </x:c>
      <x:c r="J300" s="48" t="str">
        <x:f>IF(Searches!$A$195&lt;&gt;"Yes","",Searches!$K$195)</x:f>
      </x:c>
    </x:row>
    <x:row r="301">
      <x:c r="A301" s="48" t="str">
        <x:f>IF(Searches!$A$196&lt;&gt;"Yes","",Searches!$C$196)</x:f>
      </x:c>
      <x:c r="B301" s="48" t="str">
        <x:f>IF(Searches!$A$196&lt;&gt;"Yes","",Searches!$D$196)</x:f>
      </x:c>
      <x:c r="C301" s="48" t="str">
        <x:f>IF(Searches!$A$196&lt;&gt;"Yes","",Searches!$O$196)</x:f>
      </x:c>
      <x:c r="D301" s="48" t="str">
        <x:f>IF(Searches!$A$196&lt;&gt;"Yes","",Searches!$P$196)</x:f>
      </x:c>
      <x:c r="E301" s="48" t="str">
        <x:f>IF(Searches!$A$196&lt;&gt;"Yes","",Searches!$Q$196)</x:f>
      </x:c>
      <x:c r="F301" s="48" t="str">
        <x:f>IF(Searches!$A$196&lt;&gt;"Yes","",Searches!$R$196)</x:f>
      </x:c>
      <x:c r="G301" s="48" t="str">
        <x:f>IF(Searches!$A$196&lt;&gt;"Yes","",Searches!$E$196)</x:f>
      </x:c>
      <x:c r="H301" s="48" t="str">
        <x:f>IF(Searches!$A$196&lt;&gt;"Yes","",Searches!$N$196)</x:f>
      </x:c>
      <x:c r="I301" s="48" t="str">
        <x:f>IF(Searches!$A$196&lt;&gt;"Yes","",Searches!$B$196)</x:f>
      </x:c>
      <x:c r="J301" s="48" t="str">
        <x:f>IF(Searches!$A$196&lt;&gt;"Yes","",Searches!$K$196)</x:f>
      </x:c>
    </x:row>
    <x:row r="302">
      <x:c r="A302" s="48" t="str">
        <x:f>IF(Searches!$A$197&lt;&gt;"Yes","",Searches!$C$197)</x:f>
      </x:c>
      <x:c r="B302" s="48" t="str">
        <x:f>IF(Searches!$A$197&lt;&gt;"Yes","",Searches!$D$197)</x:f>
      </x:c>
      <x:c r="C302" s="48" t="str">
        <x:f>IF(Searches!$A$197&lt;&gt;"Yes","",Searches!$O$197)</x:f>
      </x:c>
      <x:c r="D302" s="48" t="str">
        <x:f>IF(Searches!$A$197&lt;&gt;"Yes","",Searches!$P$197)</x:f>
      </x:c>
      <x:c r="E302" s="48" t="str">
        <x:f>IF(Searches!$A$197&lt;&gt;"Yes","",Searches!$Q$197)</x:f>
      </x:c>
      <x:c r="F302" s="48" t="str">
        <x:f>IF(Searches!$A$197&lt;&gt;"Yes","",Searches!$R$197)</x:f>
      </x:c>
      <x:c r="G302" s="48" t="str">
        <x:f>IF(Searches!$A$197&lt;&gt;"Yes","",Searches!$E$197)</x:f>
      </x:c>
      <x:c r="H302" s="48" t="str">
        <x:f>IF(Searches!$A$197&lt;&gt;"Yes","",Searches!$N$197)</x:f>
      </x:c>
      <x:c r="I302" s="48" t="str">
        <x:f>IF(Searches!$A$197&lt;&gt;"Yes","",Searches!$B$197)</x:f>
      </x:c>
      <x:c r="J302" s="48" t="str">
        <x:f>IF(Searches!$A$197&lt;&gt;"Yes","",Searches!$K$197)</x:f>
      </x:c>
    </x:row>
    <x:row r="303">
      <x:c r="A303" s="48" t="str">
        <x:f>IF(Searches!$A$198&lt;&gt;"Yes","",Searches!$C$198)</x:f>
      </x:c>
      <x:c r="B303" s="48" t="str">
        <x:f>IF(Searches!$A$198&lt;&gt;"Yes","",Searches!$D$198)</x:f>
      </x:c>
      <x:c r="C303" s="48" t="str">
        <x:f>IF(Searches!$A$198&lt;&gt;"Yes","",Searches!$O$198)</x:f>
      </x:c>
      <x:c r="D303" s="48" t="str">
        <x:f>IF(Searches!$A$198&lt;&gt;"Yes","",Searches!$P$198)</x:f>
      </x:c>
      <x:c r="E303" s="48" t="str">
        <x:f>IF(Searches!$A$198&lt;&gt;"Yes","",Searches!$Q$198)</x:f>
      </x:c>
      <x:c r="F303" s="48" t="str">
        <x:f>IF(Searches!$A$198&lt;&gt;"Yes","",Searches!$R$198)</x:f>
      </x:c>
      <x:c r="G303" s="48" t="str">
        <x:f>IF(Searches!$A$198&lt;&gt;"Yes","",Searches!$E$198)</x:f>
      </x:c>
      <x:c r="H303" s="48" t="str">
        <x:f>IF(Searches!$A$198&lt;&gt;"Yes","",Searches!$N$198)</x:f>
      </x:c>
      <x:c r="I303" s="48" t="str">
        <x:f>IF(Searches!$A$198&lt;&gt;"Yes","",Searches!$B$198)</x:f>
      </x:c>
      <x:c r="J303" s="48" t="str">
        <x:f>IF(Searches!$A$198&lt;&gt;"Yes","",Searches!$K$198)</x:f>
      </x:c>
    </x:row>
    <x:row r="304">
      <x:c r="A304" s="48" t="str">
        <x:f>IF(Searches!$A$199&lt;&gt;"Yes","",Searches!$C$199)</x:f>
      </x:c>
      <x:c r="B304" s="48" t="str">
        <x:f>IF(Searches!$A$199&lt;&gt;"Yes","",Searches!$D$199)</x:f>
      </x:c>
      <x:c r="C304" s="48" t="str">
        <x:f>IF(Searches!$A$199&lt;&gt;"Yes","",Searches!$O$199)</x:f>
      </x:c>
      <x:c r="D304" s="48" t="str">
        <x:f>IF(Searches!$A$199&lt;&gt;"Yes","",Searches!$P$199)</x:f>
      </x:c>
      <x:c r="E304" s="48" t="str">
        <x:f>IF(Searches!$A$199&lt;&gt;"Yes","",Searches!$Q$199)</x:f>
      </x:c>
      <x:c r="F304" s="48" t="str">
        <x:f>IF(Searches!$A$199&lt;&gt;"Yes","",Searches!$R$199)</x:f>
      </x:c>
      <x:c r="G304" s="48" t="str">
        <x:f>IF(Searches!$A$199&lt;&gt;"Yes","",Searches!$E$199)</x:f>
      </x:c>
      <x:c r="H304" s="48" t="str">
        <x:f>IF(Searches!$A$199&lt;&gt;"Yes","",Searches!$N$199)</x:f>
      </x:c>
      <x:c r="I304" s="48" t="str">
        <x:f>IF(Searches!$A$199&lt;&gt;"Yes","",Searches!$B$199)</x:f>
      </x:c>
      <x:c r="J304" s="48" t="str">
        <x:f>IF(Searches!$A$199&lt;&gt;"Yes","",Searches!$K$199)</x:f>
      </x:c>
    </x:row>
    <x:row r="305">
      <x:c r="A305" s="48" t="str">
        <x:f>IF(Searches!$A$200&lt;&gt;"Yes","",Searches!$C$200)</x:f>
      </x:c>
      <x:c r="B305" s="48" t="str">
        <x:f>IF(Searches!$A$200&lt;&gt;"Yes","",Searches!$D$200)</x:f>
      </x:c>
      <x:c r="C305" s="48" t="str">
        <x:f>IF(Searches!$A$200&lt;&gt;"Yes","",Searches!$O$200)</x:f>
      </x:c>
      <x:c r="D305" s="48" t="str">
        <x:f>IF(Searches!$A$200&lt;&gt;"Yes","",Searches!$P$200)</x:f>
      </x:c>
      <x:c r="E305" s="48" t="str">
        <x:f>IF(Searches!$A$200&lt;&gt;"Yes","",Searches!$Q$200)</x:f>
      </x:c>
      <x:c r="F305" s="48" t="str">
        <x:f>IF(Searches!$A$200&lt;&gt;"Yes","",Searches!$R$200)</x:f>
      </x:c>
      <x:c r="G305" s="48" t="str">
        <x:f>IF(Searches!$A$200&lt;&gt;"Yes","",Searches!$E$200)</x:f>
      </x:c>
      <x:c r="H305" s="48" t="str">
        <x:f>IF(Searches!$A$200&lt;&gt;"Yes","",Searches!$N$200)</x:f>
      </x:c>
      <x:c r="I305" s="48" t="str">
        <x:f>IF(Searches!$A$200&lt;&gt;"Yes","",Searches!$B$200)</x:f>
      </x:c>
      <x:c r="J305" s="48" t="str">
        <x:f>IF(Searches!$A$200&lt;&gt;"Yes","",Searches!$K$200)</x:f>
      </x:c>
    </x:row>
    <x:row r="306">
      <x:c r="A306" s="48" t="str">
        <x:f>IF(Searches!$A$201&lt;&gt;"Yes","",Searches!$C$201)</x:f>
      </x:c>
      <x:c r="B306" s="48" t="str">
        <x:f>IF(Searches!$A$201&lt;&gt;"Yes","",Searches!$D$201)</x:f>
      </x:c>
      <x:c r="C306" s="48" t="str">
        <x:f>IF(Searches!$A$201&lt;&gt;"Yes","",Searches!$O$201)</x:f>
      </x:c>
      <x:c r="D306" s="48" t="str">
        <x:f>IF(Searches!$A$201&lt;&gt;"Yes","",Searches!$P$201)</x:f>
      </x:c>
      <x:c r="E306" s="48" t="str">
        <x:f>IF(Searches!$A$201&lt;&gt;"Yes","",Searches!$Q$201)</x:f>
      </x:c>
      <x:c r="F306" s="48" t="str">
        <x:f>IF(Searches!$A$201&lt;&gt;"Yes","",Searches!$R$201)</x:f>
      </x:c>
      <x:c r="G306" s="48" t="str">
        <x:f>IF(Searches!$A$201&lt;&gt;"Yes","",Searches!$E$201)</x:f>
      </x:c>
      <x:c r="H306" s="48" t="str">
        <x:f>IF(Searches!$A$201&lt;&gt;"Yes","",Searches!$N$201)</x:f>
      </x:c>
      <x:c r="I306" s="48" t="str">
        <x:f>IF(Searches!$A$201&lt;&gt;"Yes","",Searches!$B$201)</x:f>
      </x:c>
      <x:c r="J306" s="48" t="str">
        <x:f>IF(Searches!$A$201&lt;&gt;"Yes","",Searches!$K$201)</x:f>
      </x:c>
    </x:row>
    <x:row r="307">
      <x:c r="A307" s="48" t="str">
        <x:f>IF(Searches!$A$202&lt;&gt;"Yes","",Searches!$C$202)</x:f>
      </x:c>
      <x:c r="B307" s="48" t="str">
        <x:f>IF(Searches!$A$202&lt;&gt;"Yes","",Searches!$D$202)</x:f>
      </x:c>
      <x:c r="C307" s="48" t="str">
        <x:f>IF(Searches!$A$202&lt;&gt;"Yes","",Searches!$O$202)</x:f>
      </x:c>
      <x:c r="D307" s="48" t="str">
        <x:f>IF(Searches!$A$202&lt;&gt;"Yes","",Searches!$P$202)</x:f>
      </x:c>
      <x:c r="E307" s="48" t="str">
        <x:f>IF(Searches!$A$202&lt;&gt;"Yes","",Searches!$Q$202)</x:f>
      </x:c>
      <x:c r="F307" s="48" t="str">
        <x:f>IF(Searches!$A$202&lt;&gt;"Yes","",Searches!$R$202)</x:f>
      </x:c>
      <x:c r="G307" s="48" t="str">
        <x:f>IF(Searches!$A$202&lt;&gt;"Yes","",Searches!$E$202)</x:f>
      </x:c>
      <x:c r="H307" s="48" t="str">
        <x:f>IF(Searches!$A$202&lt;&gt;"Yes","",Searches!$N$202)</x:f>
      </x:c>
      <x:c r="I307" s="48" t="str">
        <x:f>IF(Searches!$A$202&lt;&gt;"Yes","",Searches!$B$202)</x:f>
      </x:c>
      <x:c r="J307" s="48" t="str">
        <x:f>IF(Searches!$A$202&lt;&gt;"Yes","",Searches!$K$202)</x:f>
      </x:c>
    </x:row>
    <x:row r="308">
      <x:c r="A308" s="48" t="str">
        <x:f>IF(Searches!$A$203&lt;&gt;"Yes","",Searches!$C$203)</x:f>
      </x:c>
      <x:c r="B308" s="48" t="str">
        <x:f>IF(Searches!$A$203&lt;&gt;"Yes","",Searches!$D$203)</x:f>
      </x:c>
      <x:c r="C308" s="48" t="str">
        <x:f>IF(Searches!$A$203&lt;&gt;"Yes","",Searches!$O$203)</x:f>
      </x:c>
      <x:c r="D308" s="48" t="str">
        <x:f>IF(Searches!$A$203&lt;&gt;"Yes","",Searches!$P$203)</x:f>
      </x:c>
      <x:c r="E308" s="48" t="str">
        <x:f>IF(Searches!$A$203&lt;&gt;"Yes","",Searches!$Q$203)</x:f>
      </x:c>
      <x:c r="F308" s="48" t="str">
        <x:f>IF(Searches!$A$203&lt;&gt;"Yes","",Searches!$R$203)</x:f>
      </x:c>
      <x:c r="G308" s="48" t="str">
        <x:f>IF(Searches!$A$203&lt;&gt;"Yes","",Searches!$E$203)</x:f>
      </x:c>
      <x:c r="H308" s="48" t="str">
        <x:f>IF(Searches!$A$203&lt;&gt;"Yes","",Searches!$N$203)</x:f>
      </x:c>
      <x:c r="I308" s="48" t="str">
        <x:f>IF(Searches!$A$203&lt;&gt;"Yes","",Searches!$B$203)</x:f>
      </x:c>
      <x:c r="J308" s="48" t="str">
        <x:f>IF(Searches!$A$203&lt;&gt;"Yes","",Searches!$K$203)</x:f>
      </x:c>
    </x:row>
    <x:row r="309">
      <x:c r="A309" s="48" t="str">
        <x:f>IF(Searches!$A$204&lt;&gt;"Yes","",Searches!$C$204)</x:f>
      </x:c>
      <x:c r="B309" s="48" t="str">
        <x:f>IF(Searches!$A$204&lt;&gt;"Yes","",Searches!$D$204)</x:f>
      </x:c>
      <x:c r="C309" s="48" t="str">
        <x:f>IF(Searches!$A$204&lt;&gt;"Yes","",Searches!$O$204)</x:f>
      </x:c>
      <x:c r="D309" s="48" t="str">
        <x:f>IF(Searches!$A$204&lt;&gt;"Yes","",Searches!$P$204)</x:f>
      </x:c>
      <x:c r="E309" s="48" t="str">
        <x:f>IF(Searches!$A$204&lt;&gt;"Yes","",Searches!$Q$204)</x:f>
      </x:c>
      <x:c r="F309" s="48" t="str">
        <x:f>IF(Searches!$A$204&lt;&gt;"Yes","",Searches!$R$204)</x:f>
      </x:c>
      <x:c r="G309" s="48" t="str">
        <x:f>IF(Searches!$A$204&lt;&gt;"Yes","",Searches!$E$204)</x:f>
      </x:c>
      <x:c r="H309" s="48" t="str">
        <x:f>IF(Searches!$A$204&lt;&gt;"Yes","",Searches!$N$204)</x:f>
      </x:c>
      <x:c r="I309" s="48" t="str">
        <x:f>IF(Searches!$A$204&lt;&gt;"Yes","",Searches!$B$204)</x:f>
      </x:c>
      <x:c r="J309" s="48" t="str">
        <x:f>IF(Searches!$A$204&lt;&gt;"Yes","",Searches!$K$204)</x:f>
      </x:c>
    </x:row>
    <x:row r="310">
      <x:c r="A310" s="48" t="str">
        <x:f>IF(Searches!$A$205&lt;&gt;"Yes","",Searches!$C$205)</x:f>
      </x:c>
      <x:c r="B310" s="48" t="str">
        <x:f>IF(Searches!$A$205&lt;&gt;"Yes","",Searches!$D$205)</x:f>
      </x:c>
      <x:c r="C310" s="48" t="str">
        <x:f>IF(Searches!$A$205&lt;&gt;"Yes","",Searches!$O$205)</x:f>
      </x:c>
      <x:c r="D310" s="48" t="str">
        <x:f>IF(Searches!$A$205&lt;&gt;"Yes","",Searches!$P$205)</x:f>
      </x:c>
      <x:c r="E310" s="48" t="str">
        <x:f>IF(Searches!$A$205&lt;&gt;"Yes","",Searches!$Q$205)</x:f>
      </x:c>
      <x:c r="F310" s="48" t="str">
        <x:f>IF(Searches!$A$205&lt;&gt;"Yes","",Searches!$R$205)</x:f>
      </x:c>
      <x:c r="G310" s="48" t="str">
        <x:f>IF(Searches!$A$205&lt;&gt;"Yes","",Searches!$E$205)</x:f>
      </x:c>
      <x:c r="H310" s="48" t="str">
        <x:f>IF(Searches!$A$205&lt;&gt;"Yes","",Searches!$N$205)</x:f>
      </x:c>
      <x:c r="I310" s="48" t="str">
        <x:f>IF(Searches!$A$205&lt;&gt;"Yes","",Searches!$B$205)</x:f>
      </x:c>
      <x:c r="J310" s="48" t="str">
        <x:f>IF(Searches!$A$205&lt;&gt;"Yes","",Searches!$K$205)</x:f>
      </x:c>
    </x:row>
  </x:sheetData>
  <x:mergeCells>
    <x:mergeCell ref="A1:J1"/>
    <x:mergeCell ref="A2:J3"/>
    <x:mergeCell ref="A5:D5"/>
    <x:mergeCell ref="F5:J5"/>
    <x:mergeCell ref="A109:J10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" hidden="0" customWidth="1"/>
    <x:col min="4" max="4" width="24" hidden="0" customWidth="1"/>
    <x:col min="5" max="5" width="58" hidden="0" customWidth="1"/>
    <x:col min="6" max="6" width="52" hidden="0" customWidth="1"/>
  </x:cols>
  <x:sheetData>
    <x:row r="1">
      <x:c r="A1" s="52" t="str">
        <x:v>Generator / Debugger</x:v>
      </x:c>
      <x:c r="B1" s="52"/>
      <x:c r="C1" s="52"/>
      <x:c r="D1" s="52"/>
      <x:c r="E1" s="52"/>
      <x:c r="F1" s="52"/>
    </x:row>
    <x:row r="2">
      <x:c r="A2" s="10" t="str">
        <x:v>Use this for validation and troubleshooting. Dashboard outputs stay tokenized; standalone outputs substitute the selected site's actual host/IP scope. Fixed time override affects standalone searches only.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5">
      <x:c r="A5" s="34" t="str">
        <x:v>Selection</x:v>
      </x:c>
      <x:c r="B5" s="34" t="str">
        <x:v>Value</x:v>
      </x:c>
      <x:c r="D5" s="34" t="str">
        <x:v>Resolved relationship</x:v>
      </x:c>
      <x:c r="E5" s="34" t="str">
        <x:v>Value</x:v>
      </x:c>
      <x:c r="F5" s="34" t="str">
        <x:v>Why it matters</x:v>
      </x:c>
    </x:row>
    <x:row r="6">
      <x:c r="A6" t="str">
        <x:v>Site</x:v>
      </x:c>
      <x:c r="B6" s="42" t="str">
        <x:v>Current Draft Scope</x:v>
      </x:c>
      <x:c r="D6" t="str">
        <x:v>Site scope</x:v>
      </x:c>
      <x:c r="E6" s="48" t="str">
        <x:f>IF($B$6="","",IFERROR(INDEX(Sites!$AD$5:$AD$104,MATCH($B$6,Sites!$C$5:$C$104,0)),""))</x:f>
        <x:v>(host="syr*" OR host="salep*" OR host="144.219.*" OR host="144.221.*")</x:v>
      </x:c>
      <x:c r="F6" s="10" t="str">
        <x:v>Actual host/IP expression for standalone testing.</x:v>
      </x:c>
    </x:row>
    <x:row r="7">
      <x:c r="A7" t="str">
        <x:v>Search</x:v>
      </x:c>
      <x:c r="B7" s="42" t="str">
        <x:v>Interface Up / Down</x:v>
      </x:c>
      <x:c r="D7" t="str">
        <x:v>Parent base</x:v>
      </x:c>
      <x:c r="E7" s="48" t="str">
        <x:f>IF($B$7="","",IFERROR(INDEX(Searches!$F$6:$F$205,MATCH($B$7,Searches!$C$6:$C$205,0)),""))</x:f>
        <x:v>B_INTERFACE</x:v>
      </x:c>
      <x:c r="F7" s="10" t="str">
        <x:v>Event family that collects the raw events.</x:v>
      </x:c>
    </x:row>
    <x:row r="8">
      <x:c r="A8" t="str">
        <x:v>Debug time mode</x:v>
      </x:c>
      <x:c r="B8" s="42" t="str">
        <x:v>Search UI / Dashboard</x:v>
      </x:c>
      <x:c r="D8" t="str">
        <x:v>Parent search</x:v>
      </x:c>
      <x:c r="E8" s="48" t="str">
        <x:f>IF($B$7="","",IFERROR(INDEX(Searches!$G$6:$G$205,MATCH($B$7,Searches!$C$6:$C$205,0)),""))</x:f>
        <x:v>S_IFACE_PARSE</x:v>
      </x:c>
      <x:c r="F8" s="10" t="str">
        <x:v>Blank = direct child of base. Populated = second chain level.</x:v>
      </x:c>
    </x:row>
    <x:row r="9">
      <x:c r="A9" t="str">
        <x:v>Fixed window</x:v>
      </x:c>
      <x:c r="B9" s="42" t="str">
        <x:v>4h</x:v>
      </x:c>
      <x:c r="D9" t="str">
        <x:v>Parent data source</x:v>
      </x:c>
      <x:c r="E9" s="48" t="str">
        <x:f>IF($B$7="","",IFERROR(INDEX(Searches!$P$6:$P$205,MATCH($B$7,Searches!$C$6:$C$205,0)),""))</x:f>
        <x:v>ds_iface_parse</x:v>
      </x:c>
      <x:c r="F9" s="10" t="str">
        <x:v>Attach the selected chain to this source in Dashboard Studio.</x:v>
      </x:c>
    </x:row>
    <x:row r="10">
      <x:c r="D10" t="str">
        <x:v>Search data source</x:v>
      </x:c>
      <x:c r="E10" s="48" t="str">
        <x:f>IF($B$7="","",IFERROR(INDEX(Searches!$O$6:$O$205,MATCH($B$7,Searches!$C$6:$C$205,0)),""))</x:f>
        <x:v>ds_iface_detail</x:v>
      </x:c>
      <x:c r="F10" s="10" t="str">
        <x:v>Stable data source ID for the selected search.</x:v>
      </x:c>
    </x:row>
    <x:row r="12">
      <x:c r="A12" s="16" t="str">
        <x:v>Dashboard Site Token Item</x:v>
      </x:c>
      <x:c r="B12" s="16"/>
      <x:c r="C12" s="16"/>
      <x:c r="D12" s="16"/>
      <x:c r="E12" s="16"/>
      <x:c r="F12" s="16"/>
    </x:row>
    <x:row r="13">
      <x:c r="A13" s="48" t="str">
        <x:f>IF($B$6="","",IFERROR(INDEX(Sites!$AE$5:$AE$104,MATCH($B$6,Sites!$C$5:$C$104,0)),""))</x:f>
        <x:v>{"label":"Current Draft Scope","value":"(host=\"syr*\" OR host=\"salep*\" OR host=\"144.219.*\" OR host=\"144.221.*\")"}</x:v>
      </x:c>
      <x:c r="B13" s="48"/>
      <x:c r="C13" s="48"/>
      <x:c r="D13" s="48"/>
      <x:c r="E13" s="48"/>
      <x:c r="F13" s="48"/>
    </x:row>
    <x:row r="14">
      <x:c r="A14" s="48"/>
      <x:c r="B14" s="48"/>
      <x:c r="C14" s="48"/>
      <x:c r="D14" s="48"/>
      <x:c r="E14" s="48"/>
      <x:c r="F14" s="48"/>
    </x:row>
    <x:row r="16">
      <x:c r="A16" s="16" t="str">
        <x:v>Dashboard Base Query — tokenized</x:v>
      </x:c>
      <x:c r="B16" s="16"/>
      <x:c r="C16" s="16"/>
      <x:c r="D16" s="16"/>
      <x:c r="E16" s="16"/>
      <x:c r="F16" s="16"/>
    </x:row>
    <x:row r="17">
      <x:c r="A17" s="48" t="str">
        <x:f>IF($B$7="","",IFERROR(INDEX('Base Searches'!$I$6:$I$35,MATCH(IFERROR(INDEX(Searches!$F$6:$F$205,MATCH($B$7,Searches!$C$6:$C$205,0)),""),'Base Searches'!$B$6:$B$35,0)),""))</x:f>
        <x:v>index="network_eo" sourcetype="cisco:ios"
$site_scope$
("%LINK-3-UPDOWN" OR "%LINEPROTO-5-UPDOWN" OR "%PM-4-ERR_DISABLE")
| fields _time host source sourcetype _raw</x:v>
      </x:c>
      <x:c r="B17" s="48"/>
      <x:c r="C17" s="48"/>
      <x:c r="D17" s="48"/>
      <x:c r="E17" s="48"/>
      <x:c r="F17" s="48"/>
    </x:row>
    <x:row r="18">
      <x:c r="A18" s="48"/>
      <x:c r="B18" s="48"/>
      <x:c r="C18" s="48"/>
      <x:c r="D18" s="48"/>
      <x:c r="E18" s="48"/>
      <x:c r="F18" s="48"/>
    </x:row>
    <x:row r="19">
      <x:c r="A19" s="48"/>
      <x:c r="B19" s="48"/>
      <x:c r="C19" s="48"/>
      <x:c r="D19" s="48"/>
      <x:c r="E19" s="48"/>
      <x:c r="F19" s="48"/>
    </x:row>
    <x:row r="20">
      <x:c r="A20" s="48"/>
      <x:c r="B20" s="48"/>
      <x:c r="C20" s="48"/>
      <x:c r="D20" s="48"/>
      <x:c r="E20" s="48"/>
      <x:c r="F20" s="48"/>
    </x:row>
    <x:row r="22">
      <x:c r="A22" s="16" t="str">
        <x:v>Dashboard Chain SPL</x:v>
      </x:c>
      <x:c r="B22" s="16"/>
      <x:c r="C22" s="16"/>
      <x:c r="D22" s="16"/>
      <x:c r="E22" s="16"/>
      <x:c r="F22" s="16"/>
    </x:row>
    <x:row r="23">
      <x:c r="A23" s="48" t="str">
        <x:f>IF($B$7="","",IFERROR(INDEX(Searches!$Q$6:$Q$205,MATCH($B$7,Searches!$C$6:$C$205,0)),""))</x:f>
        <x:v>| search interface=*
| table _time host interface state _raw | sort - _time</x:v>
      </x:c>
      <x:c r="B23" s="48"/>
      <x:c r="C23" s="48"/>
      <x:c r="D23" s="48"/>
      <x:c r="E23" s="48"/>
      <x:c r="F23" s="48"/>
    </x:row>
    <x:row r="24">
      <x:c r="A24" s="48"/>
      <x:c r="B24" s="48"/>
      <x:c r="C24" s="48"/>
      <x:c r="D24" s="48"/>
      <x:c r="E24" s="48"/>
      <x:c r="F24" s="48"/>
    </x:row>
    <x:row r="25">
      <x:c r="A25" s="48"/>
      <x:c r="B25" s="48"/>
      <x:c r="C25" s="48"/>
      <x:c r="D25" s="48"/>
      <x:c r="E25" s="48"/>
      <x:c r="F25" s="48"/>
    </x:row>
    <x:row r="26">
      <x:c r="A26" s="48"/>
      <x:c r="B26" s="48"/>
      <x:c r="C26" s="48"/>
      <x:c r="D26" s="48"/>
      <x:c r="E26" s="48"/>
      <x:c r="F26" s="48"/>
    </x:row>
    <x:row r="28">
      <x:c r="A28" s="16" t="str">
        <x:v>Dashboard Count Chain SPL</x:v>
      </x:c>
      <x:c r="B28" s="16"/>
      <x:c r="C28" s="16"/>
      <x:c r="D28" s="16"/>
      <x:c r="E28" s="16"/>
      <x:c r="F28" s="16"/>
    </x:row>
    <x:row r="29">
      <x:c r="A29" s="48" t="str">
        <x:f>IF($B$7="","",IFERROR(INDEX(Searches!$R$6:$R$205,MATCH($B$7,Searches!$C$6:$C$205,0)),""))</x:f>
        <x:v>| search interface=*
| stats count as count by host interface state
| where count &gt;= 1
| sort - count</x:v>
      </x:c>
      <x:c r="B29" s="48"/>
      <x:c r="C29" s="48"/>
      <x:c r="D29" s="48"/>
      <x:c r="E29" s="48"/>
      <x:c r="F29" s="48"/>
    </x:row>
    <x:row r="30">
      <x:c r="A30" s="48"/>
      <x:c r="B30" s="48"/>
      <x:c r="C30" s="48"/>
      <x:c r="D30" s="48"/>
      <x:c r="E30" s="48"/>
      <x:c r="F30" s="48"/>
    </x:row>
    <x:row r="31">
      <x:c r="A31" s="48"/>
      <x:c r="B31" s="48"/>
      <x:c r="C31" s="48"/>
      <x:c r="D31" s="48"/>
      <x:c r="E31" s="48"/>
      <x:c r="F31" s="48"/>
    </x:row>
    <x:row r="32">
      <x:c r="A32" s="48"/>
      <x:c r="B32" s="48"/>
      <x:c r="C32" s="48"/>
      <x:c r="D32" s="48"/>
      <x:c r="E32" s="48"/>
      <x:c r="F32" s="48"/>
    </x:row>
    <x:row r="34">
      <x:c r="A34" s="16" t="str">
        <x:v>Standalone Detail SPL — actual selected site</x:v>
      </x:c>
      <x:c r="B34" s="16"/>
      <x:c r="C34" s="16"/>
      <x:c r="D34" s="16"/>
      <x:c r="E34" s="16"/>
      <x:c r="F34" s="16"/>
    </x:row>
    <x:row r="35">
      <x:c r="A35" s="48" t="str">
        <x:f>IF(OR($B$6="",$B$7=""),"",'Dashboard Config'!$B$5&amp;IF($B$8="Fixed Override"," earliest=-"&amp;$B$9&amp;" latest=now","")&amp;IF(IFERROR(INDEX(Sites!$AD$5:$AD$104,MATCH($B$6,Sites!$C$5:$C$104,0)),"")&lt;&gt;"",CHAR(10)&amp;IFERROR(INDEX(Sites!$AD$5:$AD$104,MATCH($B$6,Sites!$C$5:$C$104,0)),""),"")&amp;IF(IFERROR(INDEX('Base Searches'!$F$6:$F$35,MATCH(IFERROR(INDEX(Searches!$F$6:$F$205,MATCH($B$7,Searches!$C$6:$C$205,0)),""),'Base Searches'!$B$6:$B$35,0)),"")&lt;&gt;"",CHAR(10)&amp;IFERROR(INDEX('Base Searches'!$F$6:$F$35,MATCH(IFERROR(INDEX(Searches!$F$6:$F$205,MATCH($B$7,Searches!$C$6:$C$205,0)),""),'Base Searches'!$B$6:$B$35,0)),""),"")&amp;IF(IFERROR(INDEX('Base Searches'!$G$6:$G$35,MATCH(IFERROR(INDEX(Searches!$F$6:$F$205,MATCH($B$7,Searches!$C$6:$C$205,0)),""),'Base Searches'!$B$6:$B$35,0)),"")&lt;&gt;"",CHAR(10)&amp;IFERROR(INDEX('Base Searches'!$G$6:$G$35,MATCH(IFERROR(INDEX(Searches!$F$6:$F$205,MATCH($B$7,Searches!$C$6:$C$205,0)),""),'Base Searches'!$B$6:$B$35,0)),""),"")&amp;IF(IF(IFERROR(INDEX(Searches!$G$6:$G$205,MATCH($B$7,Searches!$C$6:$C$205,0)),"")&lt;&gt;"",IFERROR(INDEX(Searches!$Q$6:$Q$205,MATCH(IFERROR(INDEX(Searches!$G$6:$G$205,MATCH($B$7,Searches!$C$6:$C$205,0)),""),Searches!$B$6:$B$205,0)),""),"")&lt;&gt;"",CHAR(10)&amp;IF(IFERROR(INDEX(Searches!$G$6:$G$205,MATCH($B$7,Searches!$C$6:$C$205,0)),"")&lt;&gt;"",IFERROR(INDEX(Searches!$Q$6:$Q$205,MATCH(IFERROR(INDEX(Searches!$G$6:$G$205,MATCH($B$7,Searches!$C$6:$C$205,0)),""),Searches!$B$6:$B$205,0)),""),""),"")&amp;IF(IFERROR(INDEX(Searches!$Q$6:$Q$205,MATCH($B$7,Searches!$C$6:$C$205,0)),"")&lt;&gt;"",CHAR(10)&amp;IFERROR(INDEX(Searches!$Q$6:$Q$205,MATCH($B$7,Searches!$C$6:$C$205,0)),""),""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table _time host interface state _raw | sort - _time</x:v>
      </x:c>
      <x:c r="B35" s="48"/>
      <x:c r="C35" s="48"/>
      <x:c r="D35" s="48"/>
      <x:c r="E35" s="48"/>
      <x:c r="F35" s="48"/>
    </x:row>
    <x:row r="36">
      <x:c r="A36" s="48"/>
      <x:c r="B36" s="48"/>
      <x:c r="C36" s="48"/>
      <x:c r="D36" s="48"/>
      <x:c r="E36" s="48"/>
      <x:c r="F36" s="48"/>
    </x:row>
    <x:row r="37">
      <x:c r="A37" s="48"/>
      <x:c r="B37" s="48"/>
      <x:c r="C37" s="48"/>
      <x:c r="D37" s="48"/>
      <x:c r="E37" s="48"/>
      <x:c r="F37" s="48"/>
    </x:row>
    <x:row r="38">
      <x:c r="A38" s="48"/>
      <x:c r="B38" s="48"/>
      <x:c r="C38" s="48"/>
      <x:c r="D38" s="48"/>
      <x:c r="E38" s="48"/>
      <x:c r="F38" s="48"/>
    </x:row>
    <x:row r="39">
      <x:c r="A39" s="48"/>
      <x:c r="B39" s="48"/>
      <x:c r="C39" s="48"/>
      <x:c r="D39" s="48"/>
      <x:c r="E39" s="48"/>
      <x:c r="F39" s="48"/>
    </x:row>
    <x:row r="40">
      <x:c r="A40" s="48"/>
      <x:c r="B40" s="48"/>
      <x:c r="C40" s="48"/>
      <x:c r="D40" s="48"/>
      <x:c r="E40" s="48"/>
      <x:c r="F40" s="48"/>
    </x:row>
    <x:row r="42">
      <x:c r="A42" s="16" t="str">
        <x:v>Standalone Count SPL — actual selected site</x:v>
      </x:c>
      <x:c r="B42" s="16"/>
      <x:c r="C42" s="16"/>
      <x:c r="D42" s="16"/>
      <x:c r="E42" s="16"/>
      <x:c r="F42" s="16"/>
    </x:row>
    <x:row r="43">
      <x:c r="A43" s="48" t="str">
        <x:f>IF(OR($B$6="",$B$7=""),"",IF(IFERROR(INDEX(Searches!$K$6:$K$205,MATCH($B$7,Searches!$C$6:$C$205,0)),"No")&lt;&gt;"Yes","Count disabled for this search",'Dashboard Config'!$B$5&amp;IF($B$8="Fixed Override"," earliest=-"&amp;$B$9&amp;" latest=now","")&amp;IF(IFERROR(INDEX(Sites!$AD$5:$AD$104,MATCH($B$6,Sites!$C$5:$C$104,0)),"")&lt;&gt;"",CHAR(10)&amp;IFERROR(INDEX(Sites!$AD$5:$AD$104,MATCH($B$6,Sites!$C$5:$C$104,0)),""),"")&amp;IF(IFERROR(INDEX('Base Searches'!$F$6:$F$35,MATCH(IFERROR(INDEX(Searches!$F$6:$F$205,MATCH($B$7,Searches!$C$6:$C$205,0)),""),'Base Searches'!$B$6:$B$35,0)),"")&lt;&gt;"",CHAR(10)&amp;IFERROR(INDEX('Base Searches'!$F$6:$F$35,MATCH(IFERROR(INDEX(Searches!$F$6:$F$205,MATCH($B$7,Searches!$C$6:$C$205,0)),""),'Base Searches'!$B$6:$B$35,0)),""),"")&amp;IF(IFERROR(INDEX('Base Searches'!$G$6:$G$35,MATCH(IFERROR(INDEX(Searches!$F$6:$F$205,MATCH($B$7,Searches!$C$6:$C$205,0)),""),'Base Searches'!$B$6:$B$35,0)),"")&lt;&gt;"",CHAR(10)&amp;IFERROR(INDEX('Base Searches'!$G$6:$G$35,MATCH(IFERROR(INDEX(Searches!$F$6:$F$205,MATCH($B$7,Searches!$C$6:$C$205,0)),""),'Base Searches'!$B$6:$B$35,0)),""),"")&amp;IF(IF(IFERROR(INDEX(Searches!$G$6:$G$205,MATCH($B$7,Searches!$C$6:$C$205,0)),"")&lt;&gt;"",IFERROR(INDEX(Searches!$Q$6:$Q$205,MATCH(IFERROR(INDEX(Searches!$G$6:$G$205,MATCH($B$7,Searches!$C$6:$C$205,0)),""),Searches!$B$6:$B$205,0)),""),"")&lt;&gt;"",CHAR(10)&amp;IF(IFERROR(INDEX(Searches!$G$6:$G$205,MATCH($B$7,Searches!$C$6:$C$205,0)),"")&lt;&gt;"",IFERROR(INDEX(Searches!$Q$6:$Q$205,MATCH(IFERROR(INDEX(Searches!$G$6:$G$205,MATCH($B$7,Searches!$C$6:$C$205,0)),""),Searches!$B$6:$B$205,0)),""),""),"")&amp;IF(IFERROR(INDEX(Searches!$R$6:$R$205,MATCH($B$7,Searches!$C$6:$C$205,0)),"")&lt;&gt;"",CHAR(10)&amp;IFERROR(INDEX(Searches!$R$6:$R$205,MATCH($B$7,Searches!$C$6:$C$205,0)),""),"")))</x:f>
        <x:v>index="network_eo" sourcetype="cisco:ios"
(host="syr*" OR host="salep*" OR host="144.219.*" OR host="144.221.*")
("%LINK-3-UPDOWN" OR "%LINEPROTO-5-UPDOWN" OR "%PM-4-ERR_DISABLE")
| fields _time host source sourcetype _raw
| rex field=_raw "(?i)(?:Interface|Line protocol on Interface)\s+(?&lt;interface&gt;[^,]+),\s+changed state to\s+(?&lt;state&gt;up|down)"
| search interface=*
| stats count as count by host interface state
| where count &gt;= 1
| sort - count</x:v>
      </x:c>
      <x:c r="B43" s="48"/>
      <x:c r="C43" s="48"/>
      <x:c r="D43" s="48"/>
      <x:c r="E43" s="48"/>
      <x:c r="F43" s="48"/>
    </x:row>
    <x:row r="44">
      <x:c r="A44" s="48"/>
      <x:c r="B44" s="48"/>
      <x:c r="C44" s="48"/>
      <x:c r="D44" s="48"/>
      <x:c r="E44" s="48"/>
      <x:c r="F44" s="48"/>
    </x:row>
    <x:row r="45">
      <x:c r="A45" s="48"/>
      <x:c r="B45" s="48"/>
      <x:c r="C45" s="48"/>
      <x:c r="D45" s="48"/>
      <x:c r="E45" s="48"/>
      <x:c r="F45" s="48"/>
    </x:row>
    <x:row r="46">
      <x:c r="A46" s="48"/>
      <x:c r="B46" s="48"/>
      <x:c r="C46" s="48"/>
      <x:c r="D46" s="48"/>
      <x:c r="E46" s="48"/>
      <x:c r="F46" s="48"/>
    </x:row>
    <x:row r="47">
      <x:c r="A47" s="48"/>
      <x:c r="B47" s="48"/>
      <x:c r="C47" s="48"/>
      <x:c r="D47" s="48"/>
      <x:c r="E47" s="48"/>
      <x:c r="F47" s="48"/>
    </x:row>
    <x:row r="48">
      <x:c r="A48" s="48"/>
      <x:c r="B48" s="48"/>
      <x:c r="C48" s="48"/>
      <x:c r="D48" s="48"/>
      <x:c r="E48" s="48"/>
      <x:c r="F48" s="48"/>
    </x:row>
    <x:row r="50">
      <x:c r="A50" s="56" t="str">
        <x:v>Base Volume Check — run in Search &amp; Reporting</x:v>
      </x:c>
      <x:c r="B50" s="56"/>
      <x:c r="C50" s="56"/>
      <x:c r="D50" s="56"/>
      <x:c r="E50" s="56"/>
      <x:c r="F50" s="56"/>
    </x:row>
    <x:row r="51">
      <x:c r="A51" s="61" t="str">
        <x:f>IF(OR($B$6="",$B$7=""),"",'Dashboard Config'!$B$5&amp;IF($B$8="Fixed Override"," earliest=-"&amp;$B$9&amp;" latest=now","")&amp;IF(IFERROR(INDEX(Sites!$AD$5:$AD$104,MATCH($B$6,Sites!$C$5:$C$104,0)),"")&lt;&gt;"",CHAR(10)&amp;IFERROR(INDEX(Sites!$AD$5:$AD$104,MATCH($B$6,Sites!$C$5:$C$104,0)),""),"")&amp;IF(IFERROR(INDEX('Base Searches'!$F$6:$F$35,MATCH(IFERROR(INDEX(Searches!$F$6:$F$205,MATCH($B$7,Searches!$C$6:$C$205,0)),""),'Base Searches'!$B$6:$B$35,0)),"")&lt;&gt;"",CHAR(10)&amp;IFERROR(INDEX('Base Searches'!$F$6:$F$35,MATCH(IFERROR(INDEX(Searches!$F$6:$F$205,MATCH($B$7,Searches!$C$6:$C$205,0)),""),'Base Searches'!$B$6:$B$35,0)),""),"")&amp;CHAR(10)&amp;"| stats count as base_events"&amp;CHAR(10)&amp;"| eval retention_limit=500000, pct_of_limit=round((base_events/retention_limit)*100,1)"&amp;CHAR(10)&amp;"| eval review=case(base_events&gt;=retention_limit,""SPLIT / REDUCE BASE"",base_events&gt;=400000,""HIGH — REVIEW"",base_events&gt;=250000,""WATCH"",1=1,""OK"")"&amp;CHAR(10)&amp;"| table base_events retention_limit pct_of_limit review")</x:f>
        <x:v>index="network_eo" sourcetype="cisco:ios"
(host="syr*" OR host="salep*" OR host="144.219.*" OR host="144.221.*")
("%LINK-3-UPDOWN" OR "%LINEPROTO-5-UPDOWN" OR "%PM-4-ERR_DISABLE")
| stats count as base_events
| eval retention_limit=500000, pct_of_limit=round((base_events/retention_limit)*100,1)
| eval review=case(base_events&gt;=retention_limit,"SPLIT / REDUCE BASE",base_events&gt;=400000,"HIGH — REVIEW",base_events&gt;=250000,"WATCH",1=1,"OK")
| table base_events retention_limit pct_of_limit review</x:v>
      </x:c>
      <x:c r="B51" s="61"/>
      <x:c r="C51" s="61"/>
      <x:c r="D51" s="61"/>
      <x:c r="E51" s="61"/>
      <x:c r="F51" s="61"/>
    </x:row>
    <x:row r="52">
      <x:c r="A52" s="61"/>
      <x:c r="B52" s="61"/>
      <x:c r="C52" s="61"/>
      <x:c r="D52" s="61"/>
      <x:c r="E52" s="61"/>
      <x:c r="F52" s="61"/>
    </x:row>
    <x:row r="53">
      <x:c r="A53" s="48"/>
      <x:c r="B53" s="48"/>
      <x:c r="C53" s="48"/>
      <x:c r="D53" s="48"/>
      <x:c r="E53" s="48"/>
      <x:c r="F53" s="48"/>
    </x:row>
    <x:row r="54">
      <x:c r="A54" s="48"/>
      <x:c r="B54" s="48"/>
      <x:c r="C54" s="48"/>
      <x:c r="D54" s="48"/>
      <x:c r="E54" s="48"/>
      <x:c r="F54" s="48"/>
    </x:row>
    <x:row r="55">
      <x:c r="A55" s="48"/>
      <x:c r="B55" s="48"/>
      <x:c r="C55" s="48"/>
      <x:c r="D55" s="48"/>
      <x:c r="E55" s="48"/>
      <x:c r="F55" s="48"/>
    </x:row>
    <x:row r="57">
      <x:c r="A57" s="10" t="str">
        <x:v>Rule of thumb: if a new panel only changes the final filtering/aggregation, add a Search and reuse a base. Add a Parent Search only when multiple children can reuse meaningful parsing/preparation. Add a new Base only when the event family or volume profile is materially different. Use the Base Volume Check against representative busy sites and time windows before deciding a family is safe.</x:v>
      </x:c>
      <x:c r="B57" s="10"/>
      <x:c r="C57" s="10"/>
      <x:c r="D57" s="10"/>
      <x:c r="E57" s="10"/>
      <x:c r="F57" s="10"/>
    </x:row>
    <x:row r="58">
      <x:c r="A58" s="10"/>
      <x:c r="B58" s="10"/>
      <x:c r="C58" s="10"/>
      <x:c r="D58" s="10"/>
      <x:c r="E58" s="10"/>
      <x:c r="F58" s="10"/>
    </x:row>
    <x:row r="59">
      <x:c r="A59" s="10"/>
      <x:c r="B59" s="10"/>
      <x:c r="C59" s="10"/>
      <x:c r="D59" s="10"/>
      <x:c r="E59" s="10"/>
      <x:c r="F59" s="10"/>
    </x:row>
  </x:sheetData>
  <x:mergeCells>
    <x:mergeCell ref="A1:F1"/>
    <x:mergeCell ref="A2:F3"/>
    <x:mergeCell ref="A12:F12"/>
    <x:mergeCell ref="A16:F16"/>
    <x:mergeCell ref="A22:F22"/>
    <x:mergeCell ref="A28:F28"/>
    <x:mergeCell ref="A34:F34"/>
    <x:mergeCell ref="A42:F42"/>
    <x:mergeCell ref="A13:F14"/>
    <x:mergeCell ref="A17:F20"/>
    <x:mergeCell ref="A23:F26"/>
    <x:mergeCell ref="A29:F32"/>
    <x:mergeCell ref="A35:F40"/>
    <x:mergeCell ref="A43:F48"/>
    <x:mergeCell ref="A50:F52"/>
    <x:mergeCell ref="A50:F50"/>
    <x:mergeCell ref="A51:F55"/>
    <x:mergeCell ref="A57:F59"/>
  </x:mergeCells>
  <x:dataValidations count="4">
    <x:dataValidation type="list" sqref="B6">
      <x:formula1>Sites!$C$5:$C$104</x:formula1>
    </x:dataValidation>
    <x:dataValidation type="list" sqref="B7">
      <x:formula1>Searches!$C$6:$C$205</x:formula1>
    </x:dataValidation>
    <x:dataValidation type="list" sqref="B8">
      <x:formula1>"Search UI / Dashboard,Fixed Override"</x:formula1>
    </x:dataValidation>
    <x:dataValidation type="list" sqref="B9">
      <x:formula1>"15m,30m,1h,2h,4h,8h,12h,24h,48h,3d,7d,14d,30d"</x:formula1>
    </x:dataValidation>
  </x:dataValidations>
  <x:pageMargins left="0.7" right="0.7" top="0.75" bottom="0.75" header="0.3" footer="0.3"/>
</x:worksheet>
</file>