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52dd94ec1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13cd136ecb4497f"/>
    <x:sheet xmlns:r="http://schemas.openxmlformats.org/officeDocument/2006/relationships" name="Dashboard Config" sheetId="2" r:id="Rdb55f740264c471d"/>
    <x:sheet xmlns:r="http://schemas.openxmlformats.org/officeDocument/2006/relationships" name="Sites" sheetId="3" r:id="R3b34631679be458b"/>
    <x:sheet xmlns:r="http://schemas.openxmlformats.org/officeDocument/2006/relationships" name="Base Searches" sheetId="4" r:id="R0553c0721ac34791"/>
    <x:sheet xmlns:r="http://schemas.openxmlformats.org/officeDocument/2006/relationships" name="Searches" sheetId="5" r:id="Re4831aaaf4f247e3"/>
    <x:sheet xmlns:r="http://schemas.openxmlformats.org/officeDocument/2006/relationships" name="Dashboard Pack" sheetId="6" r:id="R2d9f71a87de44838"/>
    <x:sheet xmlns:r="http://schemas.openxmlformats.org/officeDocument/2006/relationships" name="Generator" sheetId="7" r:id="R20689f50216346f3"/>
    <x:sheet xmlns:r="http://schemas.openxmlformats.org/officeDocument/2006/relationships" name="NOCs" sheetId="8" r:id="R6e5cd377362a4c63"/>
    <x:sheet xmlns:r="http://schemas.openxmlformats.org/officeDocument/2006/relationships" name="Locations" sheetId="9" r:id="R4e775dc59d674a40"/>
    <x:sheet xmlns:r="http://schemas.openxmlformats.org/officeDocument/2006/relationships" name="Scope Rules" sheetId="10" r:id="R50bfee203c114938"/>
    <x:sheet xmlns:r="http://schemas.openxmlformats.org/officeDocument/2006/relationships" name="Scope Lookup Export" sheetId="11" r:id="Rcce6caeedfc5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aa0573d8e4ad1" /><Relationship Type="http://schemas.openxmlformats.org/officeDocument/2006/relationships/theme" Target="/xl/theme/theme1.xml" Id="R620cb1a3c29f47f2" /><Relationship Type="http://schemas.openxmlformats.org/officeDocument/2006/relationships/sharedStrings" Target="/xl/sharedStrings.xml" Id="Rd44539c3ad4d4fcf" /><Relationship Type="http://schemas.openxmlformats.org/officeDocument/2006/relationships/worksheet" Target="/xl/worksheets/sheet1.xml" Id="R613cd136ecb4497f" /><Relationship Type="http://schemas.openxmlformats.org/officeDocument/2006/relationships/worksheet" Target="/xl/worksheets/sheet2.xml" Id="Rdb55f740264c471d" /><Relationship Type="http://schemas.openxmlformats.org/officeDocument/2006/relationships/worksheet" Target="/xl/worksheets/sheet3.xml" Id="R3b34631679be458b" /><Relationship Type="http://schemas.openxmlformats.org/officeDocument/2006/relationships/worksheet" Target="/xl/worksheets/sheet4.xml" Id="R0553c0721ac34791" /><Relationship Type="http://schemas.openxmlformats.org/officeDocument/2006/relationships/worksheet" Target="/xl/worksheets/sheet5.xml" Id="Re4831aaaf4f247e3" /><Relationship Type="http://schemas.openxmlformats.org/officeDocument/2006/relationships/worksheet" Target="/xl/worksheets/sheet6.xml" Id="R2d9f71a87de44838" /><Relationship Type="http://schemas.openxmlformats.org/officeDocument/2006/relationships/worksheet" Target="/xl/worksheets/sheet7.xml" Id="R20689f50216346f3" /><Relationship Type="http://schemas.openxmlformats.org/officeDocument/2006/relationships/worksheet" Target="/xl/worksheets/sheet8.xml" Id="R6e5cd377362a4c63" /><Relationship Type="http://schemas.openxmlformats.org/officeDocument/2006/relationships/worksheet" Target="/xl/worksheets/sheet9.xml" Id="R4e775dc59d674a40" /><Relationship Type="http://schemas.openxmlformats.org/officeDocument/2006/relationships/worksheet" Target="/xl/worksheets/sheet10.xml" Id="R50bfee203c114938" /><Relationship Type="http://schemas.openxmlformats.org/officeDocument/2006/relationships/worksheet" Target="/xl/worksheets/sheet11.xml" Id="Rcce6caeedfc542a7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f50ef882622b4b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.xml" Id="Rbf881121f96647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8a1552fb8770426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Normalized V3: NOCs → Locations → Scope Rules. Searches are maintained once, locations are maintained once, and every dashboard base consumes the same generated $scope$ token.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Copy deployment config</x:v>
      </x:c>
      <x:c r="C12" s="89" t="str">
        <x:v>Dashboard Pack</x:v>
      </x:c>
      <x:c r="D12" s="89" t="str">
        <x:v>NOC/Location input SPL, base data sources, chain data sources, token names, and time bindings.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Reselect the Site / Location after changing the NOC.</x:v>
      </x:c>
      <x:c r="C35" s="24" t="str">
        <x:v>Excel validates the child against the new parent so stale selections cannot produce a valid scope.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95" t="str">
        <x:v>Splunk documentation used for the V3 input design</x:v>
      </x:c>
      <x:c r="B40" s="95"/>
      <x:c r="C40" s="95"/>
      <x:c r="D40" s="95"/>
    </x:row>
    <x:row r="41">
      <x:c r="A41" s="24" t="str">
        <x:v>Dropdown / multiselect + cascading inputs</x:v>
      </x:c>
      <x:c r="B41" s="24" t="str">
        <x:v>https://help.splunk.com/en/splunk-enterprise/create-dashboards-and-reports/dashboard-studio/10.4/make-dashboards-dynamic-and-interactive/inputs/dropdown-and-multiselect</x:v>
      </x:c>
      <x:c r="C41" s="24"/>
      <x:c r="D41" s="24"/>
    </x:row>
    <x:row r="42">
      <x:c r="A42" s="24" t="str">
        <x:v>Input configuration options</x:v>
      </x:c>
      <x:c r="B42" s="24" t="str">
        <x:v>https://help.splunk.com/en/splunk-enterprise/create-dashboards-and-reports/dashboard-studio/10.4/configuration-options-reference/input-configuration-options</x:v>
      </x:c>
      <x:c r="C42" s="24"/>
      <x:c r="D42" s="24"/>
    </x:row>
    <x:row r="43">
      <x:c r="A43" s="24" t="str">
        <x:v>Chain searches / base searches</x:v>
      </x:c>
      <x:c r="B43" s="24" t="str">
        <x:v>https://help.splunk.com/en/splunk-enterprise/create-dashboards-and-reports/dashboard-studio/10.4/use-data-sources/chain-searches-together-with-a-base-search-and-chain-searches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</x:v>
      </x:c>
      <x:c r="B1" s="88"/>
      <x:c r="C1" s="88"/>
      <x:c r="D1" s="88"/>
      <x:c r="E1" s="88"/>
      <x:c r="F1" s="88"/>
    </x:row>
    <x:row r="2">
      <x:c r="A2" s="71" t="str">
        <x:v>V3 scope model: NOC dropdown → cascading Location dropdown → one $scope$ token consumed by every raw-event base. Search families/chains stay independent of site/location maintenance.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ds_input_noc</x:v>
      </x:c>
      <x:c r="F5" s="10" t="str">
        <x:v>Dynamic dropdown source.</x:v>
      </x:c>
    </x:row>
    <x:row r="6">
      <x:c r="A6" s="85" t="str">
        <x:v>Hostname field</x:v>
      </x:c>
      <x:c r="B6" s="84" t="str">
        <x:v>host</x:v>
      </x:c>
      <x:c r="C6" s="24"/>
      <x:c r="D6" s="85" t="str">
        <x:v>Location input data source ID</x:v>
      </x:c>
      <x:c r="E6" s="86" t="str">
        <x:v>ds_input_location</x:v>
      </x:c>
      <x:c r="F6" s="10" t="str">
        <x:v>Filter this source with the NOC token and enable cascading reset.</x:v>
      </x:c>
    </x:row>
    <x:row r="7">
      <x:c r="A7" s="85" t="str">
        <x:v>Site IP field</x:v>
      </x:c>
      <x:c r="B7" s="84" t="str">
        <x:v>host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where len(noc_id)&gt;0"&amp;CHAR(10)&amp;"| stats first(noc_label) as label by noc_id"&amp;CHAR(10)&amp;"| rename noc_id as value"&amp;CHAR(10)&amp;"| sort 0 label"&amp;CHAR(10)&amp;"| table label value"</x:f>
        <x:v>| inputlookup network_dashboard_scope.csv
| where len(noc_id)&gt;0
| stats first(noc_label) as label by noc_id
| rename noc_id as value
| sort 0 label
| table label value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f>"| inputlookup "&amp;$B$11&amp;CHAR(10)&amp;"| search noc_id=""$"&amp;$B$10&amp;"$"""&amp;CHAR(10)&amp;"| sort 0 scope_sort scope_label"&amp;CHAR(10)&amp;"| rename scope_label as label scope_value as value"&amp;CHAR(10)&amp;"| table label value location_id"</x:f>
        <x:v>| inputlookup network_dashboard_scope.csv
| search noc_id="$noc$"
| sort 0 scope_sort scope_label
| rename scope_label as label scope_value as value
| table label value location_id</x:v>
      </x:c>
      <x:c r="F10" s="24" t="str">
        <x:v>Returns All Locations + individual Locations for the selected NOC.</x:v>
      </x:c>
    </x:row>
    <x:row r="11">
      <x:c r="A11" s="85" t="str">
        <x:v>Scope lookup file</x:v>
      </x:c>
      <x:c r="B11" s="84" t="str">
        <x:v>network_dashboard_scope.csv</x:v>
      </x:c>
      <x:c r="C11" s="24"/>
      <x:c r="D11" s="85" t="str">
        <x:v>Cascading Location input</x:v>
      </x:c>
      <x:c r="E11" s="80" t="str">
        <x:v>true</x:v>
      </x:c>
      <x:c r="F11" s="24" t="str">
        <x:v>Set isCascadingInput=true so a NOC change resets stale Location selection.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Location or All Locations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36" hidden="0" customWidth="1"/>
    <x:col min="30" max="30" width="70" hidden="0" customWidth="1"/>
    <x:col min="31" max="31" width="70" hidden="0" customWidth="1"/>
    <x:col min="32" max="32" width="38" hidden="0" customWidth="1"/>
  </x:cols>
  <x:sheetData>
    <x:row r="1">
      <x:c r="A1" s="100" t="str">
        <x:v>Legacy Sites sheet — deprecated in normalized V3</x:v>
      </x:c>
      <x:c r="B1" s="100"/>
      <x:c r="C1" s="100"/>
      <x:c r="D1" s="100"/>
      <x:c r="E1" s="100"/>
      <x:c r="F1" s="100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</x:row>
    <x:row r="2" ht="36" customHeight="1">
      <x:c r="A2" s="71" t="str">
        <x:v>Do not add new sites here. The fixed Host/IP slot model was replaced by NOCs → Locations → Scope Rules so each NOC can have a different number of locations and each location can have any number of membership rules.</x:v>
      </x:c>
      <x:c r="B2" s="71"/>
      <x:c r="C2" s="71"/>
      <x:c r="D2" s="71"/>
      <x:c r="E2" s="71"/>
      <x:c r="F2" s="71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</x:row>
    <x:row r="3">
      <x:c r="A3" s="24"/>
      <x:c r="B3" s="24"/>
      <x:c r="C3" s="24"/>
      <x:c r="D3" s="24"/>
      <x:c r="E3" s="24"/>
      <x:c r="F3" s="24"/>
    </x:row>
    <x:row r="4" ht="32" customHeight="1">
      <x:c r="A4" s="76" t="str">
        <x:v>Old concept</x:v>
      </x:c>
      <x:c r="B4" s="76" t="str">
        <x:v>V3 replacement</x:v>
      </x:c>
      <x:c r="C4" s="76" t="str">
        <x:v>Why</x:v>
      </x:c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</x:row>
    <x:row r="5">
      <x:c r="A5" s="42" t="str">
        <x:v>Site row</x:v>
      </x:c>
      <x:c r="B5" s="42" t="str">
        <x:v>NOCs + Locations</x:v>
      </x:c>
      <x:c r="C5" s="42" t="str">
        <x:v>Separates parent NOC from selectable child locations.</x:v>
      </x:c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  <x:c r="AB5" s="42"/>
      <x:c r="AC5" s="42"/>
      <x:c r="AD5" s="48"/>
      <x:c r="AE5" s="48"/>
      <x:c r="AF5" s="42"/>
    </x:row>
    <x:row r="6">
      <x:c r="A6" s="42" t="str">
        <x:v>Host/IP columns</x:v>
      </x:c>
      <x:c r="B6" s="42" t="str">
        <x:v>Scope Rules</x:v>
      </x:c>
      <x:c r="C6" s="42" t="str">
        <x:v>Add rows instead of running out of columns.</x:v>
      </x:c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  <x:c r="AB6" s="42"/>
      <x:c r="AC6" s="42"/>
      <x:c r="AD6" s="48"/>
      <x:c r="AE6" s="48"/>
      <x:c r="AF6" s="42"/>
    </x:row>
    <x:row r="7">
      <x:c r="A7" s="42" t="str">
        <x:v>Auto Site Scope</x:v>
      </x:c>
      <x:c r="B7" s="42" t="str">
        <x:v>Location Auto Scope / NOC Auto Scope</x:v>
      </x:c>
      <x:c r="C7" s="42" t="str">
        <x:v>Scopes are generated from normalized rules and combined automatically.</x:v>
      </x:c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  <x:c r="AB7" s="42"/>
      <x:c r="AC7" s="42"/>
      <x:c r="AD7" s="48"/>
      <x:c r="AE7" s="48"/>
      <x:c r="AF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  <x:c r="AB8" s="42"/>
      <x:c r="AC8" s="42"/>
      <x:c r="AD8" s="48"/>
      <x:c r="AE8" s="48"/>
      <x:c r="AF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  <x:c r="AA9" s="42"/>
      <x:c r="AB9" s="42"/>
      <x:c r="AC9" s="42"/>
      <x:c r="AD9" s="48" t="str">
        <x:f>IF(OR($A9&lt;&gt;"Yes",$C9="",COUNTA($E9:$AC9)=0),"","("&amp;IF(E9&lt;&gt;"",'Dashboard Config'!$B$6&amp;"="""&amp;E9&amp;"""","")&amp;IF(F9&lt;&gt;"",IF(COUNTA($E9:$E9)&gt;0," OR ","")&amp;'Dashboard Config'!$B$6&amp;"="""&amp;F9&amp;"""","")&amp;IF(G9&lt;&gt;"",IF(COUNTA($E9:$F9)&gt;0," OR ","")&amp;'Dashboard Config'!$B$6&amp;"="""&amp;G9&amp;"""","")&amp;IF(H9&lt;&gt;"",IF(COUNTA($E9:$G9)&gt;0," OR ","")&amp;'Dashboard Config'!$B$6&amp;"="""&amp;H9&amp;"""","")&amp;IF(I9&lt;&gt;"",IF(COUNTA($E9:$H9)&gt;0," OR ","")&amp;'Dashboard Config'!$B$6&amp;"="""&amp;I9&amp;"""","")&amp;IF(J9&lt;&gt;"",IF(COUNTA($E9:$I9)&gt;0," OR ","")&amp;'Dashboard Config'!$B$6&amp;"="""&amp;J9&amp;"""","")&amp;IF(K9&lt;&gt;"",IF(COUNTA($E9:$J9)&gt;0," OR ","")&amp;'Dashboard Config'!$B$6&amp;"="""&amp;K9&amp;"""","")&amp;IF(L9&lt;&gt;"",IF(COUNTA($E9:$K9)&gt;0," OR ","")&amp;'Dashboard Config'!$B$6&amp;"="""&amp;L9&amp;"""","")&amp;IF(M9&lt;&gt;"",IF(COUNTA($E9:$L9)&gt;0," OR ","")&amp;'Dashboard Config'!$B$7&amp;"="""&amp;M9&amp;"""","")&amp;IF(N9&lt;&gt;"",IF(COUNTA($E9:$M9)&gt;0," OR ","")&amp;'Dashboard Config'!$B$7&amp;"="""&amp;N9&amp;"""","")&amp;IF(O9&lt;&gt;"",IF(COUNTA($E9:$N9)&gt;0," OR ","")&amp;'Dashboard Config'!$B$7&amp;"="""&amp;O9&amp;"""","")&amp;IF(P9&lt;&gt;"",IF(COUNTA($E9:$O9)&gt;0," OR ","")&amp;'Dashboard Config'!$B$7&amp;"="""&amp;P9&amp;"""","")&amp;IF(Q9&lt;&gt;"",IF(COUNTA($E9:$P9)&gt;0," OR ","")&amp;'Dashboard Config'!$B$7&amp;"="""&amp;Q9&amp;"""","")&amp;IF(R9&lt;&gt;"",IF(COUNTA($E9:$Q9)&gt;0," OR ","")&amp;'Dashboard Config'!$B$7&amp;"="""&amp;R9&amp;"""","")&amp;IF(S9&lt;&gt;"",IF(COUNTA($E9:$R9)&gt;0," OR ","")&amp;'Dashboard Config'!$B$7&amp;"="""&amp;S9&amp;"""","")&amp;IF(T9&lt;&gt;"",IF(COUNTA($E9:$S9)&gt;0," OR ","")&amp;'Dashboard Config'!$B$7&amp;"="""&amp;T9&amp;"""","")&amp;IF(U9&lt;&gt;"",IF(COUNTA($E9:$T9)&gt;0," OR ","")&amp;'Dashboard Config'!$B$7&amp;"="""&amp;U9&amp;"""","")&amp;IF(V9&lt;&gt;"",IF(COUNTA($E9:$U9)&gt;0," OR ","")&amp;'Dashboard Config'!$B$7&amp;"="""&amp;V9&amp;"""","")&amp;IF(W9&lt;&gt;"",IF(COUNTA($E9:$V9)&gt;0," OR ","")&amp;'Dashboard Config'!$B$7&amp;"="""&amp;W9&amp;"""","")&amp;IF(X9&lt;&gt;"",IF(COUNTA($E9:$W9)&gt;0," OR ","")&amp;'Dashboard Config'!$B$7&amp;"="""&amp;X9&amp;"""","")&amp;IF(Y9&lt;&gt;"",IF(COUNTA($E9:$X9)&gt;0," OR ","")&amp;'Dashboard Config'!$B$7&amp;"="""&amp;Y9&amp;"""","")&amp;IF(Z9&lt;&gt;"",IF(COUNTA($E9:$Y9)&gt;0," OR ","")&amp;'Dashboard Config'!$B$7&amp;"="""&amp;Z9&amp;"""","")&amp;IF(AA9&lt;&gt;"",IF(COUNTA($E9:$Z9)&gt;0," OR ","")&amp;'Dashboard Config'!$B$7&amp;"="""&amp;AA9&amp;"""","")&amp;IF(AB9&lt;&gt;"",IF(COUNTA($E9:$AA9)&gt;0," OR ","")&amp;'Dashboard Config'!$B$7&amp;"="""&amp;AB9&amp;"""","")&amp;IF(AC9&lt;&gt;"",IF(COUNTA($E9:$AB9)&gt;0," OR ","")&amp;AC9,"")&amp;")")</x:f>
      </x:c>
      <x:c r="AE9" s="48" t="str">
        <x:f>IF($AD9="","",CHAR(123)&amp;CHAR(34)&amp;"label"&amp;CHAR(34)&amp;":"&amp;CHAR(34)&amp;$C9&amp;CHAR(34)&amp;","&amp;CHAR(34)&amp;"value"&amp;CHAR(34)&amp;":"&amp;CHAR(34)&amp;SUBSTITUTE($AD9,CHAR(34),CHAR(92)&amp;CHAR(34))&amp;CHAR(34)&amp;CHAR(125))</x:f>
      </x:c>
      <x:c r="AF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8" t="str">
        <x:f>IF(OR($A10&lt;&gt;"Yes",$C10="",COUNTA($E10:$AC10)=0),"","("&amp;IF(E10&lt;&gt;"",'Dashboard Config'!$B$6&amp;"="""&amp;E10&amp;"""","")&amp;IF(F10&lt;&gt;"",IF(COUNTA($E10:$E10)&gt;0," OR ","")&amp;'Dashboard Config'!$B$6&amp;"="""&amp;F10&amp;"""","")&amp;IF(G10&lt;&gt;"",IF(COUNTA($E10:$F10)&gt;0," OR ","")&amp;'Dashboard Config'!$B$6&amp;"="""&amp;G10&amp;"""","")&amp;IF(H10&lt;&gt;"",IF(COUNTA($E10:$G10)&gt;0," OR ","")&amp;'Dashboard Config'!$B$6&amp;"="""&amp;H10&amp;"""","")&amp;IF(I10&lt;&gt;"",IF(COUNTA($E10:$H10)&gt;0," OR ","")&amp;'Dashboard Config'!$B$6&amp;"="""&amp;I10&amp;"""","")&amp;IF(J10&lt;&gt;"",IF(COUNTA($E10:$I10)&gt;0," OR ","")&amp;'Dashboard Config'!$B$6&amp;"="""&amp;J10&amp;"""","")&amp;IF(K10&lt;&gt;"",IF(COUNTA($E10:$J10)&gt;0," OR ","")&amp;'Dashboard Config'!$B$6&amp;"="""&amp;K10&amp;"""","")&amp;IF(L10&lt;&gt;"",IF(COUNTA($E10:$K10)&gt;0," OR ","")&amp;'Dashboard Config'!$B$6&amp;"="""&amp;L10&amp;"""","")&amp;IF(M10&lt;&gt;"",IF(COUNTA($E10:$L10)&gt;0," OR ","")&amp;'Dashboard Config'!$B$7&amp;"="""&amp;M10&amp;"""","")&amp;IF(N10&lt;&gt;"",IF(COUNTA($E10:$M10)&gt;0," OR ","")&amp;'Dashboard Config'!$B$7&amp;"="""&amp;N10&amp;"""","")&amp;IF(O10&lt;&gt;"",IF(COUNTA($E10:$N10)&gt;0," OR ","")&amp;'Dashboard Config'!$B$7&amp;"="""&amp;O10&amp;"""","")&amp;IF(P10&lt;&gt;"",IF(COUNTA($E10:$O10)&gt;0," OR ","")&amp;'Dashboard Config'!$B$7&amp;"="""&amp;P10&amp;"""","")&amp;IF(Q10&lt;&gt;"",IF(COUNTA($E10:$P10)&gt;0," OR ","")&amp;'Dashboard Config'!$B$7&amp;"="""&amp;Q10&amp;"""","")&amp;IF(R10&lt;&gt;"",IF(COUNTA($E10:$Q10)&gt;0," OR ","")&amp;'Dashboard Config'!$B$7&amp;"="""&amp;R10&amp;"""","")&amp;IF(S10&lt;&gt;"",IF(COUNTA($E10:$R10)&gt;0," OR ","")&amp;'Dashboard Config'!$B$7&amp;"="""&amp;S10&amp;"""","")&amp;IF(T10&lt;&gt;"",IF(COUNTA($E10:$S10)&gt;0," OR ","")&amp;'Dashboard Config'!$B$7&amp;"="""&amp;T10&amp;"""","")&amp;IF(U10&lt;&gt;"",IF(COUNTA($E10:$T10)&gt;0," OR ","")&amp;'Dashboard Config'!$B$7&amp;"="""&amp;U10&amp;"""","")&amp;IF(V10&lt;&gt;"",IF(COUNTA($E10:$U10)&gt;0," OR ","")&amp;'Dashboard Config'!$B$7&amp;"="""&amp;V10&amp;"""","")&amp;IF(W10&lt;&gt;"",IF(COUNTA($E10:$V10)&gt;0," OR ","")&amp;'Dashboard Config'!$B$7&amp;"="""&amp;W10&amp;"""","")&amp;IF(X10&lt;&gt;"",IF(COUNTA($E10:$W10)&gt;0," OR ","")&amp;'Dashboard Config'!$B$7&amp;"="""&amp;X10&amp;"""","")&amp;IF(Y10&lt;&gt;"",IF(COUNTA($E10:$X10)&gt;0," OR ","")&amp;'Dashboard Config'!$B$7&amp;"="""&amp;Y10&amp;"""","")&amp;IF(Z10&lt;&gt;"",IF(COUNTA($E10:$Y10)&gt;0," OR ","")&amp;'Dashboard Config'!$B$7&amp;"="""&amp;Z10&amp;"""","")&amp;IF(AA10&lt;&gt;"",IF(COUNTA($E10:$Z10)&gt;0," OR ","")&amp;'Dashboard Config'!$B$7&amp;"="""&amp;AA10&amp;"""","")&amp;IF(AB10&lt;&gt;"",IF(COUNTA($E10:$AA10)&gt;0," OR ","")&amp;'Dashboard Config'!$B$7&amp;"="""&amp;AB10&amp;"""","")&amp;IF(AC10&lt;&gt;"",IF(COUNTA($E10:$AB10)&gt;0," OR ","")&amp;AC10,"")&amp;")")</x:f>
      </x:c>
      <x:c r="AE10" s="48" t="str">
        <x:f>IF($AD10="","",CHAR(123)&amp;CHAR(34)&amp;"label"&amp;CHAR(34)&amp;":"&amp;CHAR(34)&amp;$C10&amp;CHAR(34)&amp;","&amp;CHAR(34)&amp;"value"&amp;CHAR(34)&amp;":"&amp;CHAR(34)&amp;SUBSTITUTE($AD10,CHAR(34),CHAR(92)&amp;CHAR(34))&amp;CHAR(34)&amp;CHAR(125))</x:f>
      </x:c>
      <x:c r="AF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8" t="str">
        <x:f>IF(OR($A11&lt;&gt;"Yes",$C11="",COUNTA($E11:$AC11)=0),"","("&amp;IF(E11&lt;&gt;"",'Dashboard Config'!$B$6&amp;"="""&amp;E11&amp;"""","")&amp;IF(F11&lt;&gt;"",IF(COUNTA($E11:$E11)&gt;0," OR ","")&amp;'Dashboard Config'!$B$6&amp;"="""&amp;F11&amp;"""","")&amp;IF(G11&lt;&gt;"",IF(COUNTA($E11:$F11)&gt;0," OR ","")&amp;'Dashboard Config'!$B$6&amp;"="""&amp;G11&amp;"""","")&amp;IF(H11&lt;&gt;"",IF(COUNTA($E11:$G11)&gt;0," OR ","")&amp;'Dashboard Config'!$B$6&amp;"="""&amp;H11&amp;"""","")&amp;IF(I11&lt;&gt;"",IF(COUNTA($E11:$H11)&gt;0," OR ","")&amp;'Dashboard Config'!$B$6&amp;"="""&amp;I11&amp;"""","")&amp;IF(J11&lt;&gt;"",IF(COUNTA($E11:$I11)&gt;0," OR ","")&amp;'Dashboard Config'!$B$6&amp;"="""&amp;J11&amp;"""","")&amp;IF(K11&lt;&gt;"",IF(COUNTA($E11:$J11)&gt;0," OR ","")&amp;'Dashboard Config'!$B$6&amp;"="""&amp;K11&amp;"""","")&amp;IF(L11&lt;&gt;"",IF(COUNTA($E11:$K11)&gt;0," OR ","")&amp;'Dashboard Config'!$B$6&amp;"="""&amp;L11&amp;"""","")&amp;IF(M11&lt;&gt;"",IF(COUNTA($E11:$L11)&gt;0," OR ","")&amp;'Dashboard Config'!$B$7&amp;"="""&amp;M11&amp;"""","")&amp;IF(N11&lt;&gt;"",IF(COUNTA($E11:$M11)&gt;0," OR ","")&amp;'Dashboard Config'!$B$7&amp;"="""&amp;N11&amp;"""","")&amp;IF(O11&lt;&gt;"",IF(COUNTA($E11:$N11)&gt;0," OR ","")&amp;'Dashboard Config'!$B$7&amp;"="""&amp;O11&amp;"""","")&amp;IF(P11&lt;&gt;"",IF(COUNTA($E11:$O11)&gt;0," OR ","")&amp;'Dashboard Config'!$B$7&amp;"="""&amp;P11&amp;"""","")&amp;IF(Q11&lt;&gt;"",IF(COUNTA($E11:$P11)&gt;0," OR ","")&amp;'Dashboard Config'!$B$7&amp;"="""&amp;Q11&amp;"""","")&amp;IF(R11&lt;&gt;"",IF(COUNTA($E11:$Q11)&gt;0," OR ","")&amp;'Dashboard Config'!$B$7&amp;"="""&amp;R11&amp;"""","")&amp;IF(S11&lt;&gt;"",IF(COUNTA($E11:$R11)&gt;0," OR ","")&amp;'Dashboard Config'!$B$7&amp;"="""&amp;S11&amp;"""","")&amp;IF(T11&lt;&gt;"",IF(COUNTA($E11:$S11)&gt;0," OR ","")&amp;'Dashboard Config'!$B$7&amp;"="""&amp;T11&amp;"""","")&amp;IF(U11&lt;&gt;"",IF(COUNTA($E11:$T11)&gt;0," OR ","")&amp;'Dashboard Config'!$B$7&amp;"="""&amp;U11&amp;"""","")&amp;IF(V11&lt;&gt;"",IF(COUNTA($E11:$U11)&gt;0," OR ","")&amp;'Dashboard Config'!$B$7&amp;"="""&amp;V11&amp;"""","")&amp;IF(W11&lt;&gt;"",IF(COUNTA($E11:$V11)&gt;0," OR ","")&amp;'Dashboard Config'!$B$7&amp;"="""&amp;W11&amp;"""","")&amp;IF(X11&lt;&gt;"",IF(COUNTA($E11:$W11)&gt;0," OR ","")&amp;'Dashboard Config'!$B$7&amp;"="""&amp;X11&amp;"""","")&amp;IF(Y11&lt;&gt;"",IF(COUNTA($E11:$X11)&gt;0," OR ","")&amp;'Dashboard Config'!$B$7&amp;"="""&amp;Y11&amp;"""","")&amp;IF(Z11&lt;&gt;"",IF(COUNTA($E11:$Y11)&gt;0," OR ","")&amp;'Dashboard Config'!$B$7&amp;"="""&amp;Z11&amp;"""","")&amp;IF(AA11&lt;&gt;"",IF(COUNTA($E11:$Z11)&gt;0," OR ","")&amp;'Dashboard Config'!$B$7&amp;"="""&amp;AA11&amp;"""","")&amp;IF(AB11&lt;&gt;"",IF(COUNTA($E11:$AA11)&gt;0," OR ","")&amp;'Dashboard Config'!$B$7&amp;"="""&amp;AB11&amp;"""","")&amp;IF(AC11&lt;&gt;"",IF(COUNTA($E11:$AB11)&gt;0," OR ","")&amp;AC11,"")&amp;")")</x:f>
      </x:c>
      <x:c r="AE11" s="48" t="str">
        <x:f>IF($AD11="","",CHAR(123)&amp;CHAR(34)&amp;"label"&amp;CHAR(34)&amp;":"&amp;CHAR(34)&amp;$C11&amp;CHAR(34)&amp;","&amp;CHAR(34)&amp;"value"&amp;CHAR(34)&amp;":"&amp;CHAR(34)&amp;SUBSTITUTE($AD11,CHAR(34),CHAR(92)&amp;CHAR(34))&amp;CHAR(34)&amp;CHAR(125))</x:f>
      </x:c>
      <x:c r="AF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8" t="str">
        <x:f>IF(OR($A12&lt;&gt;"Yes",$C12="",COUNTA($E12:$AC12)=0),"","("&amp;IF(E12&lt;&gt;"",'Dashboard Config'!$B$6&amp;"="""&amp;E12&amp;"""","")&amp;IF(F12&lt;&gt;"",IF(COUNTA($E12:$E12)&gt;0," OR ","")&amp;'Dashboard Config'!$B$6&amp;"="""&amp;F12&amp;"""","")&amp;IF(G12&lt;&gt;"",IF(COUNTA($E12:$F12)&gt;0," OR ","")&amp;'Dashboard Config'!$B$6&amp;"="""&amp;G12&amp;"""","")&amp;IF(H12&lt;&gt;"",IF(COUNTA($E12:$G12)&gt;0," OR ","")&amp;'Dashboard Config'!$B$6&amp;"="""&amp;H12&amp;"""","")&amp;IF(I12&lt;&gt;"",IF(COUNTA($E12:$H12)&gt;0," OR ","")&amp;'Dashboard Config'!$B$6&amp;"="""&amp;I12&amp;"""","")&amp;IF(J12&lt;&gt;"",IF(COUNTA($E12:$I12)&gt;0," OR ","")&amp;'Dashboard Config'!$B$6&amp;"="""&amp;J12&amp;"""","")&amp;IF(K12&lt;&gt;"",IF(COUNTA($E12:$J12)&gt;0," OR ","")&amp;'Dashboard Config'!$B$6&amp;"="""&amp;K12&amp;"""","")&amp;IF(L12&lt;&gt;"",IF(COUNTA($E12:$K12)&gt;0," OR ","")&amp;'Dashboard Config'!$B$6&amp;"="""&amp;L12&amp;"""","")&amp;IF(M12&lt;&gt;"",IF(COUNTA($E12:$L12)&gt;0," OR ","")&amp;'Dashboard Config'!$B$7&amp;"="""&amp;M12&amp;"""","")&amp;IF(N12&lt;&gt;"",IF(COUNTA($E12:$M12)&gt;0," OR ","")&amp;'Dashboard Config'!$B$7&amp;"="""&amp;N12&amp;"""","")&amp;IF(O12&lt;&gt;"",IF(COUNTA($E12:$N12)&gt;0," OR ","")&amp;'Dashboard Config'!$B$7&amp;"="""&amp;O12&amp;"""","")&amp;IF(P12&lt;&gt;"",IF(COUNTA($E12:$O12)&gt;0," OR ","")&amp;'Dashboard Config'!$B$7&amp;"="""&amp;P12&amp;"""","")&amp;IF(Q12&lt;&gt;"",IF(COUNTA($E12:$P12)&gt;0," OR ","")&amp;'Dashboard Config'!$B$7&amp;"="""&amp;Q12&amp;"""","")&amp;IF(R12&lt;&gt;"",IF(COUNTA($E12:$Q12)&gt;0," OR ","")&amp;'Dashboard Config'!$B$7&amp;"="""&amp;R12&amp;"""","")&amp;IF(S12&lt;&gt;"",IF(COUNTA($E12:$R12)&gt;0," OR ","")&amp;'Dashboard Config'!$B$7&amp;"="""&amp;S12&amp;"""","")&amp;IF(T12&lt;&gt;"",IF(COUNTA($E12:$S12)&gt;0," OR ","")&amp;'Dashboard Config'!$B$7&amp;"="""&amp;T12&amp;"""","")&amp;IF(U12&lt;&gt;"",IF(COUNTA($E12:$T12)&gt;0," OR ","")&amp;'Dashboard Config'!$B$7&amp;"="""&amp;U12&amp;"""","")&amp;IF(V12&lt;&gt;"",IF(COUNTA($E12:$U12)&gt;0," OR ","")&amp;'Dashboard Config'!$B$7&amp;"="""&amp;V12&amp;"""","")&amp;IF(W12&lt;&gt;"",IF(COUNTA($E12:$V12)&gt;0," OR ","")&amp;'Dashboard Config'!$B$7&amp;"="""&amp;W12&amp;"""","")&amp;IF(X12&lt;&gt;"",IF(COUNTA($E12:$W12)&gt;0," OR ","")&amp;'Dashboard Config'!$B$7&amp;"="""&amp;X12&amp;"""","")&amp;IF(Y12&lt;&gt;"",IF(COUNTA($E12:$X12)&gt;0," OR ","")&amp;'Dashboard Config'!$B$7&amp;"="""&amp;Y12&amp;"""","")&amp;IF(Z12&lt;&gt;"",IF(COUNTA($E12:$Y12)&gt;0," OR ","")&amp;'Dashboard Config'!$B$7&amp;"="""&amp;Z12&amp;"""","")&amp;IF(AA12&lt;&gt;"",IF(COUNTA($E12:$Z12)&gt;0," OR ","")&amp;'Dashboard Config'!$B$7&amp;"="""&amp;AA12&amp;"""","")&amp;IF(AB12&lt;&gt;"",IF(COUNTA($E12:$AA12)&gt;0," OR ","")&amp;'Dashboard Config'!$B$7&amp;"="""&amp;AB12&amp;"""","")&amp;IF(AC12&lt;&gt;"",IF(COUNTA($E12:$AB12)&gt;0," OR ","")&amp;AC12,"")&amp;")")</x:f>
      </x:c>
      <x:c r="AE12" s="48" t="str">
        <x:f>IF($AD12="","",CHAR(123)&amp;CHAR(34)&amp;"label"&amp;CHAR(34)&amp;":"&amp;CHAR(34)&amp;$C12&amp;CHAR(34)&amp;","&amp;CHAR(34)&amp;"value"&amp;CHAR(34)&amp;":"&amp;CHAR(34)&amp;SUBSTITUTE($AD12,CHAR(34),CHAR(92)&amp;CHAR(34))&amp;CHAR(34)&amp;CHAR(125))</x:f>
      </x:c>
      <x:c r="AF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8" t="str">
        <x:f>IF(OR($A13&lt;&gt;"Yes",$C13="",COUNTA($E13:$AC13)=0),"","("&amp;IF(E13&lt;&gt;"",'Dashboard Config'!$B$6&amp;"="""&amp;E13&amp;"""","")&amp;IF(F13&lt;&gt;"",IF(COUNTA($E13:$E13)&gt;0," OR ","")&amp;'Dashboard Config'!$B$6&amp;"="""&amp;F13&amp;"""","")&amp;IF(G13&lt;&gt;"",IF(COUNTA($E13:$F13)&gt;0," OR ","")&amp;'Dashboard Config'!$B$6&amp;"="""&amp;G13&amp;"""","")&amp;IF(H13&lt;&gt;"",IF(COUNTA($E13:$G13)&gt;0," OR ","")&amp;'Dashboard Config'!$B$6&amp;"="""&amp;H13&amp;"""","")&amp;IF(I13&lt;&gt;"",IF(COUNTA($E13:$H13)&gt;0," OR ","")&amp;'Dashboard Config'!$B$6&amp;"="""&amp;I13&amp;"""","")&amp;IF(J13&lt;&gt;"",IF(COUNTA($E13:$I13)&gt;0," OR ","")&amp;'Dashboard Config'!$B$6&amp;"="""&amp;J13&amp;"""","")&amp;IF(K13&lt;&gt;"",IF(COUNTA($E13:$J13)&gt;0," OR ","")&amp;'Dashboard Config'!$B$6&amp;"="""&amp;K13&amp;"""","")&amp;IF(L13&lt;&gt;"",IF(COUNTA($E13:$K13)&gt;0," OR ","")&amp;'Dashboard Config'!$B$6&amp;"="""&amp;L13&amp;"""","")&amp;IF(M13&lt;&gt;"",IF(COUNTA($E13:$L13)&gt;0," OR ","")&amp;'Dashboard Config'!$B$7&amp;"="""&amp;M13&amp;"""","")&amp;IF(N13&lt;&gt;"",IF(COUNTA($E13:$M13)&gt;0," OR ","")&amp;'Dashboard Config'!$B$7&amp;"="""&amp;N13&amp;"""","")&amp;IF(O13&lt;&gt;"",IF(COUNTA($E13:$N13)&gt;0," OR ","")&amp;'Dashboard Config'!$B$7&amp;"="""&amp;O13&amp;"""","")&amp;IF(P13&lt;&gt;"",IF(COUNTA($E13:$O13)&gt;0," OR ","")&amp;'Dashboard Config'!$B$7&amp;"="""&amp;P13&amp;"""","")&amp;IF(Q13&lt;&gt;"",IF(COUNTA($E13:$P13)&gt;0," OR ","")&amp;'Dashboard Config'!$B$7&amp;"="""&amp;Q13&amp;"""","")&amp;IF(R13&lt;&gt;"",IF(COUNTA($E13:$Q13)&gt;0," OR ","")&amp;'Dashboard Config'!$B$7&amp;"="""&amp;R13&amp;"""","")&amp;IF(S13&lt;&gt;"",IF(COUNTA($E13:$R13)&gt;0," OR ","")&amp;'Dashboard Config'!$B$7&amp;"="""&amp;S13&amp;"""","")&amp;IF(T13&lt;&gt;"",IF(COUNTA($E13:$S13)&gt;0," OR ","")&amp;'Dashboard Config'!$B$7&amp;"="""&amp;T13&amp;"""","")&amp;IF(U13&lt;&gt;"",IF(COUNTA($E13:$T13)&gt;0," OR ","")&amp;'Dashboard Config'!$B$7&amp;"="""&amp;U13&amp;"""","")&amp;IF(V13&lt;&gt;"",IF(COUNTA($E13:$U13)&gt;0," OR ","")&amp;'Dashboard Config'!$B$7&amp;"="""&amp;V13&amp;"""","")&amp;IF(W13&lt;&gt;"",IF(COUNTA($E13:$V13)&gt;0," OR ","")&amp;'Dashboard Config'!$B$7&amp;"="""&amp;W13&amp;"""","")&amp;IF(X13&lt;&gt;"",IF(COUNTA($E13:$W13)&gt;0," OR ","")&amp;'Dashboard Config'!$B$7&amp;"="""&amp;X13&amp;"""","")&amp;IF(Y13&lt;&gt;"",IF(COUNTA($E13:$X13)&gt;0," OR ","")&amp;'Dashboard Config'!$B$7&amp;"="""&amp;Y13&amp;"""","")&amp;IF(Z13&lt;&gt;"",IF(COUNTA($E13:$Y13)&gt;0," OR ","")&amp;'Dashboard Config'!$B$7&amp;"="""&amp;Z13&amp;"""","")&amp;IF(AA13&lt;&gt;"",IF(COUNTA($E13:$Z13)&gt;0," OR ","")&amp;'Dashboard Config'!$B$7&amp;"="""&amp;AA13&amp;"""","")&amp;IF(AB13&lt;&gt;"",IF(COUNTA($E13:$AA13)&gt;0," OR ","")&amp;'Dashboard Config'!$B$7&amp;"="""&amp;AB13&amp;"""","")&amp;IF(AC13&lt;&gt;"",IF(COUNTA($E13:$AB13)&gt;0," OR ","")&amp;AC13,"")&amp;")")</x:f>
      </x:c>
      <x:c r="AE13" s="48" t="str">
        <x:f>IF($AD13="","",CHAR(123)&amp;CHAR(34)&amp;"label"&amp;CHAR(34)&amp;":"&amp;CHAR(34)&amp;$C13&amp;CHAR(34)&amp;","&amp;CHAR(34)&amp;"value"&amp;CHAR(34)&amp;":"&amp;CHAR(34)&amp;SUBSTITUTE($AD13,CHAR(34),CHAR(92)&amp;CHAR(34))&amp;CHAR(34)&amp;CHAR(125))</x:f>
      </x:c>
      <x:c r="AF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8" t="str">
        <x:f>IF(OR($A14&lt;&gt;"Yes",$C14="",COUNTA($E14:$AC14)=0),"","("&amp;IF(E14&lt;&gt;"",'Dashboard Config'!$B$6&amp;"="""&amp;E14&amp;"""","")&amp;IF(F14&lt;&gt;"",IF(COUNTA($E14:$E14)&gt;0," OR ","")&amp;'Dashboard Config'!$B$6&amp;"="""&amp;F14&amp;"""","")&amp;IF(G14&lt;&gt;"",IF(COUNTA($E14:$F14)&gt;0," OR ","")&amp;'Dashboard Config'!$B$6&amp;"="""&amp;G14&amp;"""","")&amp;IF(H14&lt;&gt;"",IF(COUNTA($E14:$G14)&gt;0," OR ","")&amp;'Dashboard Config'!$B$6&amp;"="""&amp;H14&amp;"""","")&amp;IF(I14&lt;&gt;"",IF(COUNTA($E14:$H14)&gt;0," OR ","")&amp;'Dashboard Config'!$B$6&amp;"="""&amp;I14&amp;"""","")&amp;IF(J14&lt;&gt;"",IF(COUNTA($E14:$I14)&gt;0," OR ","")&amp;'Dashboard Config'!$B$6&amp;"="""&amp;J14&amp;"""","")&amp;IF(K14&lt;&gt;"",IF(COUNTA($E14:$J14)&gt;0," OR ","")&amp;'Dashboard Config'!$B$6&amp;"="""&amp;K14&amp;"""","")&amp;IF(L14&lt;&gt;"",IF(COUNTA($E14:$K14)&gt;0," OR ","")&amp;'Dashboard Config'!$B$6&amp;"="""&amp;L14&amp;"""","")&amp;IF(M14&lt;&gt;"",IF(COUNTA($E14:$L14)&gt;0," OR ","")&amp;'Dashboard Config'!$B$7&amp;"="""&amp;M14&amp;"""","")&amp;IF(N14&lt;&gt;"",IF(COUNTA($E14:$M14)&gt;0," OR ","")&amp;'Dashboard Config'!$B$7&amp;"="""&amp;N14&amp;"""","")&amp;IF(O14&lt;&gt;"",IF(COUNTA($E14:$N14)&gt;0," OR ","")&amp;'Dashboard Config'!$B$7&amp;"="""&amp;O14&amp;"""","")&amp;IF(P14&lt;&gt;"",IF(COUNTA($E14:$O14)&gt;0," OR ","")&amp;'Dashboard Config'!$B$7&amp;"="""&amp;P14&amp;"""","")&amp;IF(Q14&lt;&gt;"",IF(COUNTA($E14:$P14)&gt;0," OR ","")&amp;'Dashboard Config'!$B$7&amp;"="""&amp;Q14&amp;"""","")&amp;IF(R14&lt;&gt;"",IF(COUNTA($E14:$Q14)&gt;0," OR ","")&amp;'Dashboard Config'!$B$7&amp;"="""&amp;R14&amp;"""","")&amp;IF(S14&lt;&gt;"",IF(COUNTA($E14:$R14)&gt;0," OR ","")&amp;'Dashboard Config'!$B$7&amp;"="""&amp;S14&amp;"""","")&amp;IF(T14&lt;&gt;"",IF(COUNTA($E14:$S14)&gt;0," OR ","")&amp;'Dashboard Config'!$B$7&amp;"="""&amp;T14&amp;"""","")&amp;IF(U14&lt;&gt;"",IF(COUNTA($E14:$T14)&gt;0," OR ","")&amp;'Dashboard Config'!$B$7&amp;"="""&amp;U14&amp;"""","")&amp;IF(V14&lt;&gt;"",IF(COUNTA($E14:$U14)&gt;0," OR ","")&amp;'Dashboard Config'!$B$7&amp;"="""&amp;V14&amp;"""","")&amp;IF(W14&lt;&gt;"",IF(COUNTA($E14:$V14)&gt;0," OR ","")&amp;'Dashboard Config'!$B$7&amp;"="""&amp;W14&amp;"""","")&amp;IF(X14&lt;&gt;"",IF(COUNTA($E14:$W14)&gt;0," OR ","")&amp;'Dashboard Config'!$B$7&amp;"="""&amp;X14&amp;"""","")&amp;IF(Y14&lt;&gt;"",IF(COUNTA($E14:$X14)&gt;0," OR ","")&amp;'Dashboard Config'!$B$7&amp;"="""&amp;Y14&amp;"""","")&amp;IF(Z14&lt;&gt;"",IF(COUNTA($E14:$Y14)&gt;0," OR ","")&amp;'Dashboard Config'!$B$7&amp;"="""&amp;Z14&amp;"""","")&amp;IF(AA14&lt;&gt;"",IF(COUNTA($E14:$Z14)&gt;0," OR ","")&amp;'Dashboard Config'!$B$7&amp;"="""&amp;AA14&amp;"""","")&amp;IF(AB14&lt;&gt;"",IF(COUNTA($E14:$AA14)&gt;0," OR ","")&amp;'Dashboard Config'!$B$7&amp;"="""&amp;AB14&amp;"""","")&amp;IF(AC14&lt;&gt;"",IF(COUNTA($E14:$AB14)&gt;0," OR ","")&amp;AC14,"")&amp;")")</x:f>
      </x:c>
      <x:c r="AE14" s="48" t="str">
        <x:f>IF($AD14="","",CHAR(123)&amp;CHAR(34)&amp;"label"&amp;CHAR(34)&amp;":"&amp;CHAR(34)&amp;$C14&amp;CHAR(34)&amp;","&amp;CHAR(34)&amp;"value"&amp;CHAR(34)&amp;":"&amp;CHAR(34)&amp;SUBSTITUTE($AD14,CHAR(34),CHAR(92)&amp;CHAR(34))&amp;CHAR(34)&amp;CHAR(125))</x:f>
      </x:c>
      <x:c r="AF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8" t="str">
        <x:f>IF(OR($A15&lt;&gt;"Yes",$C15="",COUNTA($E15:$AC15)=0),"","("&amp;IF(E15&lt;&gt;"",'Dashboard Config'!$B$6&amp;"="""&amp;E15&amp;"""","")&amp;IF(F15&lt;&gt;"",IF(COUNTA($E15:$E15)&gt;0," OR ","")&amp;'Dashboard Config'!$B$6&amp;"="""&amp;F15&amp;"""","")&amp;IF(G15&lt;&gt;"",IF(COUNTA($E15:$F15)&gt;0," OR ","")&amp;'Dashboard Config'!$B$6&amp;"="""&amp;G15&amp;"""","")&amp;IF(H15&lt;&gt;"",IF(COUNTA($E15:$G15)&gt;0," OR ","")&amp;'Dashboard Config'!$B$6&amp;"="""&amp;H15&amp;"""","")&amp;IF(I15&lt;&gt;"",IF(COUNTA($E15:$H15)&gt;0," OR ","")&amp;'Dashboard Config'!$B$6&amp;"="""&amp;I15&amp;"""","")&amp;IF(J15&lt;&gt;"",IF(COUNTA($E15:$I15)&gt;0," OR ","")&amp;'Dashboard Config'!$B$6&amp;"="""&amp;J15&amp;"""","")&amp;IF(K15&lt;&gt;"",IF(COUNTA($E15:$J15)&gt;0," OR ","")&amp;'Dashboard Config'!$B$6&amp;"="""&amp;K15&amp;"""","")&amp;IF(L15&lt;&gt;"",IF(COUNTA($E15:$K15)&gt;0," OR ","")&amp;'Dashboard Config'!$B$6&amp;"="""&amp;L15&amp;"""","")&amp;IF(M15&lt;&gt;"",IF(COUNTA($E15:$L15)&gt;0," OR ","")&amp;'Dashboard Config'!$B$7&amp;"="""&amp;M15&amp;"""","")&amp;IF(N15&lt;&gt;"",IF(COUNTA($E15:$M15)&gt;0," OR ","")&amp;'Dashboard Config'!$B$7&amp;"="""&amp;N15&amp;"""","")&amp;IF(O15&lt;&gt;"",IF(COUNTA($E15:$N15)&gt;0," OR ","")&amp;'Dashboard Config'!$B$7&amp;"="""&amp;O15&amp;"""","")&amp;IF(P15&lt;&gt;"",IF(COUNTA($E15:$O15)&gt;0," OR ","")&amp;'Dashboard Config'!$B$7&amp;"="""&amp;P15&amp;"""","")&amp;IF(Q15&lt;&gt;"",IF(COUNTA($E15:$P15)&gt;0," OR ","")&amp;'Dashboard Config'!$B$7&amp;"="""&amp;Q15&amp;"""","")&amp;IF(R15&lt;&gt;"",IF(COUNTA($E15:$Q15)&gt;0," OR ","")&amp;'Dashboard Config'!$B$7&amp;"="""&amp;R15&amp;"""","")&amp;IF(S15&lt;&gt;"",IF(COUNTA($E15:$R15)&gt;0," OR ","")&amp;'Dashboard Config'!$B$7&amp;"="""&amp;S15&amp;"""","")&amp;IF(T15&lt;&gt;"",IF(COUNTA($E15:$S15)&gt;0," OR ","")&amp;'Dashboard Config'!$B$7&amp;"="""&amp;T15&amp;"""","")&amp;IF(U15&lt;&gt;"",IF(COUNTA($E15:$T15)&gt;0," OR ","")&amp;'Dashboard Config'!$B$7&amp;"="""&amp;U15&amp;"""","")&amp;IF(V15&lt;&gt;"",IF(COUNTA($E15:$U15)&gt;0," OR ","")&amp;'Dashboard Config'!$B$7&amp;"="""&amp;V15&amp;"""","")&amp;IF(W15&lt;&gt;"",IF(COUNTA($E15:$V15)&gt;0," OR ","")&amp;'Dashboard Config'!$B$7&amp;"="""&amp;W15&amp;"""","")&amp;IF(X15&lt;&gt;"",IF(COUNTA($E15:$W15)&gt;0," OR ","")&amp;'Dashboard Config'!$B$7&amp;"="""&amp;X15&amp;"""","")&amp;IF(Y15&lt;&gt;"",IF(COUNTA($E15:$X15)&gt;0," OR ","")&amp;'Dashboard Config'!$B$7&amp;"="""&amp;Y15&amp;"""","")&amp;IF(Z15&lt;&gt;"",IF(COUNTA($E15:$Y15)&gt;0," OR ","")&amp;'Dashboard Config'!$B$7&amp;"="""&amp;Z15&amp;"""","")&amp;IF(AA15&lt;&gt;"",IF(COUNTA($E15:$Z15)&gt;0," OR ","")&amp;'Dashboard Config'!$B$7&amp;"="""&amp;AA15&amp;"""","")&amp;IF(AB15&lt;&gt;"",IF(COUNTA($E15:$AA15)&gt;0," OR ","")&amp;'Dashboard Config'!$B$7&amp;"="""&amp;AB15&amp;"""","")&amp;IF(AC15&lt;&gt;"",IF(COUNTA($E15:$AB15)&gt;0," OR ","")&amp;AC15,"")&amp;")")</x:f>
      </x:c>
      <x:c r="AE15" s="48" t="str">
        <x:f>IF($AD15="","",CHAR(123)&amp;CHAR(34)&amp;"label"&amp;CHAR(34)&amp;":"&amp;CHAR(34)&amp;$C15&amp;CHAR(34)&amp;","&amp;CHAR(34)&amp;"value"&amp;CHAR(34)&amp;":"&amp;CHAR(34)&amp;SUBSTITUTE($AD15,CHAR(34),CHAR(92)&amp;CHAR(34))&amp;CHAR(34)&amp;CHAR(125))</x:f>
      </x:c>
      <x:c r="AF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8" t="str">
        <x:f>IF(OR($A16&lt;&gt;"Yes",$C16="",COUNTA($E16:$AC16)=0),"","("&amp;IF(E16&lt;&gt;"",'Dashboard Config'!$B$6&amp;"="""&amp;E16&amp;"""","")&amp;IF(F16&lt;&gt;"",IF(COUNTA($E16:$E16)&gt;0," OR ","")&amp;'Dashboard Config'!$B$6&amp;"="""&amp;F16&amp;"""","")&amp;IF(G16&lt;&gt;"",IF(COUNTA($E16:$F16)&gt;0," OR ","")&amp;'Dashboard Config'!$B$6&amp;"="""&amp;G16&amp;"""","")&amp;IF(H16&lt;&gt;"",IF(COUNTA($E16:$G16)&gt;0," OR ","")&amp;'Dashboard Config'!$B$6&amp;"="""&amp;H16&amp;"""","")&amp;IF(I16&lt;&gt;"",IF(COUNTA($E16:$H16)&gt;0," OR ","")&amp;'Dashboard Config'!$B$6&amp;"="""&amp;I16&amp;"""","")&amp;IF(J16&lt;&gt;"",IF(COUNTA($E16:$I16)&gt;0," OR ","")&amp;'Dashboard Config'!$B$6&amp;"="""&amp;J16&amp;"""","")&amp;IF(K16&lt;&gt;"",IF(COUNTA($E16:$J16)&gt;0," OR ","")&amp;'Dashboard Config'!$B$6&amp;"="""&amp;K16&amp;"""","")&amp;IF(L16&lt;&gt;"",IF(COUNTA($E16:$K16)&gt;0," OR ","")&amp;'Dashboard Config'!$B$6&amp;"="""&amp;L16&amp;"""","")&amp;IF(M16&lt;&gt;"",IF(COUNTA($E16:$L16)&gt;0," OR ","")&amp;'Dashboard Config'!$B$7&amp;"="""&amp;M16&amp;"""","")&amp;IF(N16&lt;&gt;"",IF(COUNTA($E16:$M16)&gt;0," OR ","")&amp;'Dashboard Config'!$B$7&amp;"="""&amp;N16&amp;"""","")&amp;IF(O16&lt;&gt;"",IF(COUNTA($E16:$N16)&gt;0," OR ","")&amp;'Dashboard Config'!$B$7&amp;"="""&amp;O16&amp;"""","")&amp;IF(P16&lt;&gt;"",IF(COUNTA($E16:$O16)&gt;0," OR ","")&amp;'Dashboard Config'!$B$7&amp;"="""&amp;P16&amp;"""","")&amp;IF(Q16&lt;&gt;"",IF(COUNTA($E16:$P16)&gt;0," OR ","")&amp;'Dashboard Config'!$B$7&amp;"="""&amp;Q16&amp;"""","")&amp;IF(R16&lt;&gt;"",IF(COUNTA($E16:$Q16)&gt;0," OR ","")&amp;'Dashboard Config'!$B$7&amp;"="""&amp;R16&amp;"""","")&amp;IF(S16&lt;&gt;"",IF(COUNTA($E16:$R16)&gt;0," OR ","")&amp;'Dashboard Config'!$B$7&amp;"="""&amp;S16&amp;"""","")&amp;IF(T16&lt;&gt;"",IF(COUNTA($E16:$S16)&gt;0," OR ","")&amp;'Dashboard Config'!$B$7&amp;"="""&amp;T16&amp;"""","")&amp;IF(U16&lt;&gt;"",IF(COUNTA($E16:$T16)&gt;0," OR ","")&amp;'Dashboard Config'!$B$7&amp;"="""&amp;U16&amp;"""","")&amp;IF(V16&lt;&gt;"",IF(COUNTA($E16:$U16)&gt;0," OR ","")&amp;'Dashboard Config'!$B$7&amp;"="""&amp;V16&amp;"""","")&amp;IF(W16&lt;&gt;"",IF(COUNTA($E16:$V16)&gt;0," OR ","")&amp;'Dashboard Config'!$B$7&amp;"="""&amp;W16&amp;"""","")&amp;IF(X16&lt;&gt;"",IF(COUNTA($E16:$W16)&gt;0," OR ","")&amp;'Dashboard Config'!$B$7&amp;"="""&amp;X16&amp;"""","")&amp;IF(Y16&lt;&gt;"",IF(COUNTA($E16:$X16)&gt;0," OR ","")&amp;'Dashboard Config'!$B$7&amp;"="""&amp;Y16&amp;"""","")&amp;IF(Z16&lt;&gt;"",IF(COUNTA($E16:$Y16)&gt;0," OR ","")&amp;'Dashboard Config'!$B$7&amp;"="""&amp;Z16&amp;"""","")&amp;IF(AA16&lt;&gt;"",IF(COUNTA($E16:$Z16)&gt;0," OR ","")&amp;'Dashboard Config'!$B$7&amp;"="""&amp;AA16&amp;"""","")&amp;IF(AB16&lt;&gt;"",IF(COUNTA($E16:$AA16)&gt;0," OR ","")&amp;'Dashboard Config'!$B$7&amp;"="""&amp;AB16&amp;"""","")&amp;IF(AC16&lt;&gt;"",IF(COUNTA($E16:$AB16)&gt;0," OR ","")&amp;AC16,"")&amp;")")</x:f>
      </x:c>
      <x:c r="AE16" s="48" t="str">
        <x:f>IF($AD16="","",CHAR(123)&amp;CHAR(34)&amp;"label"&amp;CHAR(34)&amp;":"&amp;CHAR(34)&amp;$C16&amp;CHAR(34)&amp;","&amp;CHAR(34)&amp;"value"&amp;CHAR(34)&amp;":"&amp;CHAR(34)&amp;SUBSTITUTE($AD16,CHAR(34),CHAR(92)&amp;CHAR(34))&amp;CHAR(34)&amp;CHAR(125))</x:f>
      </x:c>
      <x:c r="AF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8" t="str">
        <x:f>IF(OR($A17&lt;&gt;"Yes",$C17="",COUNTA($E17:$AC17)=0),"","("&amp;IF(E17&lt;&gt;"",'Dashboard Config'!$B$6&amp;"="""&amp;E17&amp;"""","")&amp;IF(F17&lt;&gt;"",IF(COUNTA($E17:$E17)&gt;0," OR ","")&amp;'Dashboard Config'!$B$6&amp;"="""&amp;F17&amp;"""","")&amp;IF(G17&lt;&gt;"",IF(COUNTA($E17:$F17)&gt;0," OR ","")&amp;'Dashboard Config'!$B$6&amp;"="""&amp;G17&amp;"""","")&amp;IF(H17&lt;&gt;"",IF(COUNTA($E17:$G17)&gt;0," OR ","")&amp;'Dashboard Config'!$B$6&amp;"="""&amp;H17&amp;"""","")&amp;IF(I17&lt;&gt;"",IF(COUNTA($E17:$H17)&gt;0," OR ","")&amp;'Dashboard Config'!$B$6&amp;"="""&amp;I17&amp;"""","")&amp;IF(J17&lt;&gt;"",IF(COUNTA($E17:$I17)&gt;0," OR ","")&amp;'Dashboard Config'!$B$6&amp;"="""&amp;J17&amp;"""","")&amp;IF(K17&lt;&gt;"",IF(COUNTA($E17:$J17)&gt;0," OR ","")&amp;'Dashboard Config'!$B$6&amp;"="""&amp;K17&amp;"""","")&amp;IF(L17&lt;&gt;"",IF(COUNTA($E17:$K17)&gt;0," OR ","")&amp;'Dashboard Config'!$B$6&amp;"="""&amp;L17&amp;"""","")&amp;IF(M17&lt;&gt;"",IF(COUNTA($E17:$L17)&gt;0," OR ","")&amp;'Dashboard Config'!$B$7&amp;"="""&amp;M17&amp;"""","")&amp;IF(N17&lt;&gt;"",IF(COUNTA($E17:$M17)&gt;0," OR ","")&amp;'Dashboard Config'!$B$7&amp;"="""&amp;N17&amp;"""","")&amp;IF(O17&lt;&gt;"",IF(COUNTA($E17:$N17)&gt;0," OR ","")&amp;'Dashboard Config'!$B$7&amp;"="""&amp;O17&amp;"""","")&amp;IF(P17&lt;&gt;"",IF(COUNTA($E17:$O17)&gt;0," OR ","")&amp;'Dashboard Config'!$B$7&amp;"="""&amp;P17&amp;"""","")&amp;IF(Q17&lt;&gt;"",IF(COUNTA($E17:$P17)&gt;0," OR ","")&amp;'Dashboard Config'!$B$7&amp;"="""&amp;Q17&amp;"""","")&amp;IF(R17&lt;&gt;"",IF(COUNTA($E17:$Q17)&gt;0," OR ","")&amp;'Dashboard Config'!$B$7&amp;"="""&amp;R17&amp;"""","")&amp;IF(S17&lt;&gt;"",IF(COUNTA($E17:$R17)&gt;0," OR ","")&amp;'Dashboard Config'!$B$7&amp;"="""&amp;S17&amp;"""","")&amp;IF(T17&lt;&gt;"",IF(COUNTA($E17:$S17)&gt;0," OR ","")&amp;'Dashboard Config'!$B$7&amp;"="""&amp;T17&amp;"""","")&amp;IF(U17&lt;&gt;"",IF(COUNTA($E17:$T17)&gt;0," OR ","")&amp;'Dashboard Config'!$B$7&amp;"="""&amp;U17&amp;"""","")&amp;IF(V17&lt;&gt;"",IF(COUNTA($E17:$U17)&gt;0," OR ","")&amp;'Dashboard Config'!$B$7&amp;"="""&amp;V17&amp;"""","")&amp;IF(W17&lt;&gt;"",IF(COUNTA($E17:$V17)&gt;0," OR ","")&amp;'Dashboard Config'!$B$7&amp;"="""&amp;W17&amp;"""","")&amp;IF(X17&lt;&gt;"",IF(COUNTA($E17:$W17)&gt;0," OR ","")&amp;'Dashboard Config'!$B$7&amp;"="""&amp;X17&amp;"""","")&amp;IF(Y17&lt;&gt;"",IF(COUNTA($E17:$X17)&gt;0," OR ","")&amp;'Dashboard Config'!$B$7&amp;"="""&amp;Y17&amp;"""","")&amp;IF(Z17&lt;&gt;"",IF(COUNTA($E17:$Y17)&gt;0," OR ","")&amp;'Dashboard Config'!$B$7&amp;"="""&amp;Z17&amp;"""","")&amp;IF(AA17&lt;&gt;"",IF(COUNTA($E17:$Z17)&gt;0," OR ","")&amp;'Dashboard Config'!$B$7&amp;"="""&amp;AA17&amp;"""","")&amp;IF(AB17&lt;&gt;"",IF(COUNTA($E17:$AA17)&gt;0," OR ","")&amp;'Dashboard Config'!$B$7&amp;"="""&amp;AB17&amp;"""","")&amp;IF(AC17&lt;&gt;"",IF(COUNTA($E17:$AB17)&gt;0," OR ","")&amp;AC17,"")&amp;")")</x:f>
      </x:c>
      <x:c r="AE17" s="48" t="str">
        <x:f>IF($AD17="","",CHAR(123)&amp;CHAR(34)&amp;"label"&amp;CHAR(34)&amp;":"&amp;CHAR(34)&amp;$C17&amp;CHAR(34)&amp;","&amp;CHAR(34)&amp;"value"&amp;CHAR(34)&amp;":"&amp;CHAR(34)&amp;SUBSTITUTE($AD17,CHAR(34),CHAR(92)&amp;CHAR(34))&amp;CHAR(34)&amp;CHAR(125))</x:f>
      </x:c>
      <x:c r="AF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8" t="str">
        <x:f>IF(OR($A18&lt;&gt;"Yes",$C18="",COUNTA($E18:$AC18)=0),"","("&amp;IF(E18&lt;&gt;"",'Dashboard Config'!$B$6&amp;"="""&amp;E18&amp;"""","")&amp;IF(F18&lt;&gt;"",IF(COUNTA($E18:$E18)&gt;0," OR ","")&amp;'Dashboard Config'!$B$6&amp;"="""&amp;F18&amp;"""","")&amp;IF(G18&lt;&gt;"",IF(COUNTA($E18:$F18)&gt;0," OR ","")&amp;'Dashboard Config'!$B$6&amp;"="""&amp;G18&amp;"""","")&amp;IF(H18&lt;&gt;"",IF(COUNTA($E18:$G18)&gt;0," OR ","")&amp;'Dashboard Config'!$B$6&amp;"="""&amp;H18&amp;"""","")&amp;IF(I18&lt;&gt;"",IF(COUNTA($E18:$H18)&gt;0," OR ","")&amp;'Dashboard Config'!$B$6&amp;"="""&amp;I18&amp;"""","")&amp;IF(J18&lt;&gt;"",IF(COUNTA($E18:$I18)&gt;0," OR ","")&amp;'Dashboard Config'!$B$6&amp;"="""&amp;J18&amp;"""","")&amp;IF(K18&lt;&gt;"",IF(COUNTA($E18:$J18)&gt;0," OR ","")&amp;'Dashboard Config'!$B$6&amp;"="""&amp;K18&amp;"""","")&amp;IF(L18&lt;&gt;"",IF(COUNTA($E18:$K18)&gt;0," OR ","")&amp;'Dashboard Config'!$B$6&amp;"="""&amp;L18&amp;"""","")&amp;IF(M18&lt;&gt;"",IF(COUNTA($E18:$L18)&gt;0," OR ","")&amp;'Dashboard Config'!$B$7&amp;"="""&amp;M18&amp;"""","")&amp;IF(N18&lt;&gt;"",IF(COUNTA($E18:$M18)&gt;0," OR ","")&amp;'Dashboard Config'!$B$7&amp;"="""&amp;N18&amp;"""","")&amp;IF(O18&lt;&gt;"",IF(COUNTA($E18:$N18)&gt;0," OR ","")&amp;'Dashboard Config'!$B$7&amp;"="""&amp;O18&amp;"""","")&amp;IF(P18&lt;&gt;"",IF(COUNTA($E18:$O18)&gt;0," OR ","")&amp;'Dashboard Config'!$B$7&amp;"="""&amp;P18&amp;"""","")&amp;IF(Q18&lt;&gt;"",IF(COUNTA($E18:$P18)&gt;0," OR ","")&amp;'Dashboard Config'!$B$7&amp;"="""&amp;Q18&amp;"""","")&amp;IF(R18&lt;&gt;"",IF(COUNTA($E18:$Q18)&gt;0," OR ","")&amp;'Dashboard Config'!$B$7&amp;"="""&amp;R18&amp;"""","")&amp;IF(S18&lt;&gt;"",IF(COUNTA($E18:$R18)&gt;0," OR ","")&amp;'Dashboard Config'!$B$7&amp;"="""&amp;S18&amp;"""","")&amp;IF(T18&lt;&gt;"",IF(COUNTA($E18:$S18)&gt;0," OR ","")&amp;'Dashboard Config'!$B$7&amp;"="""&amp;T18&amp;"""","")&amp;IF(U18&lt;&gt;"",IF(COUNTA($E18:$T18)&gt;0," OR ","")&amp;'Dashboard Config'!$B$7&amp;"="""&amp;U18&amp;"""","")&amp;IF(V18&lt;&gt;"",IF(COUNTA($E18:$U18)&gt;0," OR ","")&amp;'Dashboard Config'!$B$7&amp;"="""&amp;V18&amp;"""","")&amp;IF(W18&lt;&gt;"",IF(COUNTA($E18:$V18)&gt;0," OR ","")&amp;'Dashboard Config'!$B$7&amp;"="""&amp;W18&amp;"""","")&amp;IF(X18&lt;&gt;"",IF(COUNTA($E18:$W18)&gt;0," OR ","")&amp;'Dashboard Config'!$B$7&amp;"="""&amp;X18&amp;"""","")&amp;IF(Y18&lt;&gt;"",IF(COUNTA($E18:$X18)&gt;0," OR ","")&amp;'Dashboard Config'!$B$7&amp;"="""&amp;Y18&amp;"""","")&amp;IF(Z18&lt;&gt;"",IF(COUNTA($E18:$Y18)&gt;0," OR ","")&amp;'Dashboard Config'!$B$7&amp;"="""&amp;Z18&amp;"""","")&amp;IF(AA18&lt;&gt;"",IF(COUNTA($E18:$Z18)&gt;0," OR ","")&amp;'Dashboard Config'!$B$7&amp;"="""&amp;AA18&amp;"""","")&amp;IF(AB18&lt;&gt;"",IF(COUNTA($E18:$AA18)&gt;0," OR ","")&amp;'Dashboard Config'!$B$7&amp;"="""&amp;AB18&amp;"""","")&amp;IF(AC18&lt;&gt;"",IF(COUNTA($E18:$AB18)&gt;0," OR ","")&amp;AC18,"")&amp;")")</x:f>
      </x:c>
      <x:c r="AE18" s="48" t="str">
        <x:f>IF($AD18="","",CHAR(123)&amp;CHAR(34)&amp;"label"&amp;CHAR(34)&amp;":"&amp;CHAR(34)&amp;$C18&amp;CHAR(34)&amp;","&amp;CHAR(34)&amp;"value"&amp;CHAR(34)&amp;":"&amp;CHAR(34)&amp;SUBSTITUTE($AD18,CHAR(34),CHAR(92)&amp;CHAR(34))&amp;CHAR(34)&amp;CHAR(125))</x:f>
      </x:c>
      <x:c r="AF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8" t="str">
        <x:f>IF(OR($A19&lt;&gt;"Yes",$C19="",COUNTA($E19:$AC19)=0),"","("&amp;IF(E19&lt;&gt;"",'Dashboard Config'!$B$6&amp;"="""&amp;E19&amp;"""","")&amp;IF(F19&lt;&gt;"",IF(COUNTA($E19:$E19)&gt;0," OR ","")&amp;'Dashboard Config'!$B$6&amp;"="""&amp;F19&amp;"""","")&amp;IF(G19&lt;&gt;"",IF(COUNTA($E19:$F19)&gt;0," OR ","")&amp;'Dashboard Config'!$B$6&amp;"="""&amp;G19&amp;"""","")&amp;IF(H19&lt;&gt;"",IF(COUNTA($E19:$G19)&gt;0," OR ","")&amp;'Dashboard Config'!$B$6&amp;"="""&amp;H19&amp;"""","")&amp;IF(I19&lt;&gt;"",IF(COUNTA($E19:$H19)&gt;0," OR ","")&amp;'Dashboard Config'!$B$6&amp;"="""&amp;I19&amp;"""","")&amp;IF(J19&lt;&gt;"",IF(COUNTA($E19:$I19)&gt;0," OR ","")&amp;'Dashboard Config'!$B$6&amp;"="""&amp;J19&amp;"""","")&amp;IF(K19&lt;&gt;"",IF(COUNTA($E19:$J19)&gt;0," OR ","")&amp;'Dashboard Config'!$B$6&amp;"="""&amp;K19&amp;"""","")&amp;IF(L19&lt;&gt;"",IF(COUNTA($E19:$K19)&gt;0," OR ","")&amp;'Dashboard Config'!$B$6&amp;"="""&amp;L19&amp;"""","")&amp;IF(M19&lt;&gt;"",IF(COUNTA($E19:$L19)&gt;0," OR ","")&amp;'Dashboard Config'!$B$7&amp;"="""&amp;M19&amp;"""","")&amp;IF(N19&lt;&gt;"",IF(COUNTA($E19:$M19)&gt;0," OR ","")&amp;'Dashboard Config'!$B$7&amp;"="""&amp;N19&amp;"""","")&amp;IF(O19&lt;&gt;"",IF(COUNTA($E19:$N19)&gt;0," OR ","")&amp;'Dashboard Config'!$B$7&amp;"="""&amp;O19&amp;"""","")&amp;IF(P19&lt;&gt;"",IF(COUNTA($E19:$O19)&gt;0," OR ","")&amp;'Dashboard Config'!$B$7&amp;"="""&amp;P19&amp;"""","")&amp;IF(Q19&lt;&gt;"",IF(COUNTA($E19:$P19)&gt;0," OR ","")&amp;'Dashboard Config'!$B$7&amp;"="""&amp;Q19&amp;"""","")&amp;IF(R19&lt;&gt;"",IF(COUNTA($E19:$Q19)&gt;0," OR ","")&amp;'Dashboard Config'!$B$7&amp;"="""&amp;R19&amp;"""","")&amp;IF(S19&lt;&gt;"",IF(COUNTA($E19:$R19)&gt;0," OR ","")&amp;'Dashboard Config'!$B$7&amp;"="""&amp;S19&amp;"""","")&amp;IF(T19&lt;&gt;"",IF(COUNTA($E19:$S19)&gt;0," OR ","")&amp;'Dashboard Config'!$B$7&amp;"="""&amp;T19&amp;"""","")&amp;IF(U19&lt;&gt;"",IF(COUNTA($E19:$T19)&gt;0," OR ","")&amp;'Dashboard Config'!$B$7&amp;"="""&amp;U19&amp;"""","")&amp;IF(V19&lt;&gt;"",IF(COUNTA($E19:$U19)&gt;0," OR ","")&amp;'Dashboard Config'!$B$7&amp;"="""&amp;V19&amp;"""","")&amp;IF(W19&lt;&gt;"",IF(COUNTA($E19:$V19)&gt;0," OR ","")&amp;'Dashboard Config'!$B$7&amp;"="""&amp;W19&amp;"""","")&amp;IF(X19&lt;&gt;"",IF(COUNTA($E19:$W19)&gt;0," OR ","")&amp;'Dashboard Config'!$B$7&amp;"="""&amp;X19&amp;"""","")&amp;IF(Y19&lt;&gt;"",IF(COUNTA($E19:$X19)&gt;0," OR ","")&amp;'Dashboard Config'!$B$7&amp;"="""&amp;Y19&amp;"""","")&amp;IF(Z19&lt;&gt;"",IF(COUNTA($E19:$Y19)&gt;0," OR ","")&amp;'Dashboard Config'!$B$7&amp;"="""&amp;Z19&amp;"""","")&amp;IF(AA19&lt;&gt;"",IF(COUNTA($E19:$Z19)&gt;0," OR ","")&amp;'Dashboard Config'!$B$7&amp;"="""&amp;AA19&amp;"""","")&amp;IF(AB19&lt;&gt;"",IF(COUNTA($E19:$AA19)&gt;0," OR ","")&amp;'Dashboard Config'!$B$7&amp;"="""&amp;AB19&amp;"""","")&amp;IF(AC19&lt;&gt;"",IF(COUNTA($E19:$AB19)&gt;0," OR ","")&amp;AC19,"")&amp;")")</x:f>
      </x:c>
      <x:c r="AE19" s="48" t="str">
        <x:f>IF($AD19="","",CHAR(123)&amp;CHAR(34)&amp;"label"&amp;CHAR(34)&amp;":"&amp;CHAR(34)&amp;$C19&amp;CHAR(34)&amp;","&amp;CHAR(34)&amp;"value"&amp;CHAR(34)&amp;":"&amp;CHAR(34)&amp;SUBSTITUTE($AD19,CHAR(34),CHAR(92)&amp;CHAR(34))&amp;CHAR(34)&amp;CHAR(125))</x:f>
      </x:c>
      <x:c r="AF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8" t="str">
        <x:f>IF(OR($A20&lt;&gt;"Yes",$C20="",COUNTA($E20:$AC20)=0),"","("&amp;IF(E20&lt;&gt;"",'Dashboard Config'!$B$6&amp;"="""&amp;E20&amp;"""","")&amp;IF(F20&lt;&gt;"",IF(COUNTA($E20:$E20)&gt;0," OR ","")&amp;'Dashboard Config'!$B$6&amp;"="""&amp;F20&amp;"""","")&amp;IF(G20&lt;&gt;"",IF(COUNTA($E20:$F20)&gt;0," OR ","")&amp;'Dashboard Config'!$B$6&amp;"="""&amp;G20&amp;"""","")&amp;IF(H20&lt;&gt;"",IF(COUNTA($E20:$G20)&gt;0," OR ","")&amp;'Dashboard Config'!$B$6&amp;"="""&amp;H20&amp;"""","")&amp;IF(I20&lt;&gt;"",IF(COUNTA($E20:$H20)&gt;0," OR ","")&amp;'Dashboard Config'!$B$6&amp;"="""&amp;I20&amp;"""","")&amp;IF(J20&lt;&gt;"",IF(COUNTA($E20:$I20)&gt;0," OR ","")&amp;'Dashboard Config'!$B$6&amp;"="""&amp;J20&amp;"""","")&amp;IF(K20&lt;&gt;"",IF(COUNTA($E20:$J20)&gt;0," OR ","")&amp;'Dashboard Config'!$B$6&amp;"="""&amp;K20&amp;"""","")&amp;IF(L20&lt;&gt;"",IF(COUNTA($E20:$K20)&gt;0," OR ","")&amp;'Dashboard Config'!$B$6&amp;"="""&amp;L20&amp;"""","")&amp;IF(M20&lt;&gt;"",IF(COUNTA($E20:$L20)&gt;0," OR ","")&amp;'Dashboard Config'!$B$7&amp;"="""&amp;M20&amp;"""","")&amp;IF(N20&lt;&gt;"",IF(COUNTA($E20:$M20)&gt;0," OR ","")&amp;'Dashboard Config'!$B$7&amp;"="""&amp;N20&amp;"""","")&amp;IF(O20&lt;&gt;"",IF(COUNTA($E20:$N20)&gt;0," OR ","")&amp;'Dashboard Config'!$B$7&amp;"="""&amp;O20&amp;"""","")&amp;IF(P20&lt;&gt;"",IF(COUNTA($E20:$O20)&gt;0," OR ","")&amp;'Dashboard Config'!$B$7&amp;"="""&amp;P20&amp;"""","")&amp;IF(Q20&lt;&gt;"",IF(COUNTA($E20:$P20)&gt;0," OR ","")&amp;'Dashboard Config'!$B$7&amp;"="""&amp;Q20&amp;"""","")&amp;IF(R20&lt;&gt;"",IF(COUNTA($E20:$Q20)&gt;0," OR ","")&amp;'Dashboard Config'!$B$7&amp;"="""&amp;R20&amp;"""","")&amp;IF(S20&lt;&gt;"",IF(COUNTA($E20:$R20)&gt;0," OR ","")&amp;'Dashboard Config'!$B$7&amp;"="""&amp;S20&amp;"""","")&amp;IF(T20&lt;&gt;"",IF(COUNTA($E20:$S20)&gt;0," OR ","")&amp;'Dashboard Config'!$B$7&amp;"="""&amp;T20&amp;"""","")&amp;IF(U20&lt;&gt;"",IF(COUNTA($E20:$T20)&gt;0," OR ","")&amp;'Dashboard Config'!$B$7&amp;"="""&amp;U20&amp;"""","")&amp;IF(V20&lt;&gt;"",IF(COUNTA($E20:$U20)&gt;0," OR ","")&amp;'Dashboard Config'!$B$7&amp;"="""&amp;V20&amp;"""","")&amp;IF(W20&lt;&gt;"",IF(COUNTA($E20:$V20)&gt;0," OR ","")&amp;'Dashboard Config'!$B$7&amp;"="""&amp;W20&amp;"""","")&amp;IF(X20&lt;&gt;"",IF(COUNTA($E20:$W20)&gt;0," OR ","")&amp;'Dashboard Config'!$B$7&amp;"="""&amp;X20&amp;"""","")&amp;IF(Y20&lt;&gt;"",IF(COUNTA($E20:$X20)&gt;0," OR ","")&amp;'Dashboard Config'!$B$7&amp;"="""&amp;Y20&amp;"""","")&amp;IF(Z20&lt;&gt;"",IF(COUNTA($E20:$Y20)&gt;0," OR ","")&amp;'Dashboard Config'!$B$7&amp;"="""&amp;Z20&amp;"""","")&amp;IF(AA20&lt;&gt;"",IF(COUNTA($E20:$Z20)&gt;0," OR ","")&amp;'Dashboard Config'!$B$7&amp;"="""&amp;AA20&amp;"""","")&amp;IF(AB20&lt;&gt;"",IF(COUNTA($E20:$AA20)&gt;0," OR ","")&amp;'Dashboard Config'!$B$7&amp;"="""&amp;AB20&amp;"""","")&amp;IF(AC20&lt;&gt;"",IF(COUNTA($E20:$AB20)&gt;0," OR ","")&amp;AC20,"")&amp;")")</x:f>
      </x:c>
      <x:c r="AE20" s="48" t="str">
        <x:f>IF($AD20="","",CHAR(123)&amp;CHAR(34)&amp;"label"&amp;CHAR(34)&amp;":"&amp;CHAR(34)&amp;$C20&amp;CHAR(34)&amp;","&amp;CHAR(34)&amp;"value"&amp;CHAR(34)&amp;":"&amp;CHAR(34)&amp;SUBSTITUTE($AD20,CHAR(34),CHAR(92)&amp;CHAR(34))&amp;CHAR(34)&amp;CHAR(125))</x:f>
      </x:c>
      <x:c r="AF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8" t="str">
        <x:f>IF(OR($A21&lt;&gt;"Yes",$C21="",COUNTA($E21:$AC21)=0),"","("&amp;IF(E21&lt;&gt;"",'Dashboard Config'!$B$6&amp;"="""&amp;E21&amp;"""","")&amp;IF(F21&lt;&gt;"",IF(COUNTA($E21:$E21)&gt;0," OR ","")&amp;'Dashboard Config'!$B$6&amp;"="""&amp;F21&amp;"""","")&amp;IF(G21&lt;&gt;"",IF(COUNTA($E21:$F21)&gt;0," OR ","")&amp;'Dashboard Config'!$B$6&amp;"="""&amp;G21&amp;"""","")&amp;IF(H21&lt;&gt;"",IF(COUNTA($E21:$G21)&gt;0," OR ","")&amp;'Dashboard Config'!$B$6&amp;"="""&amp;H21&amp;"""","")&amp;IF(I21&lt;&gt;"",IF(COUNTA($E21:$H21)&gt;0," OR ","")&amp;'Dashboard Config'!$B$6&amp;"="""&amp;I21&amp;"""","")&amp;IF(J21&lt;&gt;"",IF(COUNTA($E21:$I21)&gt;0," OR ","")&amp;'Dashboard Config'!$B$6&amp;"="""&amp;J21&amp;"""","")&amp;IF(K21&lt;&gt;"",IF(COUNTA($E21:$J21)&gt;0," OR ","")&amp;'Dashboard Config'!$B$6&amp;"="""&amp;K21&amp;"""","")&amp;IF(L21&lt;&gt;"",IF(COUNTA($E21:$K21)&gt;0," OR ","")&amp;'Dashboard Config'!$B$6&amp;"="""&amp;L21&amp;"""","")&amp;IF(M21&lt;&gt;"",IF(COUNTA($E21:$L21)&gt;0," OR ","")&amp;'Dashboard Config'!$B$7&amp;"="""&amp;M21&amp;"""","")&amp;IF(N21&lt;&gt;"",IF(COUNTA($E21:$M21)&gt;0," OR ","")&amp;'Dashboard Config'!$B$7&amp;"="""&amp;N21&amp;"""","")&amp;IF(O21&lt;&gt;"",IF(COUNTA($E21:$N21)&gt;0," OR ","")&amp;'Dashboard Config'!$B$7&amp;"="""&amp;O21&amp;"""","")&amp;IF(P21&lt;&gt;"",IF(COUNTA($E21:$O21)&gt;0," OR ","")&amp;'Dashboard Config'!$B$7&amp;"="""&amp;P21&amp;"""","")&amp;IF(Q21&lt;&gt;"",IF(COUNTA($E21:$P21)&gt;0," OR ","")&amp;'Dashboard Config'!$B$7&amp;"="""&amp;Q21&amp;"""","")&amp;IF(R21&lt;&gt;"",IF(COUNTA($E21:$Q21)&gt;0," OR ","")&amp;'Dashboard Config'!$B$7&amp;"="""&amp;R21&amp;"""","")&amp;IF(S21&lt;&gt;"",IF(COUNTA($E21:$R21)&gt;0," OR ","")&amp;'Dashboard Config'!$B$7&amp;"="""&amp;S21&amp;"""","")&amp;IF(T21&lt;&gt;"",IF(COUNTA($E21:$S21)&gt;0," OR ","")&amp;'Dashboard Config'!$B$7&amp;"="""&amp;T21&amp;"""","")&amp;IF(U21&lt;&gt;"",IF(COUNTA($E21:$T21)&gt;0," OR ","")&amp;'Dashboard Config'!$B$7&amp;"="""&amp;U21&amp;"""","")&amp;IF(V21&lt;&gt;"",IF(COUNTA($E21:$U21)&gt;0," OR ","")&amp;'Dashboard Config'!$B$7&amp;"="""&amp;V21&amp;"""","")&amp;IF(W21&lt;&gt;"",IF(COUNTA($E21:$V21)&gt;0," OR ","")&amp;'Dashboard Config'!$B$7&amp;"="""&amp;W21&amp;"""","")&amp;IF(X21&lt;&gt;"",IF(COUNTA($E21:$W21)&gt;0," OR ","")&amp;'Dashboard Config'!$B$7&amp;"="""&amp;X21&amp;"""","")&amp;IF(Y21&lt;&gt;"",IF(COUNTA($E21:$X21)&gt;0," OR ","")&amp;'Dashboard Config'!$B$7&amp;"="""&amp;Y21&amp;"""","")&amp;IF(Z21&lt;&gt;"",IF(COUNTA($E21:$Y21)&gt;0," OR ","")&amp;'Dashboard Config'!$B$7&amp;"="""&amp;Z21&amp;"""","")&amp;IF(AA21&lt;&gt;"",IF(COUNTA($E21:$Z21)&gt;0," OR ","")&amp;'Dashboard Config'!$B$7&amp;"="""&amp;AA21&amp;"""","")&amp;IF(AB21&lt;&gt;"",IF(COUNTA($E21:$AA21)&gt;0," OR ","")&amp;'Dashboard Config'!$B$7&amp;"="""&amp;AB21&amp;"""","")&amp;IF(AC21&lt;&gt;"",IF(COUNTA($E21:$AB21)&gt;0," OR ","")&amp;AC21,"")&amp;")")</x:f>
      </x:c>
      <x:c r="AE21" s="48" t="str">
        <x:f>IF($AD21="","",CHAR(123)&amp;CHAR(34)&amp;"label"&amp;CHAR(34)&amp;":"&amp;CHAR(34)&amp;$C21&amp;CHAR(34)&amp;","&amp;CHAR(34)&amp;"value"&amp;CHAR(34)&amp;":"&amp;CHAR(34)&amp;SUBSTITUTE($AD21,CHAR(34),CHAR(92)&amp;CHAR(34))&amp;CHAR(34)&amp;CHAR(125))</x:f>
      </x:c>
      <x:c r="AF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8" t="str">
        <x:f>IF(OR($A22&lt;&gt;"Yes",$C22="",COUNTA($E22:$AC22)=0),"","("&amp;IF(E22&lt;&gt;"",'Dashboard Config'!$B$6&amp;"="""&amp;E22&amp;"""","")&amp;IF(F22&lt;&gt;"",IF(COUNTA($E22:$E22)&gt;0," OR ","")&amp;'Dashboard Config'!$B$6&amp;"="""&amp;F22&amp;"""","")&amp;IF(G22&lt;&gt;"",IF(COUNTA($E22:$F22)&gt;0," OR ","")&amp;'Dashboard Config'!$B$6&amp;"="""&amp;G22&amp;"""","")&amp;IF(H22&lt;&gt;"",IF(COUNTA($E22:$G22)&gt;0," OR ","")&amp;'Dashboard Config'!$B$6&amp;"="""&amp;H22&amp;"""","")&amp;IF(I22&lt;&gt;"",IF(COUNTA($E22:$H22)&gt;0," OR ","")&amp;'Dashboard Config'!$B$6&amp;"="""&amp;I22&amp;"""","")&amp;IF(J22&lt;&gt;"",IF(COUNTA($E22:$I22)&gt;0," OR ","")&amp;'Dashboard Config'!$B$6&amp;"="""&amp;J22&amp;"""","")&amp;IF(K22&lt;&gt;"",IF(COUNTA($E22:$J22)&gt;0," OR ","")&amp;'Dashboard Config'!$B$6&amp;"="""&amp;K22&amp;"""","")&amp;IF(L22&lt;&gt;"",IF(COUNTA($E22:$K22)&gt;0," OR ","")&amp;'Dashboard Config'!$B$6&amp;"="""&amp;L22&amp;"""","")&amp;IF(M22&lt;&gt;"",IF(COUNTA($E22:$L22)&gt;0," OR ","")&amp;'Dashboard Config'!$B$7&amp;"="""&amp;M22&amp;"""","")&amp;IF(N22&lt;&gt;"",IF(COUNTA($E22:$M22)&gt;0," OR ","")&amp;'Dashboard Config'!$B$7&amp;"="""&amp;N22&amp;"""","")&amp;IF(O22&lt;&gt;"",IF(COUNTA($E22:$N22)&gt;0," OR ","")&amp;'Dashboard Config'!$B$7&amp;"="""&amp;O22&amp;"""","")&amp;IF(P22&lt;&gt;"",IF(COUNTA($E22:$O22)&gt;0," OR ","")&amp;'Dashboard Config'!$B$7&amp;"="""&amp;P22&amp;"""","")&amp;IF(Q22&lt;&gt;"",IF(COUNTA($E22:$P22)&gt;0," OR ","")&amp;'Dashboard Config'!$B$7&amp;"="""&amp;Q22&amp;"""","")&amp;IF(R22&lt;&gt;"",IF(COUNTA($E22:$Q22)&gt;0," OR ","")&amp;'Dashboard Config'!$B$7&amp;"="""&amp;R22&amp;"""","")&amp;IF(S22&lt;&gt;"",IF(COUNTA($E22:$R22)&gt;0," OR ","")&amp;'Dashboard Config'!$B$7&amp;"="""&amp;S22&amp;"""","")&amp;IF(T22&lt;&gt;"",IF(COUNTA($E22:$S22)&gt;0," OR ","")&amp;'Dashboard Config'!$B$7&amp;"="""&amp;T22&amp;"""","")&amp;IF(U22&lt;&gt;"",IF(COUNTA($E22:$T22)&gt;0," OR ","")&amp;'Dashboard Config'!$B$7&amp;"="""&amp;U22&amp;"""","")&amp;IF(V22&lt;&gt;"",IF(COUNTA($E22:$U22)&gt;0," OR ","")&amp;'Dashboard Config'!$B$7&amp;"="""&amp;V22&amp;"""","")&amp;IF(W22&lt;&gt;"",IF(COUNTA($E22:$V22)&gt;0," OR ","")&amp;'Dashboard Config'!$B$7&amp;"="""&amp;W22&amp;"""","")&amp;IF(X22&lt;&gt;"",IF(COUNTA($E22:$W22)&gt;0," OR ","")&amp;'Dashboard Config'!$B$7&amp;"="""&amp;X22&amp;"""","")&amp;IF(Y22&lt;&gt;"",IF(COUNTA($E22:$X22)&gt;0," OR ","")&amp;'Dashboard Config'!$B$7&amp;"="""&amp;Y22&amp;"""","")&amp;IF(Z22&lt;&gt;"",IF(COUNTA($E22:$Y22)&gt;0," OR ","")&amp;'Dashboard Config'!$B$7&amp;"="""&amp;Z22&amp;"""","")&amp;IF(AA22&lt;&gt;"",IF(COUNTA($E22:$Z22)&gt;0," OR ","")&amp;'Dashboard Config'!$B$7&amp;"="""&amp;AA22&amp;"""","")&amp;IF(AB22&lt;&gt;"",IF(COUNTA($E22:$AA22)&gt;0," OR ","")&amp;'Dashboard Config'!$B$7&amp;"="""&amp;AB22&amp;"""","")&amp;IF(AC22&lt;&gt;"",IF(COUNTA($E22:$AB22)&gt;0," OR ","")&amp;AC22,"")&amp;")")</x:f>
      </x:c>
      <x:c r="AE22" s="48" t="str">
        <x:f>IF($AD22="","",CHAR(123)&amp;CHAR(34)&amp;"label"&amp;CHAR(34)&amp;":"&amp;CHAR(34)&amp;$C22&amp;CHAR(34)&amp;","&amp;CHAR(34)&amp;"value"&amp;CHAR(34)&amp;":"&amp;CHAR(34)&amp;SUBSTITUTE($AD22,CHAR(34),CHAR(92)&amp;CHAR(34))&amp;CHAR(34)&amp;CHAR(125))</x:f>
      </x:c>
      <x:c r="AF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8" t="str">
        <x:f>IF(OR($A23&lt;&gt;"Yes",$C23="",COUNTA($E23:$AC23)=0),"","("&amp;IF(E23&lt;&gt;"",'Dashboard Config'!$B$6&amp;"="""&amp;E23&amp;"""","")&amp;IF(F23&lt;&gt;"",IF(COUNTA($E23:$E23)&gt;0," OR ","")&amp;'Dashboard Config'!$B$6&amp;"="""&amp;F23&amp;"""","")&amp;IF(G23&lt;&gt;"",IF(COUNTA($E23:$F23)&gt;0," OR ","")&amp;'Dashboard Config'!$B$6&amp;"="""&amp;G23&amp;"""","")&amp;IF(H23&lt;&gt;"",IF(COUNTA($E23:$G23)&gt;0," OR ","")&amp;'Dashboard Config'!$B$6&amp;"="""&amp;H23&amp;"""","")&amp;IF(I23&lt;&gt;"",IF(COUNTA($E23:$H23)&gt;0," OR ","")&amp;'Dashboard Config'!$B$6&amp;"="""&amp;I23&amp;"""","")&amp;IF(J23&lt;&gt;"",IF(COUNTA($E23:$I23)&gt;0," OR ","")&amp;'Dashboard Config'!$B$6&amp;"="""&amp;J23&amp;"""","")&amp;IF(K23&lt;&gt;"",IF(COUNTA($E23:$J23)&gt;0," OR ","")&amp;'Dashboard Config'!$B$6&amp;"="""&amp;K23&amp;"""","")&amp;IF(L23&lt;&gt;"",IF(COUNTA($E23:$K23)&gt;0," OR ","")&amp;'Dashboard Config'!$B$6&amp;"="""&amp;L23&amp;"""","")&amp;IF(M23&lt;&gt;"",IF(COUNTA($E23:$L23)&gt;0," OR ","")&amp;'Dashboard Config'!$B$7&amp;"="""&amp;M23&amp;"""","")&amp;IF(N23&lt;&gt;"",IF(COUNTA($E23:$M23)&gt;0," OR ","")&amp;'Dashboard Config'!$B$7&amp;"="""&amp;N23&amp;"""","")&amp;IF(O23&lt;&gt;"",IF(COUNTA($E23:$N23)&gt;0," OR ","")&amp;'Dashboard Config'!$B$7&amp;"="""&amp;O23&amp;"""","")&amp;IF(P23&lt;&gt;"",IF(COUNTA($E23:$O23)&gt;0," OR ","")&amp;'Dashboard Config'!$B$7&amp;"="""&amp;P23&amp;"""","")&amp;IF(Q23&lt;&gt;"",IF(COUNTA($E23:$P23)&gt;0," OR ","")&amp;'Dashboard Config'!$B$7&amp;"="""&amp;Q23&amp;"""","")&amp;IF(R23&lt;&gt;"",IF(COUNTA($E23:$Q23)&gt;0," OR ","")&amp;'Dashboard Config'!$B$7&amp;"="""&amp;R23&amp;"""","")&amp;IF(S23&lt;&gt;"",IF(COUNTA($E23:$R23)&gt;0," OR ","")&amp;'Dashboard Config'!$B$7&amp;"="""&amp;S23&amp;"""","")&amp;IF(T23&lt;&gt;"",IF(COUNTA($E23:$S23)&gt;0," OR ","")&amp;'Dashboard Config'!$B$7&amp;"="""&amp;T23&amp;"""","")&amp;IF(U23&lt;&gt;"",IF(COUNTA($E23:$T23)&gt;0," OR ","")&amp;'Dashboard Config'!$B$7&amp;"="""&amp;U23&amp;"""","")&amp;IF(V23&lt;&gt;"",IF(COUNTA($E23:$U23)&gt;0," OR ","")&amp;'Dashboard Config'!$B$7&amp;"="""&amp;V23&amp;"""","")&amp;IF(W23&lt;&gt;"",IF(COUNTA($E23:$V23)&gt;0," OR ","")&amp;'Dashboard Config'!$B$7&amp;"="""&amp;W23&amp;"""","")&amp;IF(X23&lt;&gt;"",IF(COUNTA($E23:$W23)&gt;0," OR ","")&amp;'Dashboard Config'!$B$7&amp;"="""&amp;X23&amp;"""","")&amp;IF(Y23&lt;&gt;"",IF(COUNTA($E23:$X23)&gt;0," OR ","")&amp;'Dashboard Config'!$B$7&amp;"="""&amp;Y23&amp;"""","")&amp;IF(Z23&lt;&gt;"",IF(COUNTA($E23:$Y23)&gt;0," OR ","")&amp;'Dashboard Config'!$B$7&amp;"="""&amp;Z23&amp;"""","")&amp;IF(AA23&lt;&gt;"",IF(COUNTA($E23:$Z23)&gt;0," OR ","")&amp;'Dashboard Config'!$B$7&amp;"="""&amp;AA23&amp;"""","")&amp;IF(AB23&lt;&gt;"",IF(COUNTA($E23:$AA23)&gt;0," OR ","")&amp;'Dashboard Config'!$B$7&amp;"="""&amp;AB23&amp;"""","")&amp;IF(AC23&lt;&gt;"",IF(COUNTA($E23:$AB23)&gt;0," OR ","")&amp;AC23,"")&amp;")")</x:f>
      </x:c>
      <x:c r="AE23" s="48" t="str">
        <x:f>IF($AD23="","",CHAR(123)&amp;CHAR(34)&amp;"label"&amp;CHAR(34)&amp;":"&amp;CHAR(34)&amp;$C23&amp;CHAR(34)&amp;","&amp;CHAR(34)&amp;"value"&amp;CHAR(34)&amp;":"&amp;CHAR(34)&amp;SUBSTITUTE($AD23,CHAR(34),CHAR(92)&amp;CHAR(34))&amp;CHAR(34)&amp;CHAR(125))</x:f>
      </x:c>
      <x:c r="AF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8" t="str">
        <x:f>IF(OR($A24&lt;&gt;"Yes",$C24="",COUNTA($E24:$AC24)=0),"","("&amp;IF(E24&lt;&gt;"",'Dashboard Config'!$B$6&amp;"="""&amp;E24&amp;"""","")&amp;IF(F24&lt;&gt;"",IF(COUNTA($E24:$E24)&gt;0," OR ","")&amp;'Dashboard Config'!$B$6&amp;"="""&amp;F24&amp;"""","")&amp;IF(G24&lt;&gt;"",IF(COUNTA($E24:$F24)&gt;0," OR ","")&amp;'Dashboard Config'!$B$6&amp;"="""&amp;G24&amp;"""","")&amp;IF(H24&lt;&gt;"",IF(COUNTA($E24:$G24)&gt;0," OR ","")&amp;'Dashboard Config'!$B$6&amp;"="""&amp;H24&amp;"""","")&amp;IF(I24&lt;&gt;"",IF(COUNTA($E24:$H24)&gt;0," OR ","")&amp;'Dashboard Config'!$B$6&amp;"="""&amp;I24&amp;"""","")&amp;IF(J24&lt;&gt;"",IF(COUNTA($E24:$I24)&gt;0," OR ","")&amp;'Dashboard Config'!$B$6&amp;"="""&amp;J24&amp;"""","")&amp;IF(K24&lt;&gt;"",IF(COUNTA($E24:$J24)&gt;0," OR ","")&amp;'Dashboard Config'!$B$6&amp;"="""&amp;K24&amp;"""","")&amp;IF(L24&lt;&gt;"",IF(COUNTA($E24:$K24)&gt;0," OR ","")&amp;'Dashboard Config'!$B$6&amp;"="""&amp;L24&amp;"""","")&amp;IF(M24&lt;&gt;"",IF(COUNTA($E24:$L24)&gt;0," OR ","")&amp;'Dashboard Config'!$B$7&amp;"="""&amp;M24&amp;"""","")&amp;IF(N24&lt;&gt;"",IF(COUNTA($E24:$M24)&gt;0," OR ","")&amp;'Dashboard Config'!$B$7&amp;"="""&amp;N24&amp;"""","")&amp;IF(O24&lt;&gt;"",IF(COUNTA($E24:$N24)&gt;0," OR ","")&amp;'Dashboard Config'!$B$7&amp;"="""&amp;O24&amp;"""","")&amp;IF(P24&lt;&gt;"",IF(COUNTA($E24:$O24)&gt;0," OR ","")&amp;'Dashboard Config'!$B$7&amp;"="""&amp;P24&amp;"""","")&amp;IF(Q24&lt;&gt;"",IF(COUNTA($E24:$P24)&gt;0," OR ","")&amp;'Dashboard Config'!$B$7&amp;"="""&amp;Q24&amp;"""","")&amp;IF(R24&lt;&gt;"",IF(COUNTA($E24:$Q24)&gt;0," OR ","")&amp;'Dashboard Config'!$B$7&amp;"="""&amp;R24&amp;"""","")&amp;IF(S24&lt;&gt;"",IF(COUNTA($E24:$R24)&gt;0," OR ","")&amp;'Dashboard Config'!$B$7&amp;"="""&amp;S24&amp;"""","")&amp;IF(T24&lt;&gt;"",IF(COUNTA($E24:$S24)&gt;0," OR ","")&amp;'Dashboard Config'!$B$7&amp;"="""&amp;T24&amp;"""","")&amp;IF(U24&lt;&gt;"",IF(COUNTA($E24:$T24)&gt;0," OR ","")&amp;'Dashboard Config'!$B$7&amp;"="""&amp;U24&amp;"""","")&amp;IF(V24&lt;&gt;"",IF(COUNTA($E24:$U24)&gt;0," OR ","")&amp;'Dashboard Config'!$B$7&amp;"="""&amp;V24&amp;"""","")&amp;IF(W24&lt;&gt;"",IF(COUNTA($E24:$V24)&gt;0," OR ","")&amp;'Dashboard Config'!$B$7&amp;"="""&amp;W24&amp;"""","")&amp;IF(X24&lt;&gt;"",IF(COUNTA($E24:$W24)&gt;0," OR ","")&amp;'Dashboard Config'!$B$7&amp;"="""&amp;X24&amp;"""","")&amp;IF(Y24&lt;&gt;"",IF(COUNTA($E24:$X24)&gt;0," OR ","")&amp;'Dashboard Config'!$B$7&amp;"="""&amp;Y24&amp;"""","")&amp;IF(Z24&lt;&gt;"",IF(COUNTA($E24:$Y24)&gt;0," OR ","")&amp;'Dashboard Config'!$B$7&amp;"="""&amp;Z24&amp;"""","")&amp;IF(AA24&lt;&gt;"",IF(COUNTA($E24:$Z24)&gt;0," OR ","")&amp;'Dashboard Config'!$B$7&amp;"="""&amp;AA24&amp;"""","")&amp;IF(AB24&lt;&gt;"",IF(COUNTA($E24:$AA24)&gt;0," OR ","")&amp;'Dashboard Config'!$B$7&amp;"="""&amp;AB24&amp;"""","")&amp;IF(AC24&lt;&gt;"",IF(COUNTA($E24:$AB24)&gt;0," OR ","")&amp;AC24,"")&amp;")")</x:f>
      </x:c>
      <x:c r="AE24" s="48" t="str">
        <x:f>IF($AD24="","",CHAR(123)&amp;CHAR(34)&amp;"label"&amp;CHAR(34)&amp;":"&amp;CHAR(34)&amp;$C24&amp;CHAR(34)&amp;","&amp;CHAR(34)&amp;"value"&amp;CHAR(34)&amp;":"&amp;CHAR(34)&amp;SUBSTITUTE($AD24,CHAR(34),CHAR(92)&amp;CHAR(34))&amp;CHAR(34)&amp;CHAR(125))</x:f>
      </x:c>
      <x:c r="AF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8" t="str">
        <x:f>IF(OR($A25&lt;&gt;"Yes",$C25="",COUNTA($E25:$AC25)=0),"","("&amp;IF(E25&lt;&gt;"",'Dashboard Config'!$B$6&amp;"="""&amp;E25&amp;"""","")&amp;IF(F25&lt;&gt;"",IF(COUNTA($E25:$E25)&gt;0," OR ","")&amp;'Dashboard Config'!$B$6&amp;"="""&amp;F25&amp;"""","")&amp;IF(G25&lt;&gt;"",IF(COUNTA($E25:$F25)&gt;0," OR ","")&amp;'Dashboard Config'!$B$6&amp;"="""&amp;G25&amp;"""","")&amp;IF(H25&lt;&gt;"",IF(COUNTA($E25:$G25)&gt;0," OR ","")&amp;'Dashboard Config'!$B$6&amp;"="""&amp;H25&amp;"""","")&amp;IF(I25&lt;&gt;"",IF(COUNTA($E25:$H25)&gt;0," OR ","")&amp;'Dashboard Config'!$B$6&amp;"="""&amp;I25&amp;"""","")&amp;IF(J25&lt;&gt;"",IF(COUNTA($E25:$I25)&gt;0," OR ","")&amp;'Dashboard Config'!$B$6&amp;"="""&amp;J25&amp;"""","")&amp;IF(K25&lt;&gt;"",IF(COUNTA($E25:$J25)&gt;0," OR ","")&amp;'Dashboard Config'!$B$6&amp;"="""&amp;K25&amp;"""","")&amp;IF(L25&lt;&gt;"",IF(COUNTA($E25:$K25)&gt;0," OR ","")&amp;'Dashboard Config'!$B$6&amp;"="""&amp;L25&amp;"""","")&amp;IF(M25&lt;&gt;"",IF(COUNTA($E25:$L25)&gt;0," OR ","")&amp;'Dashboard Config'!$B$7&amp;"="""&amp;M25&amp;"""","")&amp;IF(N25&lt;&gt;"",IF(COUNTA($E25:$M25)&gt;0," OR ","")&amp;'Dashboard Config'!$B$7&amp;"="""&amp;N25&amp;"""","")&amp;IF(O25&lt;&gt;"",IF(COUNTA($E25:$N25)&gt;0," OR ","")&amp;'Dashboard Config'!$B$7&amp;"="""&amp;O25&amp;"""","")&amp;IF(P25&lt;&gt;"",IF(COUNTA($E25:$O25)&gt;0," OR ","")&amp;'Dashboard Config'!$B$7&amp;"="""&amp;P25&amp;"""","")&amp;IF(Q25&lt;&gt;"",IF(COUNTA($E25:$P25)&gt;0," OR ","")&amp;'Dashboard Config'!$B$7&amp;"="""&amp;Q25&amp;"""","")&amp;IF(R25&lt;&gt;"",IF(COUNTA($E25:$Q25)&gt;0," OR ","")&amp;'Dashboard Config'!$B$7&amp;"="""&amp;R25&amp;"""","")&amp;IF(S25&lt;&gt;"",IF(COUNTA($E25:$R25)&gt;0," OR ","")&amp;'Dashboard Config'!$B$7&amp;"="""&amp;S25&amp;"""","")&amp;IF(T25&lt;&gt;"",IF(COUNTA($E25:$S25)&gt;0," OR ","")&amp;'Dashboard Config'!$B$7&amp;"="""&amp;T25&amp;"""","")&amp;IF(U25&lt;&gt;"",IF(COUNTA($E25:$T25)&gt;0," OR ","")&amp;'Dashboard Config'!$B$7&amp;"="""&amp;U25&amp;"""","")&amp;IF(V25&lt;&gt;"",IF(COUNTA($E25:$U25)&gt;0," OR ","")&amp;'Dashboard Config'!$B$7&amp;"="""&amp;V25&amp;"""","")&amp;IF(W25&lt;&gt;"",IF(COUNTA($E25:$V25)&gt;0," OR ","")&amp;'Dashboard Config'!$B$7&amp;"="""&amp;W25&amp;"""","")&amp;IF(X25&lt;&gt;"",IF(COUNTA($E25:$W25)&gt;0," OR ","")&amp;'Dashboard Config'!$B$7&amp;"="""&amp;X25&amp;"""","")&amp;IF(Y25&lt;&gt;"",IF(COUNTA($E25:$X25)&gt;0," OR ","")&amp;'Dashboard Config'!$B$7&amp;"="""&amp;Y25&amp;"""","")&amp;IF(Z25&lt;&gt;"",IF(COUNTA($E25:$Y25)&gt;0," OR ","")&amp;'Dashboard Config'!$B$7&amp;"="""&amp;Z25&amp;"""","")&amp;IF(AA25&lt;&gt;"",IF(COUNTA($E25:$Z25)&gt;0," OR ","")&amp;'Dashboard Config'!$B$7&amp;"="""&amp;AA25&amp;"""","")&amp;IF(AB25&lt;&gt;"",IF(COUNTA($E25:$AA25)&gt;0," OR ","")&amp;'Dashboard Config'!$B$7&amp;"="""&amp;AB25&amp;"""","")&amp;IF(AC25&lt;&gt;"",IF(COUNTA($E25:$AB25)&gt;0," OR ","")&amp;AC25,"")&amp;")")</x:f>
      </x:c>
      <x:c r="AE25" s="48" t="str">
        <x:f>IF($AD25="","",CHAR(123)&amp;CHAR(34)&amp;"label"&amp;CHAR(34)&amp;":"&amp;CHAR(34)&amp;$C25&amp;CHAR(34)&amp;","&amp;CHAR(34)&amp;"value"&amp;CHAR(34)&amp;":"&amp;CHAR(34)&amp;SUBSTITUTE($AD25,CHAR(34),CHAR(92)&amp;CHAR(34))&amp;CHAR(34)&amp;CHAR(125))</x:f>
      </x:c>
      <x:c r="AF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8" t="str">
        <x:f>IF(OR($A26&lt;&gt;"Yes",$C26="",COUNTA($E26:$AC26)=0),"","("&amp;IF(E26&lt;&gt;"",'Dashboard Config'!$B$6&amp;"="""&amp;E26&amp;"""","")&amp;IF(F26&lt;&gt;"",IF(COUNTA($E26:$E26)&gt;0," OR ","")&amp;'Dashboard Config'!$B$6&amp;"="""&amp;F26&amp;"""","")&amp;IF(G26&lt;&gt;"",IF(COUNTA($E26:$F26)&gt;0," OR ","")&amp;'Dashboard Config'!$B$6&amp;"="""&amp;G26&amp;"""","")&amp;IF(H26&lt;&gt;"",IF(COUNTA($E26:$G26)&gt;0," OR ","")&amp;'Dashboard Config'!$B$6&amp;"="""&amp;H26&amp;"""","")&amp;IF(I26&lt;&gt;"",IF(COUNTA($E26:$H26)&gt;0," OR ","")&amp;'Dashboard Config'!$B$6&amp;"="""&amp;I26&amp;"""","")&amp;IF(J26&lt;&gt;"",IF(COUNTA($E26:$I26)&gt;0," OR ","")&amp;'Dashboard Config'!$B$6&amp;"="""&amp;J26&amp;"""","")&amp;IF(K26&lt;&gt;"",IF(COUNTA($E26:$J26)&gt;0," OR ","")&amp;'Dashboard Config'!$B$6&amp;"="""&amp;K26&amp;"""","")&amp;IF(L26&lt;&gt;"",IF(COUNTA($E26:$K26)&gt;0," OR ","")&amp;'Dashboard Config'!$B$6&amp;"="""&amp;L26&amp;"""","")&amp;IF(M26&lt;&gt;"",IF(COUNTA($E26:$L26)&gt;0," OR ","")&amp;'Dashboard Config'!$B$7&amp;"="""&amp;M26&amp;"""","")&amp;IF(N26&lt;&gt;"",IF(COUNTA($E26:$M26)&gt;0," OR ","")&amp;'Dashboard Config'!$B$7&amp;"="""&amp;N26&amp;"""","")&amp;IF(O26&lt;&gt;"",IF(COUNTA($E26:$N26)&gt;0," OR ","")&amp;'Dashboard Config'!$B$7&amp;"="""&amp;O26&amp;"""","")&amp;IF(P26&lt;&gt;"",IF(COUNTA($E26:$O26)&gt;0," OR ","")&amp;'Dashboard Config'!$B$7&amp;"="""&amp;P26&amp;"""","")&amp;IF(Q26&lt;&gt;"",IF(COUNTA($E26:$P26)&gt;0," OR ","")&amp;'Dashboard Config'!$B$7&amp;"="""&amp;Q26&amp;"""","")&amp;IF(R26&lt;&gt;"",IF(COUNTA($E26:$Q26)&gt;0," OR ","")&amp;'Dashboard Config'!$B$7&amp;"="""&amp;R26&amp;"""","")&amp;IF(S26&lt;&gt;"",IF(COUNTA($E26:$R26)&gt;0," OR ","")&amp;'Dashboard Config'!$B$7&amp;"="""&amp;S26&amp;"""","")&amp;IF(T26&lt;&gt;"",IF(COUNTA($E26:$S26)&gt;0," OR ","")&amp;'Dashboard Config'!$B$7&amp;"="""&amp;T26&amp;"""","")&amp;IF(U26&lt;&gt;"",IF(COUNTA($E26:$T26)&gt;0," OR ","")&amp;'Dashboard Config'!$B$7&amp;"="""&amp;U26&amp;"""","")&amp;IF(V26&lt;&gt;"",IF(COUNTA($E26:$U26)&gt;0," OR ","")&amp;'Dashboard Config'!$B$7&amp;"="""&amp;V26&amp;"""","")&amp;IF(W26&lt;&gt;"",IF(COUNTA($E26:$V26)&gt;0," OR ","")&amp;'Dashboard Config'!$B$7&amp;"="""&amp;W26&amp;"""","")&amp;IF(X26&lt;&gt;"",IF(COUNTA($E26:$W26)&gt;0," OR ","")&amp;'Dashboard Config'!$B$7&amp;"="""&amp;X26&amp;"""","")&amp;IF(Y26&lt;&gt;"",IF(COUNTA($E26:$X26)&gt;0," OR ","")&amp;'Dashboard Config'!$B$7&amp;"="""&amp;Y26&amp;"""","")&amp;IF(Z26&lt;&gt;"",IF(COUNTA($E26:$Y26)&gt;0," OR ","")&amp;'Dashboard Config'!$B$7&amp;"="""&amp;Z26&amp;"""","")&amp;IF(AA26&lt;&gt;"",IF(COUNTA($E26:$Z26)&gt;0," OR ","")&amp;'Dashboard Config'!$B$7&amp;"="""&amp;AA26&amp;"""","")&amp;IF(AB26&lt;&gt;"",IF(COUNTA($E26:$AA26)&gt;0," OR ","")&amp;'Dashboard Config'!$B$7&amp;"="""&amp;AB26&amp;"""","")&amp;IF(AC26&lt;&gt;"",IF(COUNTA($E26:$AB26)&gt;0," OR ","")&amp;AC26,"")&amp;")")</x:f>
      </x:c>
      <x:c r="AE26" s="48" t="str">
        <x:f>IF($AD26="","",CHAR(123)&amp;CHAR(34)&amp;"label"&amp;CHAR(34)&amp;":"&amp;CHAR(34)&amp;$C26&amp;CHAR(34)&amp;","&amp;CHAR(34)&amp;"value"&amp;CHAR(34)&amp;":"&amp;CHAR(34)&amp;SUBSTITUTE($AD26,CHAR(34),CHAR(92)&amp;CHAR(34))&amp;CHAR(34)&amp;CHAR(125))</x:f>
      </x:c>
      <x:c r="AF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8" t="str">
        <x:f>IF(OR($A27&lt;&gt;"Yes",$C27="",COUNTA($E27:$AC27)=0),"","("&amp;IF(E27&lt;&gt;"",'Dashboard Config'!$B$6&amp;"="""&amp;E27&amp;"""","")&amp;IF(F27&lt;&gt;"",IF(COUNTA($E27:$E27)&gt;0," OR ","")&amp;'Dashboard Config'!$B$6&amp;"="""&amp;F27&amp;"""","")&amp;IF(G27&lt;&gt;"",IF(COUNTA($E27:$F27)&gt;0," OR ","")&amp;'Dashboard Config'!$B$6&amp;"="""&amp;G27&amp;"""","")&amp;IF(H27&lt;&gt;"",IF(COUNTA($E27:$G27)&gt;0," OR ","")&amp;'Dashboard Config'!$B$6&amp;"="""&amp;H27&amp;"""","")&amp;IF(I27&lt;&gt;"",IF(COUNTA($E27:$H27)&gt;0," OR ","")&amp;'Dashboard Config'!$B$6&amp;"="""&amp;I27&amp;"""","")&amp;IF(J27&lt;&gt;"",IF(COUNTA($E27:$I27)&gt;0," OR ","")&amp;'Dashboard Config'!$B$6&amp;"="""&amp;J27&amp;"""","")&amp;IF(K27&lt;&gt;"",IF(COUNTA($E27:$J27)&gt;0," OR ","")&amp;'Dashboard Config'!$B$6&amp;"="""&amp;K27&amp;"""","")&amp;IF(L27&lt;&gt;"",IF(COUNTA($E27:$K27)&gt;0," OR ","")&amp;'Dashboard Config'!$B$6&amp;"="""&amp;L27&amp;"""","")&amp;IF(M27&lt;&gt;"",IF(COUNTA($E27:$L27)&gt;0," OR ","")&amp;'Dashboard Config'!$B$7&amp;"="""&amp;M27&amp;"""","")&amp;IF(N27&lt;&gt;"",IF(COUNTA($E27:$M27)&gt;0," OR ","")&amp;'Dashboard Config'!$B$7&amp;"="""&amp;N27&amp;"""","")&amp;IF(O27&lt;&gt;"",IF(COUNTA($E27:$N27)&gt;0," OR ","")&amp;'Dashboard Config'!$B$7&amp;"="""&amp;O27&amp;"""","")&amp;IF(P27&lt;&gt;"",IF(COUNTA($E27:$O27)&gt;0," OR ","")&amp;'Dashboard Config'!$B$7&amp;"="""&amp;P27&amp;"""","")&amp;IF(Q27&lt;&gt;"",IF(COUNTA($E27:$P27)&gt;0," OR ","")&amp;'Dashboard Config'!$B$7&amp;"="""&amp;Q27&amp;"""","")&amp;IF(R27&lt;&gt;"",IF(COUNTA($E27:$Q27)&gt;0," OR ","")&amp;'Dashboard Config'!$B$7&amp;"="""&amp;R27&amp;"""","")&amp;IF(S27&lt;&gt;"",IF(COUNTA($E27:$R27)&gt;0," OR ","")&amp;'Dashboard Config'!$B$7&amp;"="""&amp;S27&amp;"""","")&amp;IF(T27&lt;&gt;"",IF(COUNTA($E27:$S27)&gt;0," OR ","")&amp;'Dashboard Config'!$B$7&amp;"="""&amp;T27&amp;"""","")&amp;IF(U27&lt;&gt;"",IF(COUNTA($E27:$T27)&gt;0," OR ","")&amp;'Dashboard Config'!$B$7&amp;"="""&amp;U27&amp;"""","")&amp;IF(V27&lt;&gt;"",IF(COUNTA($E27:$U27)&gt;0," OR ","")&amp;'Dashboard Config'!$B$7&amp;"="""&amp;V27&amp;"""","")&amp;IF(W27&lt;&gt;"",IF(COUNTA($E27:$V27)&gt;0," OR ","")&amp;'Dashboard Config'!$B$7&amp;"="""&amp;W27&amp;"""","")&amp;IF(X27&lt;&gt;"",IF(COUNTA($E27:$W27)&gt;0," OR ","")&amp;'Dashboard Config'!$B$7&amp;"="""&amp;X27&amp;"""","")&amp;IF(Y27&lt;&gt;"",IF(COUNTA($E27:$X27)&gt;0," OR ","")&amp;'Dashboard Config'!$B$7&amp;"="""&amp;Y27&amp;"""","")&amp;IF(Z27&lt;&gt;"",IF(COUNTA($E27:$Y27)&gt;0," OR ","")&amp;'Dashboard Config'!$B$7&amp;"="""&amp;Z27&amp;"""","")&amp;IF(AA27&lt;&gt;"",IF(COUNTA($E27:$Z27)&gt;0," OR ","")&amp;'Dashboard Config'!$B$7&amp;"="""&amp;AA27&amp;"""","")&amp;IF(AB27&lt;&gt;"",IF(COUNTA($E27:$AA27)&gt;0," OR ","")&amp;'Dashboard Config'!$B$7&amp;"="""&amp;AB27&amp;"""","")&amp;IF(AC27&lt;&gt;"",IF(COUNTA($E27:$AB27)&gt;0," OR ","")&amp;AC27,"")&amp;")")</x:f>
      </x:c>
      <x:c r="AE27" s="48" t="str">
        <x:f>IF($AD27="","",CHAR(123)&amp;CHAR(34)&amp;"label"&amp;CHAR(34)&amp;":"&amp;CHAR(34)&amp;$C27&amp;CHAR(34)&amp;","&amp;CHAR(34)&amp;"value"&amp;CHAR(34)&amp;":"&amp;CHAR(34)&amp;SUBSTITUTE($AD27,CHAR(34),CHAR(92)&amp;CHAR(34))&amp;CHAR(34)&amp;CHAR(125))</x:f>
      </x:c>
      <x:c r="AF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8" t="str">
        <x:f>IF(OR($A28&lt;&gt;"Yes",$C28="",COUNTA($E28:$AC28)=0),"","("&amp;IF(E28&lt;&gt;"",'Dashboard Config'!$B$6&amp;"="""&amp;E28&amp;"""","")&amp;IF(F28&lt;&gt;"",IF(COUNTA($E28:$E28)&gt;0," OR ","")&amp;'Dashboard Config'!$B$6&amp;"="""&amp;F28&amp;"""","")&amp;IF(G28&lt;&gt;"",IF(COUNTA($E28:$F28)&gt;0," OR ","")&amp;'Dashboard Config'!$B$6&amp;"="""&amp;G28&amp;"""","")&amp;IF(H28&lt;&gt;"",IF(COUNTA($E28:$G28)&gt;0," OR ","")&amp;'Dashboard Config'!$B$6&amp;"="""&amp;H28&amp;"""","")&amp;IF(I28&lt;&gt;"",IF(COUNTA($E28:$H28)&gt;0," OR ","")&amp;'Dashboard Config'!$B$6&amp;"="""&amp;I28&amp;"""","")&amp;IF(J28&lt;&gt;"",IF(COUNTA($E28:$I28)&gt;0," OR ","")&amp;'Dashboard Config'!$B$6&amp;"="""&amp;J28&amp;"""","")&amp;IF(K28&lt;&gt;"",IF(COUNTA($E28:$J28)&gt;0," OR ","")&amp;'Dashboard Config'!$B$6&amp;"="""&amp;K28&amp;"""","")&amp;IF(L28&lt;&gt;"",IF(COUNTA($E28:$K28)&gt;0," OR ","")&amp;'Dashboard Config'!$B$6&amp;"="""&amp;L28&amp;"""","")&amp;IF(M28&lt;&gt;"",IF(COUNTA($E28:$L28)&gt;0," OR ","")&amp;'Dashboard Config'!$B$7&amp;"="""&amp;M28&amp;"""","")&amp;IF(N28&lt;&gt;"",IF(COUNTA($E28:$M28)&gt;0," OR ","")&amp;'Dashboard Config'!$B$7&amp;"="""&amp;N28&amp;"""","")&amp;IF(O28&lt;&gt;"",IF(COUNTA($E28:$N28)&gt;0," OR ","")&amp;'Dashboard Config'!$B$7&amp;"="""&amp;O28&amp;"""","")&amp;IF(P28&lt;&gt;"",IF(COUNTA($E28:$O28)&gt;0," OR ","")&amp;'Dashboard Config'!$B$7&amp;"="""&amp;P28&amp;"""","")&amp;IF(Q28&lt;&gt;"",IF(COUNTA($E28:$P28)&gt;0," OR ","")&amp;'Dashboard Config'!$B$7&amp;"="""&amp;Q28&amp;"""","")&amp;IF(R28&lt;&gt;"",IF(COUNTA($E28:$Q28)&gt;0," OR ","")&amp;'Dashboard Config'!$B$7&amp;"="""&amp;R28&amp;"""","")&amp;IF(S28&lt;&gt;"",IF(COUNTA($E28:$R28)&gt;0," OR ","")&amp;'Dashboard Config'!$B$7&amp;"="""&amp;S28&amp;"""","")&amp;IF(T28&lt;&gt;"",IF(COUNTA($E28:$S28)&gt;0," OR ","")&amp;'Dashboard Config'!$B$7&amp;"="""&amp;T28&amp;"""","")&amp;IF(U28&lt;&gt;"",IF(COUNTA($E28:$T28)&gt;0," OR ","")&amp;'Dashboard Config'!$B$7&amp;"="""&amp;U28&amp;"""","")&amp;IF(V28&lt;&gt;"",IF(COUNTA($E28:$U28)&gt;0," OR ","")&amp;'Dashboard Config'!$B$7&amp;"="""&amp;V28&amp;"""","")&amp;IF(W28&lt;&gt;"",IF(COUNTA($E28:$V28)&gt;0," OR ","")&amp;'Dashboard Config'!$B$7&amp;"="""&amp;W28&amp;"""","")&amp;IF(X28&lt;&gt;"",IF(COUNTA($E28:$W28)&gt;0," OR ","")&amp;'Dashboard Config'!$B$7&amp;"="""&amp;X28&amp;"""","")&amp;IF(Y28&lt;&gt;"",IF(COUNTA($E28:$X28)&gt;0," OR ","")&amp;'Dashboard Config'!$B$7&amp;"="""&amp;Y28&amp;"""","")&amp;IF(Z28&lt;&gt;"",IF(COUNTA($E28:$Y28)&gt;0," OR ","")&amp;'Dashboard Config'!$B$7&amp;"="""&amp;Z28&amp;"""","")&amp;IF(AA28&lt;&gt;"",IF(COUNTA($E28:$Z28)&gt;0," OR ","")&amp;'Dashboard Config'!$B$7&amp;"="""&amp;AA28&amp;"""","")&amp;IF(AB28&lt;&gt;"",IF(COUNTA($E28:$AA28)&gt;0," OR ","")&amp;'Dashboard Config'!$B$7&amp;"="""&amp;AB28&amp;"""","")&amp;IF(AC28&lt;&gt;"",IF(COUNTA($E28:$AB28)&gt;0," OR ","")&amp;AC28,"")&amp;")")</x:f>
      </x:c>
      <x:c r="AE28" s="48" t="str">
        <x:f>IF($AD28="","",CHAR(123)&amp;CHAR(34)&amp;"label"&amp;CHAR(34)&amp;":"&amp;CHAR(34)&amp;$C28&amp;CHAR(34)&amp;","&amp;CHAR(34)&amp;"value"&amp;CHAR(34)&amp;":"&amp;CHAR(34)&amp;SUBSTITUTE($AD28,CHAR(34),CHAR(92)&amp;CHAR(34))&amp;CHAR(34)&amp;CHAR(125))</x:f>
      </x:c>
      <x:c r="AF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8" t="str">
        <x:f>IF(OR($A29&lt;&gt;"Yes",$C29="",COUNTA($E29:$AC29)=0),"","("&amp;IF(E29&lt;&gt;"",'Dashboard Config'!$B$6&amp;"="""&amp;E29&amp;"""","")&amp;IF(F29&lt;&gt;"",IF(COUNTA($E29:$E29)&gt;0," OR ","")&amp;'Dashboard Config'!$B$6&amp;"="""&amp;F29&amp;"""","")&amp;IF(G29&lt;&gt;"",IF(COUNTA($E29:$F29)&gt;0," OR ","")&amp;'Dashboard Config'!$B$6&amp;"="""&amp;G29&amp;"""","")&amp;IF(H29&lt;&gt;"",IF(COUNTA($E29:$G29)&gt;0," OR ","")&amp;'Dashboard Config'!$B$6&amp;"="""&amp;H29&amp;"""","")&amp;IF(I29&lt;&gt;"",IF(COUNTA($E29:$H29)&gt;0," OR ","")&amp;'Dashboard Config'!$B$6&amp;"="""&amp;I29&amp;"""","")&amp;IF(J29&lt;&gt;"",IF(COUNTA($E29:$I29)&gt;0," OR ","")&amp;'Dashboard Config'!$B$6&amp;"="""&amp;J29&amp;"""","")&amp;IF(K29&lt;&gt;"",IF(COUNTA($E29:$J29)&gt;0," OR ","")&amp;'Dashboard Config'!$B$6&amp;"="""&amp;K29&amp;"""","")&amp;IF(L29&lt;&gt;"",IF(COUNTA($E29:$K29)&gt;0," OR ","")&amp;'Dashboard Config'!$B$6&amp;"="""&amp;L29&amp;"""","")&amp;IF(M29&lt;&gt;"",IF(COUNTA($E29:$L29)&gt;0," OR ","")&amp;'Dashboard Config'!$B$7&amp;"="""&amp;M29&amp;"""","")&amp;IF(N29&lt;&gt;"",IF(COUNTA($E29:$M29)&gt;0," OR ","")&amp;'Dashboard Config'!$B$7&amp;"="""&amp;N29&amp;"""","")&amp;IF(O29&lt;&gt;"",IF(COUNTA($E29:$N29)&gt;0," OR ","")&amp;'Dashboard Config'!$B$7&amp;"="""&amp;O29&amp;"""","")&amp;IF(P29&lt;&gt;"",IF(COUNTA($E29:$O29)&gt;0," OR ","")&amp;'Dashboard Config'!$B$7&amp;"="""&amp;P29&amp;"""","")&amp;IF(Q29&lt;&gt;"",IF(COUNTA($E29:$P29)&gt;0," OR ","")&amp;'Dashboard Config'!$B$7&amp;"="""&amp;Q29&amp;"""","")&amp;IF(R29&lt;&gt;"",IF(COUNTA($E29:$Q29)&gt;0," OR ","")&amp;'Dashboard Config'!$B$7&amp;"="""&amp;R29&amp;"""","")&amp;IF(S29&lt;&gt;"",IF(COUNTA($E29:$R29)&gt;0," OR ","")&amp;'Dashboard Config'!$B$7&amp;"="""&amp;S29&amp;"""","")&amp;IF(T29&lt;&gt;"",IF(COUNTA($E29:$S29)&gt;0," OR ","")&amp;'Dashboard Config'!$B$7&amp;"="""&amp;T29&amp;"""","")&amp;IF(U29&lt;&gt;"",IF(COUNTA($E29:$T29)&gt;0," OR ","")&amp;'Dashboard Config'!$B$7&amp;"="""&amp;U29&amp;"""","")&amp;IF(V29&lt;&gt;"",IF(COUNTA($E29:$U29)&gt;0," OR ","")&amp;'Dashboard Config'!$B$7&amp;"="""&amp;V29&amp;"""","")&amp;IF(W29&lt;&gt;"",IF(COUNTA($E29:$V29)&gt;0," OR ","")&amp;'Dashboard Config'!$B$7&amp;"="""&amp;W29&amp;"""","")&amp;IF(X29&lt;&gt;"",IF(COUNTA($E29:$W29)&gt;0," OR ","")&amp;'Dashboard Config'!$B$7&amp;"="""&amp;X29&amp;"""","")&amp;IF(Y29&lt;&gt;"",IF(COUNTA($E29:$X29)&gt;0," OR ","")&amp;'Dashboard Config'!$B$7&amp;"="""&amp;Y29&amp;"""","")&amp;IF(Z29&lt;&gt;"",IF(COUNTA($E29:$Y29)&gt;0," OR ","")&amp;'Dashboard Config'!$B$7&amp;"="""&amp;Z29&amp;"""","")&amp;IF(AA29&lt;&gt;"",IF(COUNTA($E29:$Z29)&gt;0," OR ","")&amp;'Dashboard Config'!$B$7&amp;"="""&amp;AA29&amp;"""","")&amp;IF(AB29&lt;&gt;"",IF(COUNTA($E29:$AA29)&gt;0," OR ","")&amp;'Dashboard Config'!$B$7&amp;"="""&amp;AB29&amp;"""","")&amp;IF(AC29&lt;&gt;"",IF(COUNTA($E29:$AB29)&gt;0," OR ","")&amp;AC29,"")&amp;")")</x:f>
      </x:c>
      <x:c r="AE29" s="48" t="str">
        <x:f>IF($AD29="","",CHAR(123)&amp;CHAR(34)&amp;"label"&amp;CHAR(34)&amp;":"&amp;CHAR(34)&amp;$C29&amp;CHAR(34)&amp;","&amp;CHAR(34)&amp;"value"&amp;CHAR(34)&amp;":"&amp;CHAR(34)&amp;SUBSTITUTE($AD29,CHAR(34),CHAR(92)&amp;CHAR(34))&amp;CHAR(34)&amp;CHAR(125))</x:f>
      </x:c>
      <x:c r="AF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8" t="str">
        <x:f>IF(OR($A30&lt;&gt;"Yes",$C30="",COUNTA($E30:$AC30)=0),"","("&amp;IF(E30&lt;&gt;"",'Dashboard Config'!$B$6&amp;"="""&amp;E30&amp;"""","")&amp;IF(F30&lt;&gt;"",IF(COUNTA($E30:$E30)&gt;0," OR ","")&amp;'Dashboard Config'!$B$6&amp;"="""&amp;F30&amp;"""","")&amp;IF(G30&lt;&gt;"",IF(COUNTA($E30:$F30)&gt;0," OR ","")&amp;'Dashboard Config'!$B$6&amp;"="""&amp;G30&amp;"""","")&amp;IF(H30&lt;&gt;"",IF(COUNTA($E30:$G30)&gt;0," OR ","")&amp;'Dashboard Config'!$B$6&amp;"="""&amp;H30&amp;"""","")&amp;IF(I30&lt;&gt;"",IF(COUNTA($E30:$H30)&gt;0," OR ","")&amp;'Dashboard Config'!$B$6&amp;"="""&amp;I30&amp;"""","")&amp;IF(J30&lt;&gt;"",IF(COUNTA($E30:$I30)&gt;0," OR ","")&amp;'Dashboard Config'!$B$6&amp;"="""&amp;J30&amp;"""","")&amp;IF(K30&lt;&gt;"",IF(COUNTA($E30:$J30)&gt;0," OR ","")&amp;'Dashboard Config'!$B$6&amp;"="""&amp;K30&amp;"""","")&amp;IF(L30&lt;&gt;"",IF(COUNTA($E30:$K30)&gt;0," OR ","")&amp;'Dashboard Config'!$B$6&amp;"="""&amp;L30&amp;"""","")&amp;IF(M30&lt;&gt;"",IF(COUNTA($E30:$L30)&gt;0," OR ","")&amp;'Dashboard Config'!$B$7&amp;"="""&amp;M30&amp;"""","")&amp;IF(N30&lt;&gt;"",IF(COUNTA($E30:$M30)&gt;0," OR ","")&amp;'Dashboard Config'!$B$7&amp;"="""&amp;N30&amp;"""","")&amp;IF(O30&lt;&gt;"",IF(COUNTA($E30:$N30)&gt;0," OR ","")&amp;'Dashboard Config'!$B$7&amp;"="""&amp;O30&amp;"""","")&amp;IF(P30&lt;&gt;"",IF(COUNTA($E30:$O30)&gt;0," OR ","")&amp;'Dashboard Config'!$B$7&amp;"="""&amp;P30&amp;"""","")&amp;IF(Q30&lt;&gt;"",IF(COUNTA($E30:$P30)&gt;0," OR ","")&amp;'Dashboard Config'!$B$7&amp;"="""&amp;Q30&amp;"""","")&amp;IF(R30&lt;&gt;"",IF(COUNTA($E30:$Q30)&gt;0," OR ","")&amp;'Dashboard Config'!$B$7&amp;"="""&amp;R30&amp;"""","")&amp;IF(S30&lt;&gt;"",IF(COUNTA($E30:$R30)&gt;0," OR ","")&amp;'Dashboard Config'!$B$7&amp;"="""&amp;S30&amp;"""","")&amp;IF(T30&lt;&gt;"",IF(COUNTA($E30:$S30)&gt;0," OR ","")&amp;'Dashboard Config'!$B$7&amp;"="""&amp;T30&amp;"""","")&amp;IF(U30&lt;&gt;"",IF(COUNTA($E30:$T30)&gt;0," OR ","")&amp;'Dashboard Config'!$B$7&amp;"="""&amp;U30&amp;"""","")&amp;IF(V30&lt;&gt;"",IF(COUNTA($E30:$U30)&gt;0," OR ","")&amp;'Dashboard Config'!$B$7&amp;"="""&amp;V30&amp;"""","")&amp;IF(W30&lt;&gt;"",IF(COUNTA($E30:$V30)&gt;0," OR ","")&amp;'Dashboard Config'!$B$7&amp;"="""&amp;W30&amp;"""","")&amp;IF(X30&lt;&gt;"",IF(COUNTA($E30:$W30)&gt;0," OR ","")&amp;'Dashboard Config'!$B$7&amp;"="""&amp;X30&amp;"""","")&amp;IF(Y30&lt;&gt;"",IF(COUNTA($E30:$X30)&gt;0," OR ","")&amp;'Dashboard Config'!$B$7&amp;"="""&amp;Y30&amp;"""","")&amp;IF(Z30&lt;&gt;"",IF(COUNTA($E30:$Y30)&gt;0," OR ","")&amp;'Dashboard Config'!$B$7&amp;"="""&amp;Z30&amp;"""","")&amp;IF(AA30&lt;&gt;"",IF(COUNTA($E30:$Z30)&gt;0," OR ","")&amp;'Dashboard Config'!$B$7&amp;"="""&amp;AA30&amp;"""","")&amp;IF(AB30&lt;&gt;"",IF(COUNTA($E30:$AA30)&gt;0," OR ","")&amp;'Dashboard Config'!$B$7&amp;"="""&amp;AB30&amp;"""","")&amp;IF(AC30&lt;&gt;"",IF(COUNTA($E30:$AB30)&gt;0," OR ","")&amp;AC30,"")&amp;")")</x:f>
      </x:c>
      <x:c r="AE30" s="48" t="str">
        <x:f>IF($AD30="","",CHAR(123)&amp;CHAR(34)&amp;"label"&amp;CHAR(34)&amp;":"&amp;CHAR(34)&amp;$C30&amp;CHAR(34)&amp;","&amp;CHAR(34)&amp;"value"&amp;CHAR(34)&amp;":"&amp;CHAR(34)&amp;SUBSTITUTE($AD30,CHAR(34),CHAR(92)&amp;CHAR(34))&amp;CHAR(34)&amp;CHAR(125))</x:f>
      </x:c>
      <x:c r="AF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8" t="str">
        <x:f>IF(OR($A31&lt;&gt;"Yes",$C31="",COUNTA($E31:$AC31)=0),"","("&amp;IF(E31&lt;&gt;"",'Dashboard Config'!$B$6&amp;"="""&amp;E31&amp;"""","")&amp;IF(F31&lt;&gt;"",IF(COUNTA($E31:$E31)&gt;0," OR ","")&amp;'Dashboard Config'!$B$6&amp;"="""&amp;F31&amp;"""","")&amp;IF(G31&lt;&gt;"",IF(COUNTA($E31:$F31)&gt;0," OR ","")&amp;'Dashboard Config'!$B$6&amp;"="""&amp;G31&amp;"""","")&amp;IF(H31&lt;&gt;"",IF(COUNTA($E31:$G31)&gt;0," OR ","")&amp;'Dashboard Config'!$B$6&amp;"="""&amp;H31&amp;"""","")&amp;IF(I31&lt;&gt;"",IF(COUNTA($E31:$H31)&gt;0," OR ","")&amp;'Dashboard Config'!$B$6&amp;"="""&amp;I31&amp;"""","")&amp;IF(J31&lt;&gt;"",IF(COUNTA($E31:$I31)&gt;0," OR ","")&amp;'Dashboard Config'!$B$6&amp;"="""&amp;J31&amp;"""","")&amp;IF(K31&lt;&gt;"",IF(COUNTA($E31:$J31)&gt;0," OR ","")&amp;'Dashboard Config'!$B$6&amp;"="""&amp;K31&amp;"""","")&amp;IF(L31&lt;&gt;"",IF(COUNTA($E31:$K31)&gt;0," OR ","")&amp;'Dashboard Config'!$B$6&amp;"="""&amp;L31&amp;"""","")&amp;IF(M31&lt;&gt;"",IF(COUNTA($E31:$L31)&gt;0," OR ","")&amp;'Dashboard Config'!$B$7&amp;"="""&amp;M31&amp;"""","")&amp;IF(N31&lt;&gt;"",IF(COUNTA($E31:$M31)&gt;0," OR ","")&amp;'Dashboard Config'!$B$7&amp;"="""&amp;N31&amp;"""","")&amp;IF(O31&lt;&gt;"",IF(COUNTA($E31:$N31)&gt;0," OR ","")&amp;'Dashboard Config'!$B$7&amp;"="""&amp;O31&amp;"""","")&amp;IF(P31&lt;&gt;"",IF(COUNTA($E31:$O31)&gt;0," OR ","")&amp;'Dashboard Config'!$B$7&amp;"="""&amp;P31&amp;"""","")&amp;IF(Q31&lt;&gt;"",IF(COUNTA($E31:$P31)&gt;0," OR ","")&amp;'Dashboard Config'!$B$7&amp;"="""&amp;Q31&amp;"""","")&amp;IF(R31&lt;&gt;"",IF(COUNTA($E31:$Q31)&gt;0," OR ","")&amp;'Dashboard Config'!$B$7&amp;"="""&amp;R31&amp;"""","")&amp;IF(S31&lt;&gt;"",IF(COUNTA($E31:$R31)&gt;0," OR ","")&amp;'Dashboard Config'!$B$7&amp;"="""&amp;S31&amp;"""","")&amp;IF(T31&lt;&gt;"",IF(COUNTA($E31:$S31)&gt;0," OR ","")&amp;'Dashboard Config'!$B$7&amp;"="""&amp;T31&amp;"""","")&amp;IF(U31&lt;&gt;"",IF(COUNTA($E31:$T31)&gt;0," OR ","")&amp;'Dashboard Config'!$B$7&amp;"="""&amp;U31&amp;"""","")&amp;IF(V31&lt;&gt;"",IF(COUNTA($E31:$U31)&gt;0," OR ","")&amp;'Dashboard Config'!$B$7&amp;"="""&amp;V31&amp;"""","")&amp;IF(W31&lt;&gt;"",IF(COUNTA($E31:$V31)&gt;0," OR ","")&amp;'Dashboard Config'!$B$7&amp;"="""&amp;W31&amp;"""","")&amp;IF(X31&lt;&gt;"",IF(COUNTA($E31:$W31)&gt;0," OR ","")&amp;'Dashboard Config'!$B$7&amp;"="""&amp;X31&amp;"""","")&amp;IF(Y31&lt;&gt;"",IF(COUNTA($E31:$X31)&gt;0," OR ","")&amp;'Dashboard Config'!$B$7&amp;"="""&amp;Y31&amp;"""","")&amp;IF(Z31&lt;&gt;"",IF(COUNTA($E31:$Y31)&gt;0," OR ","")&amp;'Dashboard Config'!$B$7&amp;"="""&amp;Z31&amp;"""","")&amp;IF(AA31&lt;&gt;"",IF(COUNTA($E31:$Z31)&gt;0," OR ","")&amp;'Dashboard Config'!$B$7&amp;"="""&amp;AA31&amp;"""","")&amp;IF(AB31&lt;&gt;"",IF(COUNTA($E31:$AA31)&gt;0," OR ","")&amp;'Dashboard Config'!$B$7&amp;"="""&amp;AB31&amp;"""","")&amp;IF(AC31&lt;&gt;"",IF(COUNTA($E31:$AB31)&gt;0," OR ","")&amp;AC31,"")&amp;")")</x:f>
      </x:c>
      <x:c r="AE31" s="48" t="str">
        <x:f>IF($AD31="","",CHAR(123)&amp;CHAR(34)&amp;"label"&amp;CHAR(34)&amp;":"&amp;CHAR(34)&amp;$C31&amp;CHAR(34)&amp;","&amp;CHAR(34)&amp;"value"&amp;CHAR(34)&amp;":"&amp;CHAR(34)&amp;SUBSTITUTE($AD31,CHAR(34),CHAR(92)&amp;CHAR(34))&amp;CHAR(34)&amp;CHAR(125))</x:f>
      </x:c>
      <x:c r="AF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8" t="str">
        <x:f>IF(OR($A32&lt;&gt;"Yes",$C32="",COUNTA($E32:$AC32)=0),"","("&amp;IF(E32&lt;&gt;"",'Dashboard Config'!$B$6&amp;"="""&amp;E32&amp;"""","")&amp;IF(F32&lt;&gt;"",IF(COUNTA($E32:$E32)&gt;0," OR ","")&amp;'Dashboard Config'!$B$6&amp;"="""&amp;F32&amp;"""","")&amp;IF(G32&lt;&gt;"",IF(COUNTA($E32:$F32)&gt;0," OR ","")&amp;'Dashboard Config'!$B$6&amp;"="""&amp;G32&amp;"""","")&amp;IF(H32&lt;&gt;"",IF(COUNTA($E32:$G32)&gt;0," OR ","")&amp;'Dashboard Config'!$B$6&amp;"="""&amp;H32&amp;"""","")&amp;IF(I32&lt;&gt;"",IF(COUNTA($E32:$H32)&gt;0," OR ","")&amp;'Dashboard Config'!$B$6&amp;"="""&amp;I32&amp;"""","")&amp;IF(J32&lt;&gt;"",IF(COUNTA($E32:$I32)&gt;0," OR ","")&amp;'Dashboard Config'!$B$6&amp;"="""&amp;J32&amp;"""","")&amp;IF(K32&lt;&gt;"",IF(COUNTA($E32:$J32)&gt;0," OR ","")&amp;'Dashboard Config'!$B$6&amp;"="""&amp;K32&amp;"""","")&amp;IF(L32&lt;&gt;"",IF(COUNTA($E32:$K32)&gt;0," OR ","")&amp;'Dashboard Config'!$B$6&amp;"="""&amp;L32&amp;"""","")&amp;IF(M32&lt;&gt;"",IF(COUNTA($E32:$L32)&gt;0," OR ","")&amp;'Dashboard Config'!$B$7&amp;"="""&amp;M32&amp;"""","")&amp;IF(N32&lt;&gt;"",IF(COUNTA($E32:$M32)&gt;0," OR ","")&amp;'Dashboard Config'!$B$7&amp;"="""&amp;N32&amp;"""","")&amp;IF(O32&lt;&gt;"",IF(COUNTA($E32:$N32)&gt;0," OR ","")&amp;'Dashboard Config'!$B$7&amp;"="""&amp;O32&amp;"""","")&amp;IF(P32&lt;&gt;"",IF(COUNTA($E32:$O32)&gt;0," OR ","")&amp;'Dashboard Config'!$B$7&amp;"="""&amp;P32&amp;"""","")&amp;IF(Q32&lt;&gt;"",IF(COUNTA($E32:$P32)&gt;0," OR ","")&amp;'Dashboard Config'!$B$7&amp;"="""&amp;Q32&amp;"""","")&amp;IF(R32&lt;&gt;"",IF(COUNTA($E32:$Q32)&gt;0," OR ","")&amp;'Dashboard Config'!$B$7&amp;"="""&amp;R32&amp;"""","")&amp;IF(S32&lt;&gt;"",IF(COUNTA($E32:$R32)&gt;0," OR ","")&amp;'Dashboard Config'!$B$7&amp;"="""&amp;S32&amp;"""","")&amp;IF(T32&lt;&gt;"",IF(COUNTA($E32:$S32)&gt;0," OR ","")&amp;'Dashboard Config'!$B$7&amp;"="""&amp;T32&amp;"""","")&amp;IF(U32&lt;&gt;"",IF(COUNTA($E32:$T32)&gt;0," OR ","")&amp;'Dashboard Config'!$B$7&amp;"="""&amp;U32&amp;"""","")&amp;IF(V32&lt;&gt;"",IF(COUNTA($E32:$U32)&gt;0," OR ","")&amp;'Dashboard Config'!$B$7&amp;"="""&amp;V32&amp;"""","")&amp;IF(W32&lt;&gt;"",IF(COUNTA($E32:$V32)&gt;0," OR ","")&amp;'Dashboard Config'!$B$7&amp;"="""&amp;W32&amp;"""","")&amp;IF(X32&lt;&gt;"",IF(COUNTA($E32:$W32)&gt;0," OR ","")&amp;'Dashboard Config'!$B$7&amp;"="""&amp;X32&amp;"""","")&amp;IF(Y32&lt;&gt;"",IF(COUNTA($E32:$X32)&gt;0," OR ","")&amp;'Dashboard Config'!$B$7&amp;"="""&amp;Y32&amp;"""","")&amp;IF(Z32&lt;&gt;"",IF(COUNTA($E32:$Y32)&gt;0," OR ","")&amp;'Dashboard Config'!$B$7&amp;"="""&amp;Z32&amp;"""","")&amp;IF(AA32&lt;&gt;"",IF(COUNTA($E32:$Z32)&gt;0," OR ","")&amp;'Dashboard Config'!$B$7&amp;"="""&amp;AA32&amp;"""","")&amp;IF(AB32&lt;&gt;"",IF(COUNTA($E32:$AA32)&gt;0," OR ","")&amp;'Dashboard Config'!$B$7&amp;"="""&amp;AB32&amp;"""","")&amp;IF(AC32&lt;&gt;"",IF(COUNTA($E32:$AB32)&gt;0," OR ","")&amp;AC32,"")&amp;")")</x:f>
      </x:c>
      <x:c r="AE32" s="48" t="str">
        <x:f>IF($AD32="","",CHAR(123)&amp;CHAR(34)&amp;"label"&amp;CHAR(34)&amp;":"&amp;CHAR(34)&amp;$C32&amp;CHAR(34)&amp;","&amp;CHAR(34)&amp;"value"&amp;CHAR(34)&amp;":"&amp;CHAR(34)&amp;SUBSTITUTE($AD32,CHAR(34),CHAR(92)&amp;CHAR(34))&amp;CHAR(34)&amp;CHAR(125))</x:f>
      </x:c>
      <x:c r="AF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8" t="str">
        <x:f>IF(OR($A33&lt;&gt;"Yes",$C33="",COUNTA($E33:$AC33)=0),"","("&amp;IF(E33&lt;&gt;"",'Dashboard Config'!$B$6&amp;"="""&amp;E33&amp;"""","")&amp;IF(F33&lt;&gt;"",IF(COUNTA($E33:$E33)&gt;0," OR ","")&amp;'Dashboard Config'!$B$6&amp;"="""&amp;F33&amp;"""","")&amp;IF(G33&lt;&gt;"",IF(COUNTA($E33:$F33)&gt;0," OR ","")&amp;'Dashboard Config'!$B$6&amp;"="""&amp;G33&amp;"""","")&amp;IF(H33&lt;&gt;"",IF(COUNTA($E33:$G33)&gt;0," OR ","")&amp;'Dashboard Config'!$B$6&amp;"="""&amp;H33&amp;"""","")&amp;IF(I33&lt;&gt;"",IF(COUNTA($E33:$H33)&gt;0," OR ","")&amp;'Dashboard Config'!$B$6&amp;"="""&amp;I33&amp;"""","")&amp;IF(J33&lt;&gt;"",IF(COUNTA($E33:$I33)&gt;0," OR ","")&amp;'Dashboard Config'!$B$6&amp;"="""&amp;J33&amp;"""","")&amp;IF(K33&lt;&gt;"",IF(COUNTA($E33:$J33)&gt;0," OR ","")&amp;'Dashboard Config'!$B$6&amp;"="""&amp;K33&amp;"""","")&amp;IF(L33&lt;&gt;"",IF(COUNTA($E33:$K33)&gt;0," OR ","")&amp;'Dashboard Config'!$B$6&amp;"="""&amp;L33&amp;"""","")&amp;IF(M33&lt;&gt;"",IF(COUNTA($E33:$L33)&gt;0," OR ","")&amp;'Dashboard Config'!$B$7&amp;"="""&amp;M33&amp;"""","")&amp;IF(N33&lt;&gt;"",IF(COUNTA($E33:$M33)&gt;0," OR ","")&amp;'Dashboard Config'!$B$7&amp;"="""&amp;N33&amp;"""","")&amp;IF(O33&lt;&gt;"",IF(COUNTA($E33:$N33)&gt;0," OR ","")&amp;'Dashboard Config'!$B$7&amp;"="""&amp;O33&amp;"""","")&amp;IF(P33&lt;&gt;"",IF(COUNTA($E33:$O33)&gt;0," OR ","")&amp;'Dashboard Config'!$B$7&amp;"="""&amp;P33&amp;"""","")&amp;IF(Q33&lt;&gt;"",IF(COUNTA($E33:$P33)&gt;0," OR ","")&amp;'Dashboard Config'!$B$7&amp;"="""&amp;Q33&amp;"""","")&amp;IF(R33&lt;&gt;"",IF(COUNTA($E33:$Q33)&gt;0," OR ","")&amp;'Dashboard Config'!$B$7&amp;"="""&amp;R33&amp;"""","")&amp;IF(S33&lt;&gt;"",IF(COUNTA($E33:$R33)&gt;0," OR ","")&amp;'Dashboard Config'!$B$7&amp;"="""&amp;S33&amp;"""","")&amp;IF(T33&lt;&gt;"",IF(COUNTA($E33:$S33)&gt;0," OR ","")&amp;'Dashboard Config'!$B$7&amp;"="""&amp;T33&amp;"""","")&amp;IF(U33&lt;&gt;"",IF(COUNTA($E33:$T33)&gt;0," OR ","")&amp;'Dashboard Config'!$B$7&amp;"="""&amp;U33&amp;"""","")&amp;IF(V33&lt;&gt;"",IF(COUNTA($E33:$U33)&gt;0," OR ","")&amp;'Dashboard Config'!$B$7&amp;"="""&amp;V33&amp;"""","")&amp;IF(W33&lt;&gt;"",IF(COUNTA($E33:$V33)&gt;0," OR ","")&amp;'Dashboard Config'!$B$7&amp;"="""&amp;W33&amp;"""","")&amp;IF(X33&lt;&gt;"",IF(COUNTA($E33:$W33)&gt;0," OR ","")&amp;'Dashboard Config'!$B$7&amp;"="""&amp;X33&amp;"""","")&amp;IF(Y33&lt;&gt;"",IF(COUNTA($E33:$X33)&gt;0," OR ","")&amp;'Dashboard Config'!$B$7&amp;"="""&amp;Y33&amp;"""","")&amp;IF(Z33&lt;&gt;"",IF(COUNTA($E33:$Y33)&gt;0," OR ","")&amp;'Dashboard Config'!$B$7&amp;"="""&amp;Z33&amp;"""","")&amp;IF(AA33&lt;&gt;"",IF(COUNTA($E33:$Z33)&gt;0," OR ","")&amp;'Dashboard Config'!$B$7&amp;"="""&amp;AA33&amp;"""","")&amp;IF(AB33&lt;&gt;"",IF(COUNTA($E33:$AA33)&gt;0," OR ","")&amp;'Dashboard Config'!$B$7&amp;"="""&amp;AB33&amp;"""","")&amp;IF(AC33&lt;&gt;"",IF(COUNTA($E33:$AB33)&gt;0," OR ","")&amp;AC33,"")&amp;")")</x:f>
      </x:c>
      <x:c r="AE33" s="48" t="str">
        <x:f>IF($AD33="","",CHAR(123)&amp;CHAR(34)&amp;"label"&amp;CHAR(34)&amp;":"&amp;CHAR(34)&amp;$C33&amp;CHAR(34)&amp;","&amp;CHAR(34)&amp;"value"&amp;CHAR(34)&amp;":"&amp;CHAR(34)&amp;SUBSTITUTE($AD33,CHAR(34),CHAR(92)&amp;CHAR(34))&amp;CHAR(34)&amp;CHAR(125))</x:f>
      </x:c>
      <x:c r="AF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8" t="str">
        <x:f>IF(OR($A34&lt;&gt;"Yes",$C34="",COUNTA($E34:$AC34)=0),"","("&amp;IF(E34&lt;&gt;"",'Dashboard Config'!$B$6&amp;"="""&amp;E34&amp;"""","")&amp;IF(F34&lt;&gt;"",IF(COUNTA($E34:$E34)&gt;0," OR ","")&amp;'Dashboard Config'!$B$6&amp;"="""&amp;F34&amp;"""","")&amp;IF(G34&lt;&gt;"",IF(COUNTA($E34:$F34)&gt;0," OR ","")&amp;'Dashboard Config'!$B$6&amp;"="""&amp;G34&amp;"""","")&amp;IF(H34&lt;&gt;"",IF(COUNTA($E34:$G34)&gt;0," OR ","")&amp;'Dashboard Config'!$B$6&amp;"="""&amp;H34&amp;"""","")&amp;IF(I34&lt;&gt;"",IF(COUNTA($E34:$H34)&gt;0," OR ","")&amp;'Dashboard Config'!$B$6&amp;"="""&amp;I34&amp;"""","")&amp;IF(J34&lt;&gt;"",IF(COUNTA($E34:$I34)&gt;0," OR ","")&amp;'Dashboard Config'!$B$6&amp;"="""&amp;J34&amp;"""","")&amp;IF(K34&lt;&gt;"",IF(COUNTA($E34:$J34)&gt;0," OR ","")&amp;'Dashboard Config'!$B$6&amp;"="""&amp;K34&amp;"""","")&amp;IF(L34&lt;&gt;"",IF(COUNTA($E34:$K34)&gt;0," OR ","")&amp;'Dashboard Config'!$B$6&amp;"="""&amp;L34&amp;"""","")&amp;IF(M34&lt;&gt;"",IF(COUNTA($E34:$L34)&gt;0," OR ","")&amp;'Dashboard Config'!$B$7&amp;"="""&amp;M34&amp;"""","")&amp;IF(N34&lt;&gt;"",IF(COUNTA($E34:$M34)&gt;0," OR ","")&amp;'Dashboard Config'!$B$7&amp;"="""&amp;N34&amp;"""","")&amp;IF(O34&lt;&gt;"",IF(COUNTA($E34:$N34)&gt;0," OR ","")&amp;'Dashboard Config'!$B$7&amp;"="""&amp;O34&amp;"""","")&amp;IF(P34&lt;&gt;"",IF(COUNTA($E34:$O34)&gt;0," OR ","")&amp;'Dashboard Config'!$B$7&amp;"="""&amp;P34&amp;"""","")&amp;IF(Q34&lt;&gt;"",IF(COUNTA($E34:$P34)&gt;0," OR ","")&amp;'Dashboard Config'!$B$7&amp;"="""&amp;Q34&amp;"""","")&amp;IF(R34&lt;&gt;"",IF(COUNTA($E34:$Q34)&gt;0," OR ","")&amp;'Dashboard Config'!$B$7&amp;"="""&amp;R34&amp;"""","")&amp;IF(S34&lt;&gt;"",IF(COUNTA($E34:$R34)&gt;0," OR ","")&amp;'Dashboard Config'!$B$7&amp;"="""&amp;S34&amp;"""","")&amp;IF(T34&lt;&gt;"",IF(COUNTA($E34:$S34)&gt;0," OR ","")&amp;'Dashboard Config'!$B$7&amp;"="""&amp;T34&amp;"""","")&amp;IF(U34&lt;&gt;"",IF(COUNTA($E34:$T34)&gt;0," OR ","")&amp;'Dashboard Config'!$B$7&amp;"="""&amp;U34&amp;"""","")&amp;IF(V34&lt;&gt;"",IF(COUNTA($E34:$U34)&gt;0," OR ","")&amp;'Dashboard Config'!$B$7&amp;"="""&amp;V34&amp;"""","")&amp;IF(W34&lt;&gt;"",IF(COUNTA($E34:$V34)&gt;0," OR ","")&amp;'Dashboard Config'!$B$7&amp;"="""&amp;W34&amp;"""","")&amp;IF(X34&lt;&gt;"",IF(COUNTA($E34:$W34)&gt;0," OR ","")&amp;'Dashboard Config'!$B$7&amp;"="""&amp;X34&amp;"""","")&amp;IF(Y34&lt;&gt;"",IF(COUNTA($E34:$X34)&gt;0," OR ","")&amp;'Dashboard Config'!$B$7&amp;"="""&amp;Y34&amp;"""","")&amp;IF(Z34&lt;&gt;"",IF(COUNTA($E34:$Y34)&gt;0," OR ","")&amp;'Dashboard Config'!$B$7&amp;"="""&amp;Z34&amp;"""","")&amp;IF(AA34&lt;&gt;"",IF(COUNTA($E34:$Z34)&gt;0," OR ","")&amp;'Dashboard Config'!$B$7&amp;"="""&amp;AA34&amp;"""","")&amp;IF(AB34&lt;&gt;"",IF(COUNTA($E34:$AA34)&gt;0," OR ","")&amp;'Dashboard Config'!$B$7&amp;"="""&amp;AB34&amp;"""","")&amp;IF(AC34&lt;&gt;"",IF(COUNTA($E34:$AB34)&gt;0," OR ","")&amp;AC34,"")&amp;")")</x:f>
      </x:c>
      <x:c r="AE34" s="48" t="str">
        <x:f>IF($AD34="","",CHAR(123)&amp;CHAR(34)&amp;"label"&amp;CHAR(34)&amp;":"&amp;CHAR(34)&amp;$C34&amp;CHAR(34)&amp;","&amp;CHAR(34)&amp;"value"&amp;CHAR(34)&amp;":"&amp;CHAR(34)&amp;SUBSTITUTE($AD34,CHAR(34),CHAR(92)&amp;CHAR(34))&amp;CHAR(34)&amp;CHAR(125))</x:f>
      </x:c>
      <x:c r="AF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8" t="str">
        <x:f>IF(OR($A35&lt;&gt;"Yes",$C35="",COUNTA($E35:$AC35)=0),"","("&amp;IF(E35&lt;&gt;"",'Dashboard Config'!$B$6&amp;"="""&amp;E35&amp;"""","")&amp;IF(F35&lt;&gt;"",IF(COUNTA($E35:$E35)&gt;0," OR ","")&amp;'Dashboard Config'!$B$6&amp;"="""&amp;F35&amp;"""","")&amp;IF(G35&lt;&gt;"",IF(COUNTA($E35:$F35)&gt;0," OR ","")&amp;'Dashboard Config'!$B$6&amp;"="""&amp;G35&amp;"""","")&amp;IF(H35&lt;&gt;"",IF(COUNTA($E35:$G35)&gt;0," OR ","")&amp;'Dashboard Config'!$B$6&amp;"="""&amp;H35&amp;"""","")&amp;IF(I35&lt;&gt;"",IF(COUNTA($E35:$H35)&gt;0," OR ","")&amp;'Dashboard Config'!$B$6&amp;"="""&amp;I35&amp;"""","")&amp;IF(J35&lt;&gt;"",IF(COUNTA($E35:$I35)&gt;0," OR ","")&amp;'Dashboard Config'!$B$6&amp;"="""&amp;J35&amp;"""","")&amp;IF(K35&lt;&gt;"",IF(COUNTA($E35:$J35)&gt;0," OR ","")&amp;'Dashboard Config'!$B$6&amp;"="""&amp;K35&amp;"""","")&amp;IF(L35&lt;&gt;"",IF(COUNTA($E35:$K35)&gt;0," OR ","")&amp;'Dashboard Config'!$B$6&amp;"="""&amp;L35&amp;"""","")&amp;IF(M35&lt;&gt;"",IF(COUNTA($E35:$L35)&gt;0," OR ","")&amp;'Dashboard Config'!$B$7&amp;"="""&amp;M35&amp;"""","")&amp;IF(N35&lt;&gt;"",IF(COUNTA($E35:$M35)&gt;0," OR ","")&amp;'Dashboard Config'!$B$7&amp;"="""&amp;N35&amp;"""","")&amp;IF(O35&lt;&gt;"",IF(COUNTA($E35:$N35)&gt;0," OR ","")&amp;'Dashboard Config'!$B$7&amp;"="""&amp;O35&amp;"""","")&amp;IF(P35&lt;&gt;"",IF(COUNTA($E35:$O35)&gt;0," OR ","")&amp;'Dashboard Config'!$B$7&amp;"="""&amp;P35&amp;"""","")&amp;IF(Q35&lt;&gt;"",IF(COUNTA($E35:$P35)&gt;0," OR ","")&amp;'Dashboard Config'!$B$7&amp;"="""&amp;Q35&amp;"""","")&amp;IF(R35&lt;&gt;"",IF(COUNTA($E35:$Q35)&gt;0," OR ","")&amp;'Dashboard Config'!$B$7&amp;"="""&amp;R35&amp;"""","")&amp;IF(S35&lt;&gt;"",IF(COUNTA($E35:$R35)&gt;0," OR ","")&amp;'Dashboard Config'!$B$7&amp;"="""&amp;S35&amp;"""","")&amp;IF(T35&lt;&gt;"",IF(COUNTA($E35:$S35)&gt;0," OR ","")&amp;'Dashboard Config'!$B$7&amp;"="""&amp;T35&amp;"""","")&amp;IF(U35&lt;&gt;"",IF(COUNTA($E35:$T35)&gt;0," OR ","")&amp;'Dashboard Config'!$B$7&amp;"="""&amp;U35&amp;"""","")&amp;IF(V35&lt;&gt;"",IF(COUNTA($E35:$U35)&gt;0," OR ","")&amp;'Dashboard Config'!$B$7&amp;"="""&amp;V35&amp;"""","")&amp;IF(W35&lt;&gt;"",IF(COUNTA($E35:$V35)&gt;0," OR ","")&amp;'Dashboard Config'!$B$7&amp;"="""&amp;W35&amp;"""","")&amp;IF(X35&lt;&gt;"",IF(COUNTA($E35:$W35)&gt;0," OR ","")&amp;'Dashboard Config'!$B$7&amp;"="""&amp;X35&amp;"""","")&amp;IF(Y35&lt;&gt;"",IF(COUNTA($E35:$X35)&gt;0," OR ","")&amp;'Dashboard Config'!$B$7&amp;"="""&amp;Y35&amp;"""","")&amp;IF(Z35&lt;&gt;"",IF(COUNTA($E35:$Y35)&gt;0," OR ","")&amp;'Dashboard Config'!$B$7&amp;"="""&amp;Z35&amp;"""","")&amp;IF(AA35&lt;&gt;"",IF(COUNTA($E35:$Z35)&gt;0," OR ","")&amp;'Dashboard Config'!$B$7&amp;"="""&amp;AA35&amp;"""","")&amp;IF(AB35&lt;&gt;"",IF(COUNTA($E35:$AA35)&gt;0," OR ","")&amp;'Dashboard Config'!$B$7&amp;"="""&amp;AB35&amp;"""","")&amp;IF(AC35&lt;&gt;"",IF(COUNTA($E35:$AB35)&gt;0," OR ","")&amp;AC35,"")&amp;")")</x:f>
      </x:c>
      <x:c r="AE35" s="48" t="str">
        <x:f>IF($AD35="","",CHAR(123)&amp;CHAR(34)&amp;"label"&amp;CHAR(34)&amp;":"&amp;CHAR(34)&amp;$C35&amp;CHAR(34)&amp;","&amp;CHAR(34)&amp;"value"&amp;CHAR(34)&amp;":"&amp;CHAR(34)&amp;SUBSTITUTE($AD35,CHAR(34),CHAR(92)&amp;CHAR(34))&amp;CHAR(34)&amp;CHAR(125))</x:f>
      </x:c>
      <x:c r="AF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8" t="str">
        <x:f>IF(OR($A36&lt;&gt;"Yes",$C36="",COUNTA($E36:$AC36)=0),"","("&amp;IF(E36&lt;&gt;"",'Dashboard Config'!$B$6&amp;"="""&amp;E36&amp;"""","")&amp;IF(F36&lt;&gt;"",IF(COUNTA($E36:$E36)&gt;0," OR ","")&amp;'Dashboard Config'!$B$6&amp;"="""&amp;F36&amp;"""","")&amp;IF(G36&lt;&gt;"",IF(COUNTA($E36:$F36)&gt;0," OR ","")&amp;'Dashboard Config'!$B$6&amp;"="""&amp;G36&amp;"""","")&amp;IF(H36&lt;&gt;"",IF(COUNTA($E36:$G36)&gt;0," OR ","")&amp;'Dashboard Config'!$B$6&amp;"="""&amp;H36&amp;"""","")&amp;IF(I36&lt;&gt;"",IF(COUNTA($E36:$H36)&gt;0," OR ","")&amp;'Dashboard Config'!$B$6&amp;"="""&amp;I36&amp;"""","")&amp;IF(J36&lt;&gt;"",IF(COUNTA($E36:$I36)&gt;0," OR ","")&amp;'Dashboard Config'!$B$6&amp;"="""&amp;J36&amp;"""","")&amp;IF(K36&lt;&gt;"",IF(COUNTA($E36:$J36)&gt;0," OR ","")&amp;'Dashboard Config'!$B$6&amp;"="""&amp;K36&amp;"""","")&amp;IF(L36&lt;&gt;"",IF(COUNTA($E36:$K36)&gt;0," OR ","")&amp;'Dashboard Config'!$B$6&amp;"="""&amp;L36&amp;"""","")&amp;IF(M36&lt;&gt;"",IF(COUNTA($E36:$L36)&gt;0," OR ","")&amp;'Dashboard Config'!$B$7&amp;"="""&amp;M36&amp;"""","")&amp;IF(N36&lt;&gt;"",IF(COUNTA($E36:$M36)&gt;0," OR ","")&amp;'Dashboard Config'!$B$7&amp;"="""&amp;N36&amp;"""","")&amp;IF(O36&lt;&gt;"",IF(COUNTA($E36:$N36)&gt;0," OR ","")&amp;'Dashboard Config'!$B$7&amp;"="""&amp;O36&amp;"""","")&amp;IF(P36&lt;&gt;"",IF(COUNTA($E36:$O36)&gt;0," OR ","")&amp;'Dashboard Config'!$B$7&amp;"="""&amp;P36&amp;"""","")&amp;IF(Q36&lt;&gt;"",IF(COUNTA($E36:$P36)&gt;0," OR ","")&amp;'Dashboard Config'!$B$7&amp;"="""&amp;Q36&amp;"""","")&amp;IF(R36&lt;&gt;"",IF(COUNTA($E36:$Q36)&gt;0," OR ","")&amp;'Dashboard Config'!$B$7&amp;"="""&amp;R36&amp;"""","")&amp;IF(S36&lt;&gt;"",IF(COUNTA($E36:$R36)&gt;0," OR ","")&amp;'Dashboard Config'!$B$7&amp;"="""&amp;S36&amp;"""","")&amp;IF(T36&lt;&gt;"",IF(COUNTA($E36:$S36)&gt;0," OR ","")&amp;'Dashboard Config'!$B$7&amp;"="""&amp;T36&amp;"""","")&amp;IF(U36&lt;&gt;"",IF(COUNTA($E36:$T36)&gt;0," OR ","")&amp;'Dashboard Config'!$B$7&amp;"="""&amp;U36&amp;"""","")&amp;IF(V36&lt;&gt;"",IF(COUNTA($E36:$U36)&gt;0," OR ","")&amp;'Dashboard Config'!$B$7&amp;"="""&amp;V36&amp;"""","")&amp;IF(W36&lt;&gt;"",IF(COUNTA($E36:$V36)&gt;0," OR ","")&amp;'Dashboard Config'!$B$7&amp;"="""&amp;W36&amp;"""","")&amp;IF(X36&lt;&gt;"",IF(COUNTA($E36:$W36)&gt;0," OR ","")&amp;'Dashboard Config'!$B$7&amp;"="""&amp;X36&amp;"""","")&amp;IF(Y36&lt;&gt;"",IF(COUNTA($E36:$X36)&gt;0," OR ","")&amp;'Dashboard Config'!$B$7&amp;"="""&amp;Y36&amp;"""","")&amp;IF(Z36&lt;&gt;"",IF(COUNTA($E36:$Y36)&gt;0," OR ","")&amp;'Dashboard Config'!$B$7&amp;"="""&amp;Z36&amp;"""","")&amp;IF(AA36&lt;&gt;"",IF(COUNTA($E36:$Z36)&gt;0," OR ","")&amp;'Dashboard Config'!$B$7&amp;"="""&amp;AA36&amp;"""","")&amp;IF(AB36&lt;&gt;"",IF(COUNTA($E36:$AA36)&gt;0," OR ","")&amp;'Dashboard Config'!$B$7&amp;"="""&amp;AB36&amp;"""","")&amp;IF(AC36&lt;&gt;"",IF(COUNTA($E36:$AB36)&gt;0," OR ","")&amp;AC36,"")&amp;")")</x:f>
      </x:c>
      <x:c r="AE36" s="48" t="str">
        <x:f>IF($AD36="","",CHAR(123)&amp;CHAR(34)&amp;"label"&amp;CHAR(34)&amp;":"&amp;CHAR(34)&amp;$C36&amp;CHAR(34)&amp;","&amp;CHAR(34)&amp;"value"&amp;CHAR(34)&amp;":"&amp;CHAR(34)&amp;SUBSTITUTE($AD36,CHAR(34),CHAR(92)&amp;CHAR(34))&amp;CHAR(34)&amp;CHAR(125))</x:f>
      </x:c>
      <x:c r="AF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8" t="str">
        <x:f>IF(OR($A37&lt;&gt;"Yes",$C37="",COUNTA($E37:$AC37)=0),"","("&amp;IF(E37&lt;&gt;"",'Dashboard Config'!$B$6&amp;"="""&amp;E37&amp;"""","")&amp;IF(F37&lt;&gt;"",IF(COUNTA($E37:$E37)&gt;0," OR ","")&amp;'Dashboard Config'!$B$6&amp;"="""&amp;F37&amp;"""","")&amp;IF(G37&lt;&gt;"",IF(COUNTA($E37:$F37)&gt;0," OR ","")&amp;'Dashboard Config'!$B$6&amp;"="""&amp;G37&amp;"""","")&amp;IF(H37&lt;&gt;"",IF(COUNTA($E37:$G37)&gt;0," OR ","")&amp;'Dashboard Config'!$B$6&amp;"="""&amp;H37&amp;"""","")&amp;IF(I37&lt;&gt;"",IF(COUNTA($E37:$H37)&gt;0," OR ","")&amp;'Dashboard Config'!$B$6&amp;"="""&amp;I37&amp;"""","")&amp;IF(J37&lt;&gt;"",IF(COUNTA($E37:$I37)&gt;0," OR ","")&amp;'Dashboard Config'!$B$6&amp;"="""&amp;J37&amp;"""","")&amp;IF(K37&lt;&gt;"",IF(COUNTA($E37:$J37)&gt;0," OR ","")&amp;'Dashboard Config'!$B$6&amp;"="""&amp;K37&amp;"""","")&amp;IF(L37&lt;&gt;"",IF(COUNTA($E37:$K37)&gt;0," OR ","")&amp;'Dashboard Config'!$B$6&amp;"="""&amp;L37&amp;"""","")&amp;IF(M37&lt;&gt;"",IF(COUNTA($E37:$L37)&gt;0," OR ","")&amp;'Dashboard Config'!$B$7&amp;"="""&amp;M37&amp;"""","")&amp;IF(N37&lt;&gt;"",IF(COUNTA($E37:$M37)&gt;0," OR ","")&amp;'Dashboard Config'!$B$7&amp;"="""&amp;N37&amp;"""","")&amp;IF(O37&lt;&gt;"",IF(COUNTA($E37:$N37)&gt;0," OR ","")&amp;'Dashboard Config'!$B$7&amp;"="""&amp;O37&amp;"""","")&amp;IF(P37&lt;&gt;"",IF(COUNTA($E37:$O37)&gt;0," OR ","")&amp;'Dashboard Config'!$B$7&amp;"="""&amp;P37&amp;"""","")&amp;IF(Q37&lt;&gt;"",IF(COUNTA($E37:$P37)&gt;0," OR ","")&amp;'Dashboard Config'!$B$7&amp;"="""&amp;Q37&amp;"""","")&amp;IF(R37&lt;&gt;"",IF(COUNTA($E37:$Q37)&gt;0," OR ","")&amp;'Dashboard Config'!$B$7&amp;"="""&amp;R37&amp;"""","")&amp;IF(S37&lt;&gt;"",IF(COUNTA($E37:$R37)&gt;0," OR ","")&amp;'Dashboard Config'!$B$7&amp;"="""&amp;S37&amp;"""","")&amp;IF(T37&lt;&gt;"",IF(COUNTA($E37:$S37)&gt;0," OR ","")&amp;'Dashboard Config'!$B$7&amp;"="""&amp;T37&amp;"""","")&amp;IF(U37&lt;&gt;"",IF(COUNTA($E37:$T37)&gt;0," OR ","")&amp;'Dashboard Config'!$B$7&amp;"="""&amp;U37&amp;"""","")&amp;IF(V37&lt;&gt;"",IF(COUNTA($E37:$U37)&gt;0," OR ","")&amp;'Dashboard Config'!$B$7&amp;"="""&amp;V37&amp;"""","")&amp;IF(W37&lt;&gt;"",IF(COUNTA($E37:$V37)&gt;0," OR ","")&amp;'Dashboard Config'!$B$7&amp;"="""&amp;W37&amp;"""","")&amp;IF(X37&lt;&gt;"",IF(COUNTA($E37:$W37)&gt;0," OR ","")&amp;'Dashboard Config'!$B$7&amp;"="""&amp;X37&amp;"""","")&amp;IF(Y37&lt;&gt;"",IF(COUNTA($E37:$X37)&gt;0," OR ","")&amp;'Dashboard Config'!$B$7&amp;"="""&amp;Y37&amp;"""","")&amp;IF(Z37&lt;&gt;"",IF(COUNTA($E37:$Y37)&gt;0," OR ","")&amp;'Dashboard Config'!$B$7&amp;"="""&amp;Z37&amp;"""","")&amp;IF(AA37&lt;&gt;"",IF(COUNTA($E37:$Z37)&gt;0," OR ","")&amp;'Dashboard Config'!$B$7&amp;"="""&amp;AA37&amp;"""","")&amp;IF(AB37&lt;&gt;"",IF(COUNTA($E37:$AA37)&gt;0," OR ","")&amp;'Dashboard Config'!$B$7&amp;"="""&amp;AB37&amp;"""","")&amp;IF(AC37&lt;&gt;"",IF(COUNTA($E37:$AB37)&gt;0," OR ","")&amp;AC37,"")&amp;")")</x:f>
      </x:c>
      <x:c r="AE37" s="48" t="str">
        <x:f>IF($AD37="","",CHAR(123)&amp;CHAR(34)&amp;"label"&amp;CHAR(34)&amp;":"&amp;CHAR(34)&amp;$C37&amp;CHAR(34)&amp;","&amp;CHAR(34)&amp;"value"&amp;CHAR(34)&amp;":"&amp;CHAR(34)&amp;SUBSTITUTE($AD37,CHAR(34),CHAR(92)&amp;CHAR(34))&amp;CHAR(34)&amp;CHAR(125))</x:f>
      </x:c>
      <x:c r="AF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8" t="str">
        <x:f>IF(OR($A38&lt;&gt;"Yes",$C38="",COUNTA($E38:$AC38)=0),"","("&amp;IF(E38&lt;&gt;"",'Dashboard Config'!$B$6&amp;"="""&amp;E38&amp;"""","")&amp;IF(F38&lt;&gt;"",IF(COUNTA($E38:$E38)&gt;0," OR ","")&amp;'Dashboard Config'!$B$6&amp;"="""&amp;F38&amp;"""","")&amp;IF(G38&lt;&gt;"",IF(COUNTA($E38:$F38)&gt;0," OR ","")&amp;'Dashboard Config'!$B$6&amp;"="""&amp;G38&amp;"""","")&amp;IF(H38&lt;&gt;"",IF(COUNTA($E38:$G38)&gt;0," OR ","")&amp;'Dashboard Config'!$B$6&amp;"="""&amp;H38&amp;"""","")&amp;IF(I38&lt;&gt;"",IF(COUNTA($E38:$H38)&gt;0," OR ","")&amp;'Dashboard Config'!$B$6&amp;"="""&amp;I38&amp;"""","")&amp;IF(J38&lt;&gt;"",IF(COUNTA($E38:$I38)&gt;0," OR ","")&amp;'Dashboard Config'!$B$6&amp;"="""&amp;J38&amp;"""","")&amp;IF(K38&lt;&gt;"",IF(COUNTA($E38:$J38)&gt;0," OR ","")&amp;'Dashboard Config'!$B$6&amp;"="""&amp;K38&amp;"""","")&amp;IF(L38&lt;&gt;"",IF(COUNTA($E38:$K38)&gt;0," OR ","")&amp;'Dashboard Config'!$B$6&amp;"="""&amp;L38&amp;"""","")&amp;IF(M38&lt;&gt;"",IF(COUNTA($E38:$L38)&gt;0," OR ","")&amp;'Dashboard Config'!$B$7&amp;"="""&amp;M38&amp;"""","")&amp;IF(N38&lt;&gt;"",IF(COUNTA($E38:$M38)&gt;0," OR ","")&amp;'Dashboard Config'!$B$7&amp;"="""&amp;N38&amp;"""","")&amp;IF(O38&lt;&gt;"",IF(COUNTA($E38:$N38)&gt;0," OR ","")&amp;'Dashboard Config'!$B$7&amp;"="""&amp;O38&amp;"""","")&amp;IF(P38&lt;&gt;"",IF(COUNTA($E38:$O38)&gt;0," OR ","")&amp;'Dashboard Config'!$B$7&amp;"="""&amp;P38&amp;"""","")&amp;IF(Q38&lt;&gt;"",IF(COUNTA($E38:$P38)&gt;0," OR ","")&amp;'Dashboard Config'!$B$7&amp;"="""&amp;Q38&amp;"""","")&amp;IF(R38&lt;&gt;"",IF(COUNTA($E38:$Q38)&gt;0," OR ","")&amp;'Dashboard Config'!$B$7&amp;"="""&amp;R38&amp;"""","")&amp;IF(S38&lt;&gt;"",IF(COUNTA($E38:$R38)&gt;0," OR ","")&amp;'Dashboard Config'!$B$7&amp;"="""&amp;S38&amp;"""","")&amp;IF(T38&lt;&gt;"",IF(COUNTA($E38:$S38)&gt;0," OR ","")&amp;'Dashboard Config'!$B$7&amp;"="""&amp;T38&amp;"""","")&amp;IF(U38&lt;&gt;"",IF(COUNTA($E38:$T38)&gt;0," OR ","")&amp;'Dashboard Config'!$B$7&amp;"="""&amp;U38&amp;"""","")&amp;IF(V38&lt;&gt;"",IF(COUNTA($E38:$U38)&gt;0," OR ","")&amp;'Dashboard Config'!$B$7&amp;"="""&amp;V38&amp;"""","")&amp;IF(W38&lt;&gt;"",IF(COUNTA($E38:$V38)&gt;0," OR ","")&amp;'Dashboard Config'!$B$7&amp;"="""&amp;W38&amp;"""","")&amp;IF(X38&lt;&gt;"",IF(COUNTA($E38:$W38)&gt;0," OR ","")&amp;'Dashboard Config'!$B$7&amp;"="""&amp;X38&amp;"""","")&amp;IF(Y38&lt;&gt;"",IF(COUNTA($E38:$X38)&gt;0," OR ","")&amp;'Dashboard Config'!$B$7&amp;"="""&amp;Y38&amp;"""","")&amp;IF(Z38&lt;&gt;"",IF(COUNTA($E38:$Y38)&gt;0," OR ","")&amp;'Dashboard Config'!$B$7&amp;"="""&amp;Z38&amp;"""","")&amp;IF(AA38&lt;&gt;"",IF(COUNTA($E38:$Z38)&gt;0," OR ","")&amp;'Dashboard Config'!$B$7&amp;"="""&amp;AA38&amp;"""","")&amp;IF(AB38&lt;&gt;"",IF(COUNTA($E38:$AA38)&gt;0," OR ","")&amp;'Dashboard Config'!$B$7&amp;"="""&amp;AB38&amp;"""","")&amp;IF(AC38&lt;&gt;"",IF(COUNTA($E38:$AB38)&gt;0," OR ","")&amp;AC38,"")&amp;")")</x:f>
      </x:c>
      <x:c r="AE38" s="48" t="str">
        <x:f>IF($AD38="","",CHAR(123)&amp;CHAR(34)&amp;"label"&amp;CHAR(34)&amp;":"&amp;CHAR(34)&amp;$C38&amp;CHAR(34)&amp;","&amp;CHAR(34)&amp;"value"&amp;CHAR(34)&amp;":"&amp;CHAR(34)&amp;SUBSTITUTE($AD38,CHAR(34),CHAR(92)&amp;CHAR(34))&amp;CHAR(34)&amp;CHAR(125))</x:f>
      </x:c>
      <x:c r="AF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8" t="str">
        <x:f>IF(OR($A39&lt;&gt;"Yes",$C39="",COUNTA($E39:$AC39)=0),"","("&amp;IF(E39&lt;&gt;"",'Dashboard Config'!$B$6&amp;"="""&amp;E39&amp;"""","")&amp;IF(F39&lt;&gt;"",IF(COUNTA($E39:$E39)&gt;0," OR ","")&amp;'Dashboard Config'!$B$6&amp;"="""&amp;F39&amp;"""","")&amp;IF(G39&lt;&gt;"",IF(COUNTA($E39:$F39)&gt;0," OR ","")&amp;'Dashboard Config'!$B$6&amp;"="""&amp;G39&amp;"""","")&amp;IF(H39&lt;&gt;"",IF(COUNTA($E39:$G39)&gt;0," OR ","")&amp;'Dashboard Config'!$B$6&amp;"="""&amp;H39&amp;"""","")&amp;IF(I39&lt;&gt;"",IF(COUNTA($E39:$H39)&gt;0," OR ","")&amp;'Dashboard Config'!$B$6&amp;"="""&amp;I39&amp;"""","")&amp;IF(J39&lt;&gt;"",IF(COUNTA($E39:$I39)&gt;0," OR ","")&amp;'Dashboard Config'!$B$6&amp;"="""&amp;J39&amp;"""","")&amp;IF(K39&lt;&gt;"",IF(COUNTA($E39:$J39)&gt;0," OR ","")&amp;'Dashboard Config'!$B$6&amp;"="""&amp;K39&amp;"""","")&amp;IF(L39&lt;&gt;"",IF(COUNTA($E39:$K39)&gt;0," OR ","")&amp;'Dashboard Config'!$B$6&amp;"="""&amp;L39&amp;"""","")&amp;IF(M39&lt;&gt;"",IF(COUNTA($E39:$L39)&gt;0," OR ","")&amp;'Dashboard Config'!$B$7&amp;"="""&amp;M39&amp;"""","")&amp;IF(N39&lt;&gt;"",IF(COUNTA($E39:$M39)&gt;0," OR ","")&amp;'Dashboard Config'!$B$7&amp;"="""&amp;N39&amp;"""","")&amp;IF(O39&lt;&gt;"",IF(COUNTA($E39:$N39)&gt;0," OR ","")&amp;'Dashboard Config'!$B$7&amp;"="""&amp;O39&amp;"""","")&amp;IF(P39&lt;&gt;"",IF(COUNTA($E39:$O39)&gt;0," OR ","")&amp;'Dashboard Config'!$B$7&amp;"="""&amp;P39&amp;"""","")&amp;IF(Q39&lt;&gt;"",IF(COUNTA($E39:$P39)&gt;0," OR ","")&amp;'Dashboard Config'!$B$7&amp;"="""&amp;Q39&amp;"""","")&amp;IF(R39&lt;&gt;"",IF(COUNTA($E39:$Q39)&gt;0," OR ","")&amp;'Dashboard Config'!$B$7&amp;"="""&amp;R39&amp;"""","")&amp;IF(S39&lt;&gt;"",IF(COUNTA($E39:$R39)&gt;0," OR ","")&amp;'Dashboard Config'!$B$7&amp;"="""&amp;S39&amp;"""","")&amp;IF(T39&lt;&gt;"",IF(COUNTA($E39:$S39)&gt;0," OR ","")&amp;'Dashboard Config'!$B$7&amp;"="""&amp;T39&amp;"""","")&amp;IF(U39&lt;&gt;"",IF(COUNTA($E39:$T39)&gt;0," OR ","")&amp;'Dashboard Config'!$B$7&amp;"="""&amp;U39&amp;"""","")&amp;IF(V39&lt;&gt;"",IF(COUNTA($E39:$U39)&gt;0," OR ","")&amp;'Dashboard Config'!$B$7&amp;"="""&amp;V39&amp;"""","")&amp;IF(W39&lt;&gt;"",IF(COUNTA($E39:$V39)&gt;0," OR ","")&amp;'Dashboard Config'!$B$7&amp;"="""&amp;W39&amp;"""","")&amp;IF(X39&lt;&gt;"",IF(COUNTA($E39:$W39)&gt;0," OR ","")&amp;'Dashboard Config'!$B$7&amp;"="""&amp;X39&amp;"""","")&amp;IF(Y39&lt;&gt;"",IF(COUNTA($E39:$X39)&gt;0," OR ","")&amp;'Dashboard Config'!$B$7&amp;"="""&amp;Y39&amp;"""","")&amp;IF(Z39&lt;&gt;"",IF(COUNTA($E39:$Y39)&gt;0," OR ","")&amp;'Dashboard Config'!$B$7&amp;"="""&amp;Z39&amp;"""","")&amp;IF(AA39&lt;&gt;"",IF(COUNTA($E39:$Z39)&gt;0," OR ","")&amp;'Dashboard Config'!$B$7&amp;"="""&amp;AA39&amp;"""","")&amp;IF(AB39&lt;&gt;"",IF(COUNTA($E39:$AA39)&gt;0," OR ","")&amp;'Dashboard Config'!$B$7&amp;"="""&amp;AB39&amp;"""","")&amp;IF(AC39&lt;&gt;"",IF(COUNTA($E39:$AB39)&gt;0," OR ","")&amp;AC39,"")&amp;")")</x:f>
      </x:c>
      <x:c r="AE39" s="48" t="str">
        <x:f>IF($AD39="","",CHAR(123)&amp;CHAR(34)&amp;"label"&amp;CHAR(34)&amp;":"&amp;CHAR(34)&amp;$C39&amp;CHAR(34)&amp;","&amp;CHAR(34)&amp;"value"&amp;CHAR(34)&amp;":"&amp;CHAR(34)&amp;SUBSTITUTE($AD39,CHAR(34),CHAR(92)&amp;CHAR(34))&amp;CHAR(34)&amp;CHAR(125))</x:f>
      </x:c>
      <x:c r="AF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8" t="str">
        <x:f>IF(OR($A40&lt;&gt;"Yes",$C40="",COUNTA($E40:$AC40)=0),"","("&amp;IF(E40&lt;&gt;"",'Dashboard Config'!$B$6&amp;"="""&amp;E40&amp;"""","")&amp;IF(F40&lt;&gt;"",IF(COUNTA($E40:$E40)&gt;0," OR ","")&amp;'Dashboard Config'!$B$6&amp;"="""&amp;F40&amp;"""","")&amp;IF(G40&lt;&gt;"",IF(COUNTA($E40:$F40)&gt;0," OR ","")&amp;'Dashboard Config'!$B$6&amp;"="""&amp;G40&amp;"""","")&amp;IF(H40&lt;&gt;"",IF(COUNTA($E40:$G40)&gt;0," OR ","")&amp;'Dashboard Config'!$B$6&amp;"="""&amp;H40&amp;"""","")&amp;IF(I40&lt;&gt;"",IF(COUNTA($E40:$H40)&gt;0," OR ","")&amp;'Dashboard Config'!$B$6&amp;"="""&amp;I40&amp;"""","")&amp;IF(J40&lt;&gt;"",IF(COUNTA($E40:$I40)&gt;0," OR ","")&amp;'Dashboard Config'!$B$6&amp;"="""&amp;J40&amp;"""","")&amp;IF(K40&lt;&gt;"",IF(COUNTA($E40:$J40)&gt;0," OR ","")&amp;'Dashboard Config'!$B$6&amp;"="""&amp;K40&amp;"""","")&amp;IF(L40&lt;&gt;"",IF(COUNTA($E40:$K40)&gt;0," OR ","")&amp;'Dashboard Config'!$B$6&amp;"="""&amp;L40&amp;"""","")&amp;IF(M40&lt;&gt;"",IF(COUNTA($E40:$L40)&gt;0," OR ","")&amp;'Dashboard Config'!$B$7&amp;"="""&amp;M40&amp;"""","")&amp;IF(N40&lt;&gt;"",IF(COUNTA($E40:$M40)&gt;0," OR ","")&amp;'Dashboard Config'!$B$7&amp;"="""&amp;N40&amp;"""","")&amp;IF(O40&lt;&gt;"",IF(COUNTA($E40:$N40)&gt;0," OR ","")&amp;'Dashboard Config'!$B$7&amp;"="""&amp;O40&amp;"""","")&amp;IF(P40&lt;&gt;"",IF(COUNTA($E40:$O40)&gt;0," OR ","")&amp;'Dashboard Config'!$B$7&amp;"="""&amp;P40&amp;"""","")&amp;IF(Q40&lt;&gt;"",IF(COUNTA($E40:$P40)&gt;0," OR ","")&amp;'Dashboard Config'!$B$7&amp;"="""&amp;Q40&amp;"""","")&amp;IF(R40&lt;&gt;"",IF(COUNTA($E40:$Q40)&gt;0," OR ","")&amp;'Dashboard Config'!$B$7&amp;"="""&amp;R40&amp;"""","")&amp;IF(S40&lt;&gt;"",IF(COUNTA($E40:$R40)&gt;0," OR ","")&amp;'Dashboard Config'!$B$7&amp;"="""&amp;S40&amp;"""","")&amp;IF(T40&lt;&gt;"",IF(COUNTA($E40:$S40)&gt;0," OR ","")&amp;'Dashboard Config'!$B$7&amp;"="""&amp;T40&amp;"""","")&amp;IF(U40&lt;&gt;"",IF(COUNTA($E40:$T40)&gt;0," OR ","")&amp;'Dashboard Config'!$B$7&amp;"="""&amp;U40&amp;"""","")&amp;IF(V40&lt;&gt;"",IF(COUNTA($E40:$U40)&gt;0," OR ","")&amp;'Dashboard Config'!$B$7&amp;"="""&amp;V40&amp;"""","")&amp;IF(W40&lt;&gt;"",IF(COUNTA($E40:$V40)&gt;0," OR ","")&amp;'Dashboard Config'!$B$7&amp;"="""&amp;W40&amp;"""","")&amp;IF(X40&lt;&gt;"",IF(COUNTA($E40:$W40)&gt;0," OR ","")&amp;'Dashboard Config'!$B$7&amp;"="""&amp;X40&amp;"""","")&amp;IF(Y40&lt;&gt;"",IF(COUNTA($E40:$X40)&gt;0," OR ","")&amp;'Dashboard Config'!$B$7&amp;"="""&amp;Y40&amp;"""","")&amp;IF(Z40&lt;&gt;"",IF(COUNTA($E40:$Y40)&gt;0," OR ","")&amp;'Dashboard Config'!$B$7&amp;"="""&amp;Z40&amp;"""","")&amp;IF(AA40&lt;&gt;"",IF(COUNTA($E40:$Z40)&gt;0," OR ","")&amp;'Dashboard Config'!$B$7&amp;"="""&amp;AA40&amp;"""","")&amp;IF(AB40&lt;&gt;"",IF(COUNTA($E40:$AA40)&gt;0," OR ","")&amp;'Dashboard Config'!$B$7&amp;"="""&amp;AB40&amp;"""","")&amp;IF(AC40&lt;&gt;"",IF(COUNTA($E40:$AB40)&gt;0," OR ","")&amp;AC40,"")&amp;")")</x:f>
      </x:c>
      <x:c r="AE40" s="48" t="str">
        <x:f>IF($AD40="","",CHAR(123)&amp;CHAR(34)&amp;"label"&amp;CHAR(34)&amp;":"&amp;CHAR(34)&amp;$C40&amp;CHAR(34)&amp;","&amp;CHAR(34)&amp;"value"&amp;CHAR(34)&amp;":"&amp;CHAR(34)&amp;SUBSTITUTE($AD40,CHAR(34),CHAR(92)&amp;CHAR(34))&amp;CHAR(34)&amp;CHAR(125))</x:f>
      </x:c>
      <x:c r="AF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8" t="str">
        <x:f>IF(OR($A41&lt;&gt;"Yes",$C41="",COUNTA($E41:$AC41)=0),"","("&amp;IF(E41&lt;&gt;"",'Dashboard Config'!$B$6&amp;"="""&amp;E41&amp;"""","")&amp;IF(F41&lt;&gt;"",IF(COUNTA($E41:$E41)&gt;0," OR ","")&amp;'Dashboard Config'!$B$6&amp;"="""&amp;F41&amp;"""","")&amp;IF(G41&lt;&gt;"",IF(COUNTA($E41:$F41)&gt;0," OR ","")&amp;'Dashboard Config'!$B$6&amp;"="""&amp;G41&amp;"""","")&amp;IF(H41&lt;&gt;"",IF(COUNTA($E41:$G41)&gt;0," OR ","")&amp;'Dashboard Config'!$B$6&amp;"="""&amp;H41&amp;"""","")&amp;IF(I41&lt;&gt;"",IF(COUNTA($E41:$H41)&gt;0," OR ","")&amp;'Dashboard Config'!$B$6&amp;"="""&amp;I41&amp;"""","")&amp;IF(J41&lt;&gt;"",IF(COUNTA($E41:$I41)&gt;0," OR ","")&amp;'Dashboard Config'!$B$6&amp;"="""&amp;J41&amp;"""","")&amp;IF(K41&lt;&gt;"",IF(COUNTA($E41:$J41)&gt;0," OR ","")&amp;'Dashboard Config'!$B$6&amp;"="""&amp;K41&amp;"""","")&amp;IF(L41&lt;&gt;"",IF(COUNTA($E41:$K41)&gt;0," OR ","")&amp;'Dashboard Config'!$B$6&amp;"="""&amp;L41&amp;"""","")&amp;IF(M41&lt;&gt;"",IF(COUNTA($E41:$L41)&gt;0," OR ","")&amp;'Dashboard Config'!$B$7&amp;"="""&amp;M41&amp;"""","")&amp;IF(N41&lt;&gt;"",IF(COUNTA($E41:$M41)&gt;0," OR ","")&amp;'Dashboard Config'!$B$7&amp;"="""&amp;N41&amp;"""","")&amp;IF(O41&lt;&gt;"",IF(COUNTA($E41:$N41)&gt;0," OR ","")&amp;'Dashboard Config'!$B$7&amp;"="""&amp;O41&amp;"""","")&amp;IF(P41&lt;&gt;"",IF(COUNTA($E41:$O41)&gt;0," OR ","")&amp;'Dashboard Config'!$B$7&amp;"="""&amp;P41&amp;"""","")&amp;IF(Q41&lt;&gt;"",IF(COUNTA($E41:$P41)&gt;0," OR ","")&amp;'Dashboard Config'!$B$7&amp;"="""&amp;Q41&amp;"""","")&amp;IF(R41&lt;&gt;"",IF(COUNTA($E41:$Q41)&gt;0," OR ","")&amp;'Dashboard Config'!$B$7&amp;"="""&amp;R41&amp;"""","")&amp;IF(S41&lt;&gt;"",IF(COUNTA($E41:$R41)&gt;0," OR ","")&amp;'Dashboard Config'!$B$7&amp;"="""&amp;S41&amp;"""","")&amp;IF(T41&lt;&gt;"",IF(COUNTA($E41:$S41)&gt;0," OR ","")&amp;'Dashboard Config'!$B$7&amp;"="""&amp;T41&amp;"""","")&amp;IF(U41&lt;&gt;"",IF(COUNTA($E41:$T41)&gt;0," OR ","")&amp;'Dashboard Config'!$B$7&amp;"="""&amp;U41&amp;"""","")&amp;IF(V41&lt;&gt;"",IF(COUNTA($E41:$U41)&gt;0," OR ","")&amp;'Dashboard Config'!$B$7&amp;"="""&amp;V41&amp;"""","")&amp;IF(W41&lt;&gt;"",IF(COUNTA($E41:$V41)&gt;0," OR ","")&amp;'Dashboard Config'!$B$7&amp;"="""&amp;W41&amp;"""","")&amp;IF(X41&lt;&gt;"",IF(COUNTA($E41:$W41)&gt;0," OR ","")&amp;'Dashboard Config'!$B$7&amp;"="""&amp;X41&amp;"""","")&amp;IF(Y41&lt;&gt;"",IF(COUNTA($E41:$X41)&gt;0," OR ","")&amp;'Dashboard Config'!$B$7&amp;"="""&amp;Y41&amp;"""","")&amp;IF(Z41&lt;&gt;"",IF(COUNTA($E41:$Y41)&gt;0," OR ","")&amp;'Dashboard Config'!$B$7&amp;"="""&amp;Z41&amp;"""","")&amp;IF(AA41&lt;&gt;"",IF(COUNTA($E41:$Z41)&gt;0," OR ","")&amp;'Dashboard Config'!$B$7&amp;"="""&amp;AA41&amp;"""","")&amp;IF(AB41&lt;&gt;"",IF(COUNTA($E41:$AA41)&gt;0," OR ","")&amp;'Dashboard Config'!$B$7&amp;"="""&amp;AB41&amp;"""","")&amp;IF(AC41&lt;&gt;"",IF(COUNTA($E41:$AB41)&gt;0," OR ","")&amp;AC41,"")&amp;")")</x:f>
      </x:c>
      <x:c r="AE41" s="48" t="str">
        <x:f>IF($AD41="","",CHAR(123)&amp;CHAR(34)&amp;"label"&amp;CHAR(34)&amp;":"&amp;CHAR(34)&amp;$C41&amp;CHAR(34)&amp;","&amp;CHAR(34)&amp;"value"&amp;CHAR(34)&amp;":"&amp;CHAR(34)&amp;SUBSTITUTE($AD41,CHAR(34),CHAR(92)&amp;CHAR(34))&amp;CHAR(34)&amp;CHAR(125))</x:f>
      </x:c>
      <x:c r="AF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8" t="str">
        <x:f>IF(OR($A42&lt;&gt;"Yes",$C42="",COUNTA($E42:$AC42)=0),"","("&amp;IF(E42&lt;&gt;"",'Dashboard Config'!$B$6&amp;"="""&amp;E42&amp;"""","")&amp;IF(F42&lt;&gt;"",IF(COUNTA($E42:$E42)&gt;0," OR ","")&amp;'Dashboard Config'!$B$6&amp;"="""&amp;F42&amp;"""","")&amp;IF(G42&lt;&gt;"",IF(COUNTA($E42:$F42)&gt;0," OR ","")&amp;'Dashboard Config'!$B$6&amp;"="""&amp;G42&amp;"""","")&amp;IF(H42&lt;&gt;"",IF(COUNTA($E42:$G42)&gt;0," OR ","")&amp;'Dashboard Config'!$B$6&amp;"="""&amp;H42&amp;"""","")&amp;IF(I42&lt;&gt;"",IF(COUNTA($E42:$H42)&gt;0," OR ","")&amp;'Dashboard Config'!$B$6&amp;"="""&amp;I42&amp;"""","")&amp;IF(J42&lt;&gt;"",IF(COUNTA($E42:$I42)&gt;0," OR ","")&amp;'Dashboard Config'!$B$6&amp;"="""&amp;J42&amp;"""","")&amp;IF(K42&lt;&gt;"",IF(COUNTA($E42:$J42)&gt;0," OR ","")&amp;'Dashboard Config'!$B$6&amp;"="""&amp;K42&amp;"""","")&amp;IF(L42&lt;&gt;"",IF(COUNTA($E42:$K42)&gt;0," OR ","")&amp;'Dashboard Config'!$B$6&amp;"="""&amp;L42&amp;"""","")&amp;IF(M42&lt;&gt;"",IF(COUNTA($E42:$L42)&gt;0," OR ","")&amp;'Dashboard Config'!$B$7&amp;"="""&amp;M42&amp;"""","")&amp;IF(N42&lt;&gt;"",IF(COUNTA($E42:$M42)&gt;0," OR ","")&amp;'Dashboard Config'!$B$7&amp;"="""&amp;N42&amp;"""","")&amp;IF(O42&lt;&gt;"",IF(COUNTA($E42:$N42)&gt;0," OR ","")&amp;'Dashboard Config'!$B$7&amp;"="""&amp;O42&amp;"""","")&amp;IF(P42&lt;&gt;"",IF(COUNTA($E42:$O42)&gt;0," OR ","")&amp;'Dashboard Config'!$B$7&amp;"="""&amp;P42&amp;"""","")&amp;IF(Q42&lt;&gt;"",IF(COUNTA($E42:$P42)&gt;0," OR ","")&amp;'Dashboard Config'!$B$7&amp;"="""&amp;Q42&amp;"""","")&amp;IF(R42&lt;&gt;"",IF(COUNTA($E42:$Q42)&gt;0," OR ","")&amp;'Dashboard Config'!$B$7&amp;"="""&amp;R42&amp;"""","")&amp;IF(S42&lt;&gt;"",IF(COUNTA($E42:$R42)&gt;0," OR ","")&amp;'Dashboard Config'!$B$7&amp;"="""&amp;S42&amp;"""","")&amp;IF(T42&lt;&gt;"",IF(COUNTA($E42:$S42)&gt;0," OR ","")&amp;'Dashboard Config'!$B$7&amp;"="""&amp;T42&amp;"""","")&amp;IF(U42&lt;&gt;"",IF(COUNTA($E42:$T42)&gt;0," OR ","")&amp;'Dashboard Config'!$B$7&amp;"="""&amp;U42&amp;"""","")&amp;IF(V42&lt;&gt;"",IF(COUNTA($E42:$U42)&gt;0," OR ","")&amp;'Dashboard Config'!$B$7&amp;"="""&amp;V42&amp;"""","")&amp;IF(W42&lt;&gt;"",IF(COUNTA($E42:$V42)&gt;0," OR ","")&amp;'Dashboard Config'!$B$7&amp;"="""&amp;W42&amp;"""","")&amp;IF(X42&lt;&gt;"",IF(COUNTA($E42:$W42)&gt;0," OR ","")&amp;'Dashboard Config'!$B$7&amp;"="""&amp;X42&amp;"""","")&amp;IF(Y42&lt;&gt;"",IF(COUNTA($E42:$X42)&gt;0," OR ","")&amp;'Dashboard Config'!$B$7&amp;"="""&amp;Y42&amp;"""","")&amp;IF(Z42&lt;&gt;"",IF(COUNTA($E42:$Y42)&gt;0," OR ","")&amp;'Dashboard Config'!$B$7&amp;"="""&amp;Z42&amp;"""","")&amp;IF(AA42&lt;&gt;"",IF(COUNTA($E42:$Z42)&gt;0," OR ","")&amp;'Dashboard Config'!$B$7&amp;"="""&amp;AA42&amp;"""","")&amp;IF(AB42&lt;&gt;"",IF(COUNTA($E42:$AA42)&gt;0," OR ","")&amp;'Dashboard Config'!$B$7&amp;"="""&amp;AB42&amp;"""","")&amp;IF(AC42&lt;&gt;"",IF(COUNTA($E42:$AB42)&gt;0," OR ","")&amp;AC42,"")&amp;")")</x:f>
      </x:c>
      <x:c r="AE42" s="48" t="str">
        <x:f>IF($AD42="","",CHAR(123)&amp;CHAR(34)&amp;"label"&amp;CHAR(34)&amp;":"&amp;CHAR(34)&amp;$C42&amp;CHAR(34)&amp;","&amp;CHAR(34)&amp;"value"&amp;CHAR(34)&amp;":"&amp;CHAR(34)&amp;SUBSTITUTE($AD42,CHAR(34),CHAR(92)&amp;CHAR(34))&amp;CHAR(34)&amp;CHAR(125))</x:f>
      </x:c>
      <x:c r="AF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8" t="str">
        <x:f>IF(OR($A43&lt;&gt;"Yes",$C43="",COUNTA($E43:$AC43)=0),"","("&amp;IF(E43&lt;&gt;"",'Dashboard Config'!$B$6&amp;"="""&amp;E43&amp;"""","")&amp;IF(F43&lt;&gt;"",IF(COUNTA($E43:$E43)&gt;0," OR ","")&amp;'Dashboard Config'!$B$6&amp;"="""&amp;F43&amp;"""","")&amp;IF(G43&lt;&gt;"",IF(COUNTA($E43:$F43)&gt;0," OR ","")&amp;'Dashboard Config'!$B$6&amp;"="""&amp;G43&amp;"""","")&amp;IF(H43&lt;&gt;"",IF(COUNTA($E43:$G43)&gt;0," OR ","")&amp;'Dashboard Config'!$B$6&amp;"="""&amp;H43&amp;"""","")&amp;IF(I43&lt;&gt;"",IF(COUNTA($E43:$H43)&gt;0," OR ","")&amp;'Dashboard Config'!$B$6&amp;"="""&amp;I43&amp;"""","")&amp;IF(J43&lt;&gt;"",IF(COUNTA($E43:$I43)&gt;0," OR ","")&amp;'Dashboard Config'!$B$6&amp;"="""&amp;J43&amp;"""","")&amp;IF(K43&lt;&gt;"",IF(COUNTA($E43:$J43)&gt;0," OR ","")&amp;'Dashboard Config'!$B$6&amp;"="""&amp;K43&amp;"""","")&amp;IF(L43&lt;&gt;"",IF(COUNTA($E43:$K43)&gt;0," OR ","")&amp;'Dashboard Config'!$B$6&amp;"="""&amp;L43&amp;"""","")&amp;IF(M43&lt;&gt;"",IF(COUNTA($E43:$L43)&gt;0," OR ","")&amp;'Dashboard Config'!$B$7&amp;"="""&amp;M43&amp;"""","")&amp;IF(N43&lt;&gt;"",IF(COUNTA($E43:$M43)&gt;0," OR ","")&amp;'Dashboard Config'!$B$7&amp;"="""&amp;N43&amp;"""","")&amp;IF(O43&lt;&gt;"",IF(COUNTA($E43:$N43)&gt;0," OR ","")&amp;'Dashboard Config'!$B$7&amp;"="""&amp;O43&amp;"""","")&amp;IF(P43&lt;&gt;"",IF(COUNTA($E43:$O43)&gt;0," OR ","")&amp;'Dashboard Config'!$B$7&amp;"="""&amp;P43&amp;"""","")&amp;IF(Q43&lt;&gt;"",IF(COUNTA($E43:$P43)&gt;0," OR ","")&amp;'Dashboard Config'!$B$7&amp;"="""&amp;Q43&amp;"""","")&amp;IF(R43&lt;&gt;"",IF(COUNTA($E43:$Q43)&gt;0," OR ","")&amp;'Dashboard Config'!$B$7&amp;"="""&amp;R43&amp;"""","")&amp;IF(S43&lt;&gt;"",IF(COUNTA($E43:$R43)&gt;0," OR ","")&amp;'Dashboard Config'!$B$7&amp;"="""&amp;S43&amp;"""","")&amp;IF(T43&lt;&gt;"",IF(COUNTA($E43:$S43)&gt;0," OR ","")&amp;'Dashboard Config'!$B$7&amp;"="""&amp;T43&amp;"""","")&amp;IF(U43&lt;&gt;"",IF(COUNTA($E43:$T43)&gt;0," OR ","")&amp;'Dashboard Config'!$B$7&amp;"="""&amp;U43&amp;"""","")&amp;IF(V43&lt;&gt;"",IF(COUNTA($E43:$U43)&gt;0," OR ","")&amp;'Dashboard Config'!$B$7&amp;"="""&amp;V43&amp;"""","")&amp;IF(W43&lt;&gt;"",IF(COUNTA($E43:$V43)&gt;0," OR ","")&amp;'Dashboard Config'!$B$7&amp;"="""&amp;W43&amp;"""","")&amp;IF(X43&lt;&gt;"",IF(COUNTA($E43:$W43)&gt;0," OR ","")&amp;'Dashboard Config'!$B$7&amp;"="""&amp;X43&amp;"""","")&amp;IF(Y43&lt;&gt;"",IF(COUNTA($E43:$X43)&gt;0," OR ","")&amp;'Dashboard Config'!$B$7&amp;"="""&amp;Y43&amp;"""","")&amp;IF(Z43&lt;&gt;"",IF(COUNTA($E43:$Y43)&gt;0," OR ","")&amp;'Dashboard Config'!$B$7&amp;"="""&amp;Z43&amp;"""","")&amp;IF(AA43&lt;&gt;"",IF(COUNTA($E43:$Z43)&gt;0," OR ","")&amp;'Dashboard Config'!$B$7&amp;"="""&amp;AA43&amp;"""","")&amp;IF(AB43&lt;&gt;"",IF(COUNTA($E43:$AA43)&gt;0," OR ","")&amp;'Dashboard Config'!$B$7&amp;"="""&amp;AB43&amp;"""","")&amp;IF(AC43&lt;&gt;"",IF(COUNTA($E43:$AB43)&gt;0," OR ","")&amp;AC43,"")&amp;")")</x:f>
      </x:c>
      <x:c r="AE43" s="48" t="str">
        <x:f>IF($AD43="","",CHAR(123)&amp;CHAR(34)&amp;"label"&amp;CHAR(34)&amp;":"&amp;CHAR(34)&amp;$C43&amp;CHAR(34)&amp;","&amp;CHAR(34)&amp;"value"&amp;CHAR(34)&amp;":"&amp;CHAR(34)&amp;SUBSTITUTE($AD43,CHAR(34),CHAR(92)&amp;CHAR(34))&amp;CHAR(34)&amp;CHAR(125))</x:f>
      </x:c>
      <x:c r="AF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8" t="str">
        <x:f>IF(OR($A44&lt;&gt;"Yes",$C44="",COUNTA($E44:$AC44)=0),"","("&amp;IF(E44&lt;&gt;"",'Dashboard Config'!$B$6&amp;"="""&amp;E44&amp;"""","")&amp;IF(F44&lt;&gt;"",IF(COUNTA($E44:$E44)&gt;0," OR ","")&amp;'Dashboard Config'!$B$6&amp;"="""&amp;F44&amp;"""","")&amp;IF(G44&lt;&gt;"",IF(COUNTA($E44:$F44)&gt;0," OR ","")&amp;'Dashboard Config'!$B$6&amp;"="""&amp;G44&amp;"""","")&amp;IF(H44&lt;&gt;"",IF(COUNTA($E44:$G44)&gt;0," OR ","")&amp;'Dashboard Config'!$B$6&amp;"="""&amp;H44&amp;"""","")&amp;IF(I44&lt;&gt;"",IF(COUNTA($E44:$H44)&gt;0," OR ","")&amp;'Dashboard Config'!$B$6&amp;"="""&amp;I44&amp;"""","")&amp;IF(J44&lt;&gt;"",IF(COUNTA($E44:$I44)&gt;0," OR ","")&amp;'Dashboard Config'!$B$6&amp;"="""&amp;J44&amp;"""","")&amp;IF(K44&lt;&gt;"",IF(COUNTA($E44:$J44)&gt;0," OR ","")&amp;'Dashboard Config'!$B$6&amp;"="""&amp;K44&amp;"""","")&amp;IF(L44&lt;&gt;"",IF(COUNTA($E44:$K44)&gt;0," OR ","")&amp;'Dashboard Config'!$B$6&amp;"="""&amp;L44&amp;"""","")&amp;IF(M44&lt;&gt;"",IF(COUNTA($E44:$L44)&gt;0," OR ","")&amp;'Dashboard Config'!$B$7&amp;"="""&amp;M44&amp;"""","")&amp;IF(N44&lt;&gt;"",IF(COUNTA($E44:$M44)&gt;0," OR ","")&amp;'Dashboard Config'!$B$7&amp;"="""&amp;N44&amp;"""","")&amp;IF(O44&lt;&gt;"",IF(COUNTA($E44:$N44)&gt;0," OR ","")&amp;'Dashboard Config'!$B$7&amp;"="""&amp;O44&amp;"""","")&amp;IF(P44&lt;&gt;"",IF(COUNTA($E44:$O44)&gt;0," OR ","")&amp;'Dashboard Config'!$B$7&amp;"="""&amp;P44&amp;"""","")&amp;IF(Q44&lt;&gt;"",IF(COUNTA($E44:$P44)&gt;0," OR ","")&amp;'Dashboard Config'!$B$7&amp;"="""&amp;Q44&amp;"""","")&amp;IF(R44&lt;&gt;"",IF(COUNTA($E44:$Q44)&gt;0," OR ","")&amp;'Dashboard Config'!$B$7&amp;"="""&amp;R44&amp;"""","")&amp;IF(S44&lt;&gt;"",IF(COUNTA($E44:$R44)&gt;0," OR ","")&amp;'Dashboard Config'!$B$7&amp;"="""&amp;S44&amp;"""","")&amp;IF(T44&lt;&gt;"",IF(COUNTA($E44:$S44)&gt;0," OR ","")&amp;'Dashboard Config'!$B$7&amp;"="""&amp;T44&amp;"""","")&amp;IF(U44&lt;&gt;"",IF(COUNTA($E44:$T44)&gt;0," OR ","")&amp;'Dashboard Config'!$B$7&amp;"="""&amp;U44&amp;"""","")&amp;IF(V44&lt;&gt;"",IF(COUNTA($E44:$U44)&gt;0," OR ","")&amp;'Dashboard Config'!$B$7&amp;"="""&amp;V44&amp;"""","")&amp;IF(W44&lt;&gt;"",IF(COUNTA($E44:$V44)&gt;0," OR ","")&amp;'Dashboard Config'!$B$7&amp;"="""&amp;W44&amp;"""","")&amp;IF(X44&lt;&gt;"",IF(COUNTA($E44:$W44)&gt;0," OR ","")&amp;'Dashboard Config'!$B$7&amp;"="""&amp;X44&amp;"""","")&amp;IF(Y44&lt;&gt;"",IF(COUNTA($E44:$X44)&gt;0," OR ","")&amp;'Dashboard Config'!$B$7&amp;"="""&amp;Y44&amp;"""","")&amp;IF(Z44&lt;&gt;"",IF(COUNTA($E44:$Y44)&gt;0," OR ","")&amp;'Dashboard Config'!$B$7&amp;"="""&amp;Z44&amp;"""","")&amp;IF(AA44&lt;&gt;"",IF(COUNTA($E44:$Z44)&gt;0," OR ","")&amp;'Dashboard Config'!$B$7&amp;"="""&amp;AA44&amp;"""","")&amp;IF(AB44&lt;&gt;"",IF(COUNTA($E44:$AA44)&gt;0," OR ","")&amp;'Dashboard Config'!$B$7&amp;"="""&amp;AB44&amp;"""","")&amp;IF(AC44&lt;&gt;"",IF(COUNTA($E44:$AB44)&gt;0," OR ","")&amp;AC44,"")&amp;")")</x:f>
      </x:c>
      <x:c r="AE44" s="48" t="str">
        <x:f>IF($AD44="","",CHAR(123)&amp;CHAR(34)&amp;"label"&amp;CHAR(34)&amp;":"&amp;CHAR(34)&amp;$C44&amp;CHAR(34)&amp;","&amp;CHAR(34)&amp;"value"&amp;CHAR(34)&amp;":"&amp;CHAR(34)&amp;SUBSTITUTE($AD44,CHAR(34),CHAR(92)&amp;CHAR(34))&amp;CHAR(34)&amp;CHAR(125))</x:f>
      </x:c>
      <x:c r="AF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8" t="str">
        <x:f>IF(OR($A45&lt;&gt;"Yes",$C45="",COUNTA($E45:$AC45)=0),"","("&amp;IF(E45&lt;&gt;"",'Dashboard Config'!$B$6&amp;"="""&amp;E45&amp;"""","")&amp;IF(F45&lt;&gt;"",IF(COUNTA($E45:$E45)&gt;0," OR ","")&amp;'Dashboard Config'!$B$6&amp;"="""&amp;F45&amp;"""","")&amp;IF(G45&lt;&gt;"",IF(COUNTA($E45:$F45)&gt;0," OR ","")&amp;'Dashboard Config'!$B$6&amp;"="""&amp;G45&amp;"""","")&amp;IF(H45&lt;&gt;"",IF(COUNTA($E45:$G45)&gt;0," OR ","")&amp;'Dashboard Config'!$B$6&amp;"="""&amp;H45&amp;"""","")&amp;IF(I45&lt;&gt;"",IF(COUNTA($E45:$H45)&gt;0," OR ","")&amp;'Dashboard Config'!$B$6&amp;"="""&amp;I45&amp;"""","")&amp;IF(J45&lt;&gt;"",IF(COUNTA($E45:$I45)&gt;0," OR ","")&amp;'Dashboard Config'!$B$6&amp;"="""&amp;J45&amp;"""","")&amp;IF(K45&lt;&gt;"",IF(COUNTA($E45:$J45)&gt;0," OR ","")&amp;'Dashboard Config'!$B$6&amp;"="""&amp;K45&amp;"""","")&amp;IF(L45&lt;&gt;"",IF(COUNTA($E45:$K45)&gt;0," OR ","")&amp;'Dashboard Config'!$B$6&amp;"="""&amp;L45&amp;"""","")&amp;IF(M45&lt;&gt;"",IF(COUNTA($E45:$L45)&gt;0," OR ","")&amp;'Dashboard Config'!$B$7&amp;"="""&amp;M45&amp;"""","")&amp;IF(N45&lt;&gt;"",IF(COUNTA($E45:$M45)&gt;0," OR ","")&amp;'Dashboard Config'!$B$7&amp;"="""&amp;N45&amp;"""","")&amp;IF(O45&lt;&gt;"",IF(COUNTA($E45:$N45)&gt;0," OR ","")&amp;'Dashboard Config'!$B$7&amp;"="""&amp;O45&amp;"""","")&amp;IF(P45&lt;&gt;"",IF(COUNTA($E45:$O45)&gt;0," OR ","")&amp;'Dashboard Config'!$B$7&amp;"="""&amp;P45&amp;"""","")&amp;IF(Q45&lt;&gt;"",IF(COUNTA($E45:$P45)&gt;0," OR ","")&amp;'Dashboard Config'!$B$7&amp;"="""&amp;Q45&amp;"""","")&amp;IF(R45&lt;&gt;"",IF(COUNTA($E45:$Q45)&gt;0," OR ","")&amp;'Dashboard Config'!$B$7&amp;"="""&amp;R45&amp;"""","")&amp;IF(S45&lt;&gt;"",IF(COUNTA($E45:$R45)&gt;0," OR ","")&amp;'Dashboard Config'!$B$7&amp;"="""&amp;S45&amp;"""","")&amp;IF(T45&lt;&gt;"",IF(COUNTA($E45:$S45)&gt;0," OR ","")&amp;'Dashboard Config'!$B$7&amp;"="""&amp;T45&amp;"""","")&amp;IF(U45&lt;&gt;"",IF(COUNTA($E45:$T45)&gt;0," OR ","")&amp;'Dashboard Config'!$B$7&amp;"="""&amp;U45&amp;"""","")&amp;IF(V45&lt;&gt;"",IF(COUNTA($E45:$U45)&gt;0," OR ","")&amp;'Dashboard Config'!$B$7&amp;"="""&amp;V45&amp;"""","")&amp;IF(W45&lt;&gt;"",IF(COUNTA($E45:$V45)&gt;0," OR ","")&amp;'Dashboard Config'!$B$7&amp;"="""&amp;W45&amp;"""","")&amp;IF(X45&lt;&gt;"",IF(COUNTA($E45:$W45)&gt;0," OR ","")&amp;'Dashboard Config'!$B$7&amp;"="""&amp;X45&amp;"""","")&amp;IF(Y45&lt;&gt;"",IF(COUNTA($E45:$X45)&gt;0," OR ","")&amp;'Dashboard Config'!$B$7&amp;"="""&amp;Y45&amp;"""","")&amp;IF(Z45&lt;&gt;"",IF(COUNTA($E45:$Y45)&gt;0," OR ","")&amp;'Dashboard Config'!$B$7&amp;"="""&amp;Z45&amp;"""","")&amp;IF(AA45&lt;&gt;"",IF(COUNTA($E45:$Z45)&gt;0," OR ","")&amp;'Dashboard Config'!$B$7&amp;"="""&amp;AA45&amp;"""","")&amp;IF(AB45&lt;&gt;"",IF(COUNTA($E45:$AA45)&gt;0," OR ","")&amp;'Dashboard Config'!$B$7&amp;"="""&amp;AB45&amp;"""","")&amp;IF(AC45&lt;&gt;"",IF(COUNTA($E45:$AB45)&gt;0," OR ","")&amp;AC45,"")&amp;")")</x:f>
      </x:c>
      <x:c r="AE45" s="48" t="str">
        <x:f>IF($AD45="","",CHAR(123)&amp;CHAR(34)&amp;"label"&amp;CHAR(34)&amp;":"&amp;CHAR(34)&amp;$C45&amp;CHAR(34)&amp;","&amp;CHAR(34)&amp;"value"&amp;CHAR(34)&amp;":"&amp;CHAR(34)&amp;SUBSTITUTE($AD45,CHAR(34),CHAR(92)&amp;CHAR(34))&amp;CHAR(34)&amp;CHAR(125))</x:f>
      </x:c>
      <x:c r="AF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8" t="str">
        <x:f>IF(OR($A46&lt;&gt;"Yes",$C46="",COUNTA($E46:$AC46)=0),"","("&amp;IF(E46&lt;&gt;"",'Dashboard Config'!$B$6&amp;"="""&amp;E46&amp;"""","")&amp;IF(F46&lt;&gt;"",IF(COUNTA($E46:$E46)&gt;0," OR ","")&amp;'Dashboard Config'!$B$6&amp;"="""&amp;F46&amp;"""","")&amp;IF(G46&lt;&gt;"",IF(COUNTA($E46:$F46)&gt;0," OR ","")&amp;'Dashboard Config'!$B$6&amp;"="""&amp;G46&amp;"""","")&amp;IF(H46&lt;&gt;"",IF(COUNTA($E46:$G46)&gt;0," OR ","")&amp;'Dashboard Config'!$B$6&amp;"="""&amp;H46&amp;"""","")&amp;IF(I46&lt;&gt;"",IF(COUNTA($E46:$H46)&gt;0," OR ","")&amp;'Dashboard Config'!$B$6&amp;"="""&amp;I46&amp;"""","")&amp;IF(J46&lt;&gt;"",IF(COUNTA($E46:$I46)&gt;0," OR ","")&amp;'Dashboard Config'!$B$6&amp;"="""&amp;J46&amp;"""","")&amp;IF(K46&lt;&gt;"",IF(COUNTA($E46:$J46)&gt;0," OR ","")&amp;'Dashboard Config'!$B$6&amp;"="""&amp;K46&amp;"""","")&amp;IF(L46&lt;&gt;"",IF(COUNTA($E46:$K46)&gt;0," OR ","")&amp;'Dashboard Config'!$B$6&amp;"="""&amp;L46&amp;"""","")&amp;IF(M46&lt;&gt;"",IF(COUNTA($E46:$L46)&gt;0," OR ","")&amp;'Dashboard Config'!$B$7&amp;"="""&amp;M46&amp;"""","")&amp;IF(N46&lt;&gt;"",IF(COUNTA($E46:$M46)&gt;0," OR ","")&amp;'Dashboard Config'!$B$7&amp;"="""&amp;N46&amp;"""","")&amp;IF(O46&lt;&gt;"",IF(COUNTA($E46:$N46)&gt;0," OR ","")&amp;'Dashboard Config'!$B$7&amp;"="""&amp;O46&amp;"""","")&amp;IF(P46&lt;&gt;"",IF(COUNTA($E46:$O46)&gt;0," OR ","")&amp;'Dashboard Config'!$B$7&amp;"="""&amp;P46&amp;"""","")&amp;IF(Q46&lt;&gt;"",IF(COUNTA($E46:$P46)&gt;0," OR ","")&amp;'Dashboard Config'!$B$7&amp;"="""&amp;Q46&amp;"""","")&amp;IF(R46&lt;&gt;"",IF(COUNTA($E46:$Q46)&gt;0," OR ","")&amp;'Dashboard Config'!$B$7&amp;"="""&amp;R46&amp;"""","")&amp;IF(S46&lt;&gt;"",IF(COUNTA($E46:$R46)&gt;0," OR ","")&amp;'Dashboard Config'!$B$7&amp;"="""&amp;S46&amp;"""","")&amp;IF(T46&lt;&gt;"",IF(COUNTA($E46:$S46)&gt;0," OR ","")&amp;'Dashboard Config'!$B$7&amp;"="""&amp;T46&amp;"""","")&amp;IF(U46&lt;&gt;"",IF(COUNTA($E46:$T46)&gt;0," OR ","")&amp;'Dashboard Config'!$B$7&amp;"="""&amp;U46&amp;"""","")&amp;IF(V46&lt;&gt;"",IF(COUNTA($E46:$U46)&gt;0," OR ","")&amp;'Dashboard Config'!$B$7&amp;"="""&amp;V46&amp;"""","")&amp;IF(W46&lt;&gt;"",IF(COUNTA($E46:$V46)&gt;0," OR ","")&amp;'Dashboard Config'!$B$7&amp;"="""&amp;W46&amp;"""","")&amp;IF(X46&lt;&gt;"",IF(COUNTA($E46:$W46)&gt;0," OR ","")&amp;'Dashboard Config'!$B$7&amp;"="""&amp;X46&amp;"""","")&amp;IF(Y46&lt;&gt;"",IF(COUNTA($E46:$X46)&gt;0," OR ","")&amp;'Dashboard Config'!$B$7&amp;"="""&amp;Y46&amp;"""","")&amp;IF(Z46&lt;&gt;"",IF(COUNTA($E46:$Y46)&gt;0," OR ","")&amp;'Dashboard Config'!$B$7&amp;"="""&amp;Z46&amp;"""","")&amp;IF(AA46&lt;&gt;"",IF(COUNTA($E46:$Z46)&gt;0," OR ","")&amp;'Dashboard Config'!$B$7&amp;"="""&amp;AA46&amp;"""","")&amp;IF(AB46&lt;&gt;"",IF(COUNTA($E46:$AA46)&gt;0," OR ","")&amp;'Dashboard Config'!$B$7&amp;"="""&amp;AB46&amp;"""","")&amp;IF(AC46&lt;&gt;"",IF(COUNTA($E46:$AB46)&gt;0," OR ","")&amp;AC46,"")&amp;")")</x:f>
      </x:c>
      <x:c r="AE46" s="48" t="str">
        <x:f>IF($AD46="","",CHAR(123)&amp;CHAR(34)&amp;"label"&amp;CHAR(34)&amp;":"&amp;CHAR(34)&amp;$C46&amp;CHAR(34)&amp;","&amp;CHAR(34)&amp;"value"&amp;CHAR(34)&amp;":"&amp;CHAR(34)&amp;SUBSTITUTE($AD46,CHAR(34),CHAR(92)&amp;CHAR(34))&amp;CHAR(34)&amp;CHAR(125))</x:f>
      </x:c>
      <x:c r="AF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8" t="str">
        <x:f>IF(OR($A47&lt;&gt;"Yes",$C47="",COUNTA($E47:$AC47)=0),"","("&amp;IF(E47&lt;&gt;"",'Dashboard Config'!$B$6&amp;"="""&amp;E47&amp;"""","")&amp;IF(F47&lt;&gt;"",IF(COUNTA($E47:$E47)&gt;0," OR ","")&amp;'Dashboard Config'!$B$6&amp;"="""&amp;F47&amp;"""","")&amp;IF(G47&lt;&gt;"",IF(COUNTA($E47:$F47)&gt;0," OR ","")&amp;'Dashboard Config'!$B$6&amp;"="""&amp;G47&amp;"""","")&amp;IF(H47&lt;&gt;"",IF(COUNTA($E47:$G47)&gt;0," OR ","")&amp;'Dashboard Config'!$B$6&amp;"="""&amp;H47&amp;"""","")&amp;IF(I47&lt;&gt;"",IF(COUNTA($E47:$H47)&gt;0," OR ","")&amp;'Dashboard Config'!$B$6&amp;"="""&amp;I47&amp;"""","")&amp;IF(J47&lt;&gt;"",IF(COUNTA($E47:$I47)&gt;0," OR ","")&amp;'Dashboard Config'!$B$6&amp;"="""&amp;J47&amp;"""","")&amp;IF(K47&lt;&gt;"",IF(COUNTA($E47:$J47)&gt;0," OR ","")&amp;'Dashboard Config'!$B$6&amp;"="""&amp;K47&amp;"""","")&amp;IF(L47&lt;&gt;"",IF(COUNTA($E47:$K47)&gt;0," OR ","")&amp;'Dashboard Config'!$B$6&amp;"="""&amp;L47&amp;"""","")&amp;IF(M47&lt;&gt;"",IF(COUNTA($E47:$L47)&gt;0," OR ","")&amp;'Dashboard Config'!$B$7&amp;"="""&amp;M47&amp;"""","")&amp;IF(N47&lt;&gt;"",IF(COUNTA($E47:$M47)&gt;0," OR ","")&amp;'Dashboard Config'!$B$7&amp;"="""&amp;N47&amp;"""","")&amp;IF(O47&lt;&gt;"",IF(COUNTA($E47:$N47)&gt;0," OR ","")&amp;'Dashboard Config'!$B$7&amp;"="""&amp;O47&amp;"""","")&amp;IF(P47&lt;&gt;"",IF(COUNTA($E47:$O47)&gt;0," OR ","")&amp;'Dashboard Config'!$B$7&amp;"="""&amp;P47&amp;"""","")&amp;IF(Q47&lt;&gt;"",IF(COUNTA($E47:$P47)&gt;0," OR ","")&amp;'Dashboard Config'!$B$7&amp;"="""&amp;Q47&amp;"""","")&amp;IF(R47&lt;&gt;"",IF(COUNTA($E47:$Q47)&gt;0," OR ","")&amp;'Dashboard Config'!$B$7&amp;"="""&amp;R47&amp;"""","")&amp;IF(S47&lt;&gt;"",IF(COUNTA($E47:$R47)&gt;0," OR ","")&amp;'Dashboard Config'!$B$7&amp;"="""&amp;S47&amp;"""","")&amp;IF(T47&lt;&gt;"",IF(COUNTA($E47:$S47)&gt;0," OR ","")&amp;'Dashboard Config'!$B$7&amp;"="""&amp;T47&amp;"""","")&amp;IF(U47&lt;&gt;"",IF(COUNTA($E47:$T47)&gt;0," OR ","")&amp;'Dashboard Config'!$B$7&amp;"="""&amp;U47&amp;"""","")&amp;IF(V47&lt;&gt;"",IF(COUNTA($E47:$U47)&gt;0," OR ","")&amp;'Dashboard Config'!$B$7&amp;"="""&amp;V47&amp;"""","")&amp;IF(W47&lt;&gt;"",IF(COUNTA($E47:$V47)&gt;0," OR ","")&amp;'Dashboard Config'!$B$7&amp;"="""&amp;W47&amp;"""","")&amp;IF(X47&lt;&gt;"",IF(COUNTA($E47:$W47)&gt;0," OR ","")&amp;'Dashboard Config'!$B$7&amp;"="""&amp;X47&amp;"""","")&amp;IF(Y47&lt;&gt;"",IF(COUNTA($E47:$X47)&gt;0," OR ","")&amp;'Dashboard Config'!$B$7&amp;"="""&amp;Y47&amp;"""","")&amp;IF(Z47&lt;&gt;"",IF(COUNTA($E47:$Y47)&gt;0," OR ","")&amp;'Dashboard Config'!$B$7&amp;"="""&amp;Z47&amp;"""","")&amp;IF(AA47&lt;&gt;"",IF(COUNTA($E47:$Z47)&gt;0," OR ","")&amp;'Dashboard Config'!$B$7&amp;"="""&amp;AA47&amp;"""","")&amp;IF(AB47&lt;&gt;"",IF(COUNTA($E47:$AA47)&gt;0," OR ","")&amp;'Dashboard Config'!$B$7&amp;"="""&amp;AB47&amp;"""","")&amp;IF(AC47&lt;&gt;"",IF(COUNTA($E47:$AB47)&gt;0," OR ","")&amp;AC47,"")&amp;")")</x:f>
      </x:c>
      <x:c r="AE47" s="48" t="str">
        <x:f>IF($AD47="","",CHAR(123)&amp;CHAR(34)&amp;"label"&amp;CHAR(34)&amp;":"&amp;CHAR(34)&amp;$C47&amp;CHAR(34)&amp;","&amp;CHAR(34)&amp;"value"&amp;CHAR(34)&amp;":"&amp;CHAR(34)&amp;SUBSTITUTE($AD47,CHAR(34),CHAR(92)&amp;CHAR(34))&amp;CHAR(34)&amp;CHAR(125))</x:f>
      </x:c>
      <x:c r="AF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8" t="str">
        <x:f>IF(OR($A48&lt;&gt;"Yes",$C48="",COUNTA($E48:$AC48)=0),"","("&amp;IF(E48&lt;&gt;"",'Dashboard Config'!$B$6&amp;"="""&amp;E48&amp;"""","")&amp;IF(F48&lt;&gt;"",IF(COUNTA($E48:$E48)&gt;0," OR ","")&amp;'Dashboard Config'!$B$6&amp;"="""&amp;F48&amp;"""","")&amp;IF(G48&lt;&gt;"",IF(COUNTA($E48:$F48)&gt;0," OR ","")&amp;'Dashboard Config'!$B$6&amp;"="""&amp;G48&amp;"""","")&amp;IF(H48&lt;&gt;"",IF(COUNTA($E48:$G48)&gt;0," OR ","")&amp;'Dashboard Config'!$B$6&amp;"="""&amp;H48&amp;"""","")&amp;IF(I48&lt;&gt;"",IF(COUNTA($E48:$H48)&gt;0," OR ","")&amp;'Dashboard Config'!$B$6&amp;"="""&amp;I48&amp;"""","")&amp;IF(J48&lt;&gt;"",IF(COUNTA($E48:$I48)&gt;0," OR ","")&amp;'Dashboard Config'!$B$6&amp;"="""&amp;J48&amp;"""","")&amp;IF(K48&lt;&gt;"",IF(COUNTA($E48:$J48)&gt;0," OR ","")&amp;'Dashboard Config'!$B$6&amp;"="""&amp;K48&amp;"""","")&amp;IF(L48&lt;&gt;"",IF(COUNTA($E48:$K48)&gt;0," OR ","")&amp;'Dashboard Config'!$B$6&amp;"="""&amp;L48&amp;"""","")&amp;IF(M48&lt;&gt;"",IF(COUNTA($E48:$L48)&gt;0," OR ","")&amp;'Dashboard Config'!$B$7&amp;"="""&amp;M48&amp;"""","")&amp;IF(N48&lt;&gt;"",IF(COUNTA($E48:$M48)&gt;0," OR ","")&amp;'Dashboard Config'!$B$7&amp;"="""&amp;N48&amp;"""","")&amp;IF(O48&lt;&gt;"",IF(COUNTA($E48:$N48)&gt;0," OR ","")&amp;'Dashboard Config'!$B$7&amp;"="""&amp;O48&amp;"""","")&amp;IF(P48&lt;&gt;"",IF(COUNTA($E48:$O48)&gt;0," OR ","")&amp;'Dashboard Config'!$B$7&amp;"="""&amp;P48&amp;"""","")&amp;IF(Q48&lt;&gt;"",IF(COUNTA($E48:$P48)&gt;0," OR ","")&amp;'Dashboard Config'!$B$7&amp;"="""&amp;Q48&amp;"""","")&amp;IF(R48&lt;&gt;"",IF(COUNTA($E48:$Q48)&gt;0," OR ","")&amp;'Dashboard Config'!$B$7&amp;"="""&amp;R48&amp;"""","")&amp;IF(S48&lt;&gt;"",IF(COUNTA($E48:$R48)&gt;0," OR ","")&amp;'Dashboard Config'!$B$7&amp;"="""&amp;S48&amp;"""","")&amp;IF(T48&lt;&gt;"",IF(COUNTA($E48:$S48)&gt;0," OR ","")&amp;'Dashboard Config'!$B$7&amp;"="""&amp;T48&amp;"""","")&amp;IF(U48&lt;&gt;"",IF(COUNTA($E48:$T48)&gt;0," OR ","")&amp;'Dashboard Config'!$B$7&amp;"="""&amp;U48&amp;"""","")&amp;IF(V48&lt;&gt;"",IF(COUNTA($E48:$U48)&gt;0," OR ","")&amp;'Dashboard Config'!$B$7&amp;"="""&amp;V48&amp;"""","")&amp;IF(W48&lt;&gt;"",IF(COUNTA($E48:$V48)&gt;0," OR ","")&amp;'Dashboard Config'!$B$7&amp;"="""&amp;W48&amp;"""","")&amp;IF(X48&lt;&gt;"",IF(COUNTA($E48:$W48)&gt;0," OR ","")&amp;'Dashboard Config'!$B$7&amp;"="""&amp;X48&amp;"""","")&amp;IF(Y48&lt;&gt;"",IF(COUNTA($E48:$X48)&gt;0," OR ","")&amp;'Dashboard Config'!$B$7&amp;"="""&amp;Y48&amp;"""","")&amp;IF(Z48&lt;&gt;"",IF(COUNTA($E48:$Y48)&gt;0," OR ","")&amp;'Dashboard Config'!$B$7&amp;"="""&amp;Z48&amp;"""","")&amp;IF(AA48&lt;&gt;"",IF(COUNTA($E48:$Z48)&gt;0," OR ","")&amp;'Dashboard Config'!$B$7&amp;"="""&amp;AA48&amp;"""","")&amp;IF(AB48&lt;&gt;"",IF(COUNTA($E48:$AA48)&gt;0," OR ","")&amp;'Dashboard Config'!$B$7&amp;"="""&amp;AB48&amp;"""","")&amp;IF(AC48&lt;&gt;"",IF(COUNTA($E48:$AB48)&gt;0," OR ","")&amp;AC48,"")&amp;")")</x:f>
      </x:c>
      <x:c r="AE48" s="48" t="str">
        <x:f>IF($AD48="","",CHAR(123)&amp;CHAR(34)&amp;"label"&amp;CHAR(34)&amp;":"&amp;CHAR(34)&amp;$C48&amp;CHAR(34)&amp;","&amp;CHAR(34)&amp;"value"&amp;CHAR(34)&amp;":"&amp;CHAR(34)&amp;SUBSTITUTE($AD48,CHAR(34),CHAR(92)&amp;CHAR(34))&amp;CHAR(34)&amp;CHAR(125))</x:f>
      </x:c>
      <x:c r="AF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8" t="str">
        <x:f>IF(OR($A49&lt;&gt;"Yes",$C49="",COUNTA($E49:$AC49)=0),"","("&amp;IF(E49&lt;&gt;"",'Dashboard Config'!$B$6&amp;"="""&amp;E49&amp;"""","")&amp;IF(F49&lt;&gt;"",IF(COUNTA($E49:$E49)&gt;0," OR ","")&amp;'Dashboard Config'!$B$6&amp;"="""&amp;F49&amp;"""","")&amp;IF(G49&lt;&gt;"",IF(COUNTA($E49:$F49)&gt;0," OR ","")&amp;'Dashboard Config'!$B$6&amp;"="""&amp;G49&amp;"""","")&amp;IF(H49&lt;&gt;"",IF(COUNTA($E49:$G49)&gt;0," OR ","")&amp;'Dashboard Config'!$B$6&amp;"="""&amp;H49&amp;"""","")&amp;IF(I49&lt;&gt;"",IF(COUNTA($E49:$H49)&gt;0," OR ","")&amp;'Dashboard Config'!$B$6&amp;"="""&amp;I49&amp;"""","")&amp;IF(J49&lt;&gt;"",IF(COUNTA($E49:$I49)&gt;0," OR ","")&amp;'Dashboard Config'!$B$6&amp;"="""&amp;J49&amp;"""","")&amp;IF(K49&lt;&gt;"",IF(COUNTA($E49:$J49)&gt;0," OR ","")&amp;'Dashboard Config'!$B$6&amp;"="""&amp;K49&amp;"""","")&amp;IF(L49&lt;&gt;"",IF(COUNTA($E49:$K49)&gt;0," OR ","")&amp;'Dashboard Config'!$B$6&amp;"="""&amp;L49&amp;"""","")&amp;IF(M49&lt;&gt;"",IF(COUNTA($E49:$L49)&gt;0," OR ","")&amp;'Dashboard Config'!$B$7&amp;"="""&amp;M49&amp;"""","")&amp;IF(N49&lt;&gt;"",IF(COUNTA($E49:$M49)&gt;0," OR ","")&amp;'Dashboard Config'!$B$7&amp;"="""&amp;N49&amp;"""","")&amp;IF(O49&lt;&gt;"",IF(COUNTA($E49:$N49)&gt;0," OR ","")&amp;'Dashboard Config'!$B$7&amp;"="""&amp;O49&amp;"""","")&amp;IF(P49&lt;&gt;"",IF(COUNTA($E49:$O49)&gt;0," OR ","")&amp;'Dashboard Config'!$B$7&amp;"="""&amp;P49&amp;"""","")&amp;IF(Q49&lt;&gt;"",IF(COUNTA($E49:$P49)&gt;0," OR ","")&amp;'Dashboard Config'!$B$7&amp;"="""&amp;Q49&amp;"""","")&amp;IF(R49&lt;&gt;"",IF(COUNTA($E49:$Q49)&gt;0," OR ","")&amp;'Dashboard Config'!$B$7&amp;"="""&amp;R49&amp;"""","")&amp;IF(S49&lt;&gt;"",IF(COUNTA($E49:$R49)&gt;0," OR ","")&amp;'Dashboard Config'!$B$7&amp;"="""&amp;S49&amp;"""","")&amp;IF(T49&lt;&gt;"",IF(COUNTA($E49:$S49)&gt;0," OR ","")&amp;'Dashboard Config'!$B$7&amp;"="""&amp;T49&amp;"""","")&amp;IF(U49&lt;&gt;"",IF(COUNTA($E49:$T49)&gt;0," OR ","")&amp;'Dashboard Config'!$B$7&amp;"="""&amp;U49&amp;"""","")&amp;IF(V49&lt;&gt;"",IF(COUNTA($E49:$U49)&gt;0," OR ","")&amp;'Dashboard Config'!$B$7&amp;"="""&amp;V49&amp;"""","")&amp;IF(W49&lt;&gt;"",IF(COUNTA($E49:$V49)&gt;0," OR ","")&amp;'Dashboard Config'!$B$7&amp;"="""&amp;W49&amp;"""","")&amp;IF(X49&lt;&gt;"",IF(COUNTA($E49:$W49)&gt;0," OR ","")&amp;'Dashboard Config'!$B$7&amp;"="""&amp;X49&amp;"""","")&amp;IF(Y49&lt;&gt;"",IF(COUNTA($E49:$X49)&gt;0," OR ","")&amp;'Dashboard Config'!$B$7&amp;"="""&amp;Y49&amp;"""","")&amp;IF(Z49&lt;&gt;"",IF(COUNTA($E49:$Y49)&gt;0," OR ","")&amp;'Dashboard Config'!$B$7&amp;"="""&amp;Z49&amp;"""","")&amp;IF(AA49&lt;&gt;"",IF(COUNTA($E49:$Z49)&gt;0," OR ","")&amp;'Dashboard Config'!$B$7&amp;"="""&amp;AA49&amp;"""","")&amp;IF(AB49&lt;&gt;"",IF(COUNTA($E49:$AA49)&gt;0," OR ","")&amp;'Dashboard Config'!$B$7&amp;"="""&amp;AB49&amp;"""","")&amp;IF(AC49&lt;&gt;"",IF(COUNTA($E49:$AB49)&gt;0," OR ","")&amp;AC49,"")&amp;")")</x:f>
      </x:c>
      <x:c r="AE49" s="48" t="str">
        <x:f>IF($AD49="","",CHAR(123)&amp;CHAR(34)&amp;"label"&amp;CHAR(34)&amp;":"&amp;CHAR(34)&amp;$C49&amp;CHAR(34)&amp;","&amp;CHAR(34)&amp;"value"&amp;CHAR(34)&amp;":"&amp;CHAR(34)&amp;SUBSTITUTE($AD49,CHAR(34),CHAR(92)&amp;CHAR(34))&amp;CHAR(34)&amp;CHAR(125))</x:f>
      </x:c>
      <x:c r="AF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8" t="str">
        <x:f>IF(OR($A50&lt;&gt;"Yes",$C50="",COUNTA($E50:$AC50)=0),"","("&amp;IF(E50&lt;&gt;"",'Dashboard Config'!$B$6&amp;"="""&amp;E50&amp;"""","")&amp;IF(F50&lt;&gt;"",IF(COUNTA($E50:$E50)&gt;0," OR ","")&amp;'Dashboard Config'!$B$6&amp;"="""&amp;F50&amp;"""","")&amp;IF(G50&lt;&gt;"",IF(COUNTA($E50:$F50)&gt;0," OR ","")&amp;'Dashboard Config'!$B$6&amp;"="""&amp;G50&amp;"""","")&amp;IF(H50&lt;&gt;"",IF(COUNTA($E50:$G50)&gt;0," OR ","")&amp;'Dashboard Config'!$B$6&amp;"="""&amp;H50&amp;"""","")&amp;IF(I50&lt;&gt;"",IF(COUNTA($E50:$H50)&gt;0," OR ","")&amp;'Dashboard Config'!$B$6&amp;"="""&amp;I50&amp;"""","")&amp;IF(J50&lt;&gt;"",IF(COUNTA($E50:$I50)&gt;0," OR ","")&amp;'Dashboard Config'!$B$6&amp;"="""&amp;J50&amp;"""","")&amp;IF(K50&lt;&gt;"",IF(COUNTA($E50:$J50)&gt;0," OR ","")&amp;'Dashboard Config'!$B$6&amp;"="""&amp;K50&amp;"""","")&amp;IF(L50&lt;&gt;"",IF(COUNTA($E50:$K50)&gt;0," OR ","")&amp;'Dashboard Config'!$B$6&amp;"="""&amp;L50&amp;"""","")&amp;IF(M50&lt;&gt;"",IF(COUNTA($E50:$L50)&gt;0," OR ","")&amp;'Dashboard Config'!$B$7&amp;"="""&amp;M50&amp;"""","")&amp;IF(N50&lt;&gt;"",IF(COUNTA($E50:$M50)&gt;0," OR ","")&amp;'Dashboard Config'!$B$7&amp;"="""&amp;N50&amp;"""","")&amp;IF(O50&lt;&gt;"",IF(COUNTA($E50:$N50)&gt;0," OR ","")&amp;'Dashboard Config'!$B$7&amp;"="""&amp;O50&amp;"""","")&amp;IF(P50&lt;&gt;"",IF(COUNTA($E50:$O50)&gt;0," OR ","")&amp;'Dashboard Config'!$B$7&amp;"="""&amp;P50&amp;"""","")&amp;IF(Q50&lt;&gt;"",IF(COUNTA($E50:$P50)&gt;0," OR ","")&amp;'Dashboard Config'!$B$7&amp;"="""&amp;Q50&amp;"""","")&amp;IF(R50&lt;&gt;"",IF(COUNTA($E50:$Q50)&gt;0," OR ","")&amp;'Dashboard Config'!$B$7&amp;"="""&amp;R50&amp;"""","")&amp;IF(S50&lt;&gt;"",IF(COUNTA($E50:$R50)&gt;0," OR ","")&amp;'Dashboard Config'!$B$7&amp;"="""&amp;S50&amp;"""","")&amp;IF(T50&lt;&gt;"",IF(COUNTA($E50:$S50)&gt;0," OR ","")&amp;'Dashboard Config'!$B$7&amp;"="""&amp;T50&amp;"""","")&amp;IF(U50&lt;&gt;"",IF(COUNTA($E50:$T50)&gt;0," OR ","")&amp;'Dashboard Config'!$B$7&amp;"="""&amp;U50&amp;"""","")&amp;IF(V50&lt;&gt;"",IF(COUNTA($E50:$U50)&gt;0," OR ","")&amp;'Dashboard Config'!$B$7&amp;"="""&amp;V50&amp;"""","")&amp;IF(W50&lt;&gt;"",IF(COUNTA($E50:$V50)&gt;0," OR ","")&amp;'Dashboard Config'!$B$7&amp;"="""&amp;W50&amp;"""","")&amp;IF(X50&lt;&gt;"",IF(COUNTA($E50:$W50)&gt;0," OR ","")&amp;'Dashboard Config'!$B$7&amp;"="""&amp;X50&amp;"""","")&amp;IF(Y50&lt;&gt;"",IF(COUNTA($E50:$X50)&gt;0," OR ","")&amp;'Dashboard Config'!$B$7&amp;"="""&amp;Y50&amp;"""","")&amp;IF(Z50&lt;&gt;"",IF(COUNTA($E50:$Y50)&gt;0," OR ","")&amp;'Dashboard Config'!$B$7&amp;"="""&amp;Z50&amp;"""","")&amp;IF(AA50&lt;&gt;"",IF(COUNTA($E50:$Z50)&gt;0," OR ","")&amp;'Dashboard Config'!$B$7&amp;"="""&amp;AA50&amp;"""","")&amp;IF(AB50&lt;&gt;"",IF(COUNTA($E50:$AA50)&gt;0," OR ","")&amp;'Dashboard Config'!$B$7&amp;"="""&amp;AB50&amp;"""","")&amp;IF(AC50&lt;&gt;"",IF(COUNTA($E50:$AB50)&gt;0," OR ","")&amp;AC50,"")&amp;")")</x:f>
      </x:c>
      <x:c r="AE50" s="48" t="str">
        <x:f>IF($AD50="","",CHAR(123)&amp;CHAR(34)&amp;"label"&amp;CHAR(34)&amp;":"&amp;CHAR(34)&amp;$C50&amp;CHAR(34)&amp;","&amp;CHAR(34)&amp;"value"&amp;CHAR(34)&amp;":"&amp;CHAR(34)&amp;SUBSTITUTE($AD50,CHAR(34),CHAR(92)&amp;CHAR(34))&amp;CHAR(34)&amp;CHAR(125))</x:f>
      </x:c>
      <x:c r="AF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8" t="str">
        <x:f>IF(OR($A51&lt;&gt;"Yes",$C51="",COUNTA($E51:$AC51)=0),"","("&amp;IF(E51&lt;&gt;"",'Dashboard Config'!$B$6&amp;"="""&amp;E51&amp;"""","")&amp;IF(F51&lt;&gt;"",IF(COUNTA($E51:$E51)&gt;0," OR ","")&amp;'Dashboard Config'!$B$6&amp;"="""&amp;F51&amp;"""","")&amp;IF(G51&lt;&gt;"",IF(COUNTA($E51:$F51)&gt;0," OR ","")&amp;'Dashboard Config'!$B$6&amp;"="""&amp;G51&amp;"""","")&amp;IF(H51&lt;&gt;"",IF(COUNTA($E51:$G51)&gt;0," OR ","")&amp;'Dashboard Config'!$B$6&amp;"="""&amp;H51&amp;"""","")&amp;IF(I51&lt;&gt;"",IF(COUNTA($E51:$H51)&gt;0," OR ","")&amp;'Dashboard Config'!$B$6&amp;"="""&amp;I51&amp;"""","")&amp;IF(J51&lt;&gt;"",IF(COUNTA($E51:$I51)&gt;0," OR ","")&amp;'Dashboard Config'!$B$6&amp;"="""&amp;J51&amp;"""","")&amp;IF(K51&lt;&gt;"",IF(COUNTA($E51:$J51)&gt;0," OR ","")&amp;'Dashboard Config'!$B$6&amp;"="""&amp;K51&amp;"""","")&amp;IF(L51&lt;&gt;"",IF(COUNTA($E51:$K51)&gt;0," OR ","")&amp;'Dashboard Config'!$B$6&amp;"="""&amp;L51&amp;"""","")&amp;IF(M51&lt;&gt;"",IF(COUNTA($E51:$L51)&gt;0," OR ","")&amp;'Dashboard Config'!$B$7&amp;"="""&amp;M51&amp;"""","")&amp;IF(N51&lt;&gt;"",IF(COUNTA($E51:$M51)&gt;0," OR ","")&amp;'Dashboard Config'!$B$7&amp;"="""&amp;N51&amp;"""","")&amp;IF(O51&lt;&gt;"",IF(COUNTA($E51:$N51)&gt;0," OR ","")&amp;'Dashboard Config'!$B$7&amp;"="""&amp;O51&amp;"""","")&amp;IF(P51&lt;&gt;"",IF(COUNTA($E51:$O51)&gt;0," OR ","")&amp;'Dashboard Config'!$B$7&amp;"="""&amp;P51&amp;"""","")&amp;IF(Q51&lt;&gt;"",IF(COUNTA($E51:$P51)&gt;0," OR ","")&amp;'Dashboard Config'!$B$7&amp;"="""&amp;Q51&amp;"""","")&amp;IF(R51&lt;&gt;"",IF(COUNTA($E51:$Q51)&gt;0," OR ","")&amp;'Dashboard Config'!$B$7&amp;"="""&amp;R51&amp;"""","")&amp;IF(S51&lt;&gt;"",IF(COUNTA($E51:$R51)&gt;0," OR ","")&amp;'Dashboard Config'!$B$7&amp;"="""&amp;S51&amp;"""","")&amp;IF(T51&lt;&gt;"",IF(COUNTA($E51:$S51)&gt;0," OR ","")&amp;'Dashboard Config'!$B$7&amp;"="""&amp;T51&amp;"""","")&amp;IF(U51&lt;&gt;"",IF(COUNTA($E51:$T51)&gt;0," OR ","")&amp;'Dashboard Config'!$B$7&amp;"="""&amp;U51&amp;"""","")&amp;IF(V51&lt;&gt;"",IF(COUNTA($E51:$U51)&gt;0," OR ","")&amp;'Dashboard Config'!$B$7&amp;"="""&amp;V51&amp;"""","")&amp;IF(W51&lt;&gt;"",IF(COUNTA($E51:$V51)&gt;0," OR ","")&amp;'Dashboard Config'!$B$7&amp;"="""&amp;W51&amp;"""","")&amp;IF(X51&lt;&gt;"",IF(COUNTA($E51:$W51)&gt;0," OR ","")&amp;'Dashboard Config'!$B$7&amp;"="""&amp;X51&amp;"""","")&amp;IF(Y51&lt;&gt;"",IF(COUNTA($E51:$X51)&gt;0," OR ","")&amp;'Dashboard Config'!$B$7&amp;"="""&amp;Y51&amp;"""","")&amp;IF(Z51&lt;&gt;"",IF(COUNTA($E51:$Y51)&gt;0," OR ","")&amp;'Dashboard Config'!$B$7&amp;"="""&amp;Z51&amp;"""","")&amp;IF(AA51&lt;&gt;"",IF(COUNTA($E51:$Z51)&gt;0," OR ","")&amp;'Dashboard Config'!$B$7&amp;"="""&amp;AA51&amp;"""","")&amp;IF(AB51&lt;&gt;"",IF(COUNTA($E51:$AA51)&gt;0," OR ","")&amp;'Dashboard Config'!$B$7&amp;"="""&amp;AB51&amp;"""","")&amp;IF(AC51&lt;&gt;"",IF(COUNTA($E51:$AB51)&gt;0," OR ","")&amp;AC51,"")&amp;")")</x:f>
      </x:c>
      <x:c r="AE51" s="48" t="str">
        <x:f>IF($AD51="","",CHAR(123)&amp;CHAR(34)&amp;"label"&amp;CHAR(34)&amp;":"&amp;CHAR(34)&amp;$C51&amp;CHAR(34)&amp;","&amp;CHAR(34)&amp;"value"&amp;CHAR(34)&amp;":"&amp;CHAR(34)&amp;SUBSTITUTE($AD51,CHAR(34),CHAR(92)&amp;CHAR(34))&amp;CHAR(34)&amp;CHAR(125))</x:f>
      </x:c>
      <x:c r="AF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8" t="str">
        <x:f>IF(OR($A52&lt;&gt;"Yes",$C52="",COUNTA($E52:$AC52)=0),"","("&amp;IF(E52&lt;&gt;"",'Dashboard Config'!$B$6&amp;"="""&amp;E52&amp;"""","")&amp;IF(F52&lt;&gt;"",IF(COUNTA($E52:$E52)&gt;0," OR ","")&amp;'Dashboard Config'!$B$6&amp;"="""&amp;F52&amp;"""","")&amp;IF(G52&lt;&gt;"",IF(COUNTA($E52:$F52)&gt;0," OR ","")&amp;'Dashboard Config'!$B$6&amp;"="""&amp;G52&amp;"""","")&amp;IF(H52&lt;&gt;"",IF(COUNTA($E52:$G52)&gt;0," OR ","")&amp;'Dashboard Config'!$B$6&amp;"="""&amp;H52&amp;"""","")&amp;IF(I52&lt;&gt;"",IF(COUNTA($E52:$H52)&gt;0," OR ","")&amp;'Dashboard Config'!$B$6&amp;"="""&amp;I52&amp;"""","")&amp;IF(J52&lt;&gt;"",IF(COUNTA($E52:$I52)&gt;0," OR ","")&amp;'Dashboard Config'!$B$6&amp;"="""&amp;J52&amp;"""","")&amp;IF(K52&lt;&gt;"",IF(COUNTA($E52:$J52)&gt;0," OR ","")&amp;'Dashboard Config'!$B$6&amp;"="""&amp;K52&amp;"""","")&amp;IF(L52&lt;&gt;"",IF(COUNTA($E52:$K52)&gt;0," OR ","")&amp;'Dashboard Config'!$B$6&amp;"="""&amp;L52&amp;"""","")&amp;IF(M52&lt;&gt;"",IF(COUNTA($E52:$L52)&gt;0," OR ","")&amp;'Dashboard Config'!$B$7&amp;"="""&amp;M52&amp;"""","")&amp;IF(N52&lt;&gt;"",IF(COUNTA($E52:$M52)&gt;0," OR ","")&amp;'Dashboard Config'!$B$7&amp;"="""&amp;N52&amp;"""","")&amp;IF(O52&lt;&gt;"",IF(COUNTA($E52:$N52)&gt;0," OR ","")&amp;'Dashboard Config'!$B$7&amp;"="""&amp;O52&amp;"""","")&amp;IF(P52&lt;&gt;"",IF(COUNTA($E52:$O52)&gt;0," OR ","")&amp;'Dashboard Config'!$B$7&amp;"="""&amp;P52&amp;"""","")&amp;IF(Q52&lt;&gt;"",IF(COUNTA($E52:$P52)&gt;0," OR ","")&amp;'Dashboard Config'!$B$7&amp;"="""&amp;Q52&amp;"""","")&amp;IF(R52&lt;&gt;"",IF(COUNTA($E52:$Q52)&gt;0," OR ","")&amp;'Dashboard Config'!$B$7&amp;"="""&amp;R52&amp;"""","")&amp;IF(S52&lt;&gt;"",IF(COUNTA($E52:$R52)&gt;0," OR ","")&amp;'Dashboard Config'!$B$7&amp;"="""&amp;S52&amp;"""","")&amp;IF(T52&lt;&gt;"",IF(COUNTA($E52:$S52)&gt;0," OR ","")&amp;'Dashboard Config'!$B$7&amp;"="""&amp;T52&amp;"""","")&amp;IF(U52&lt;&gt;"",IF(COUNTA($E52:$T52)&gt;0," OR ","")&amp;'Dashboard Config'!$B$7&amp;"="""&amp;U52&amp;"""","")&amp;IF(V52&lt;&gt;"",IF(COUNTA($E52:$U52)&gt;0," OR ","")&amp;'Dashboard Config'!$B$7&amp;"="""&amp;V52&amp;"""","")&amp;IF(W52&lt;&gt;"",IF(COUNTA($E52:$V52)&gt;0," OR ","")&amp;'Dashboard Config'!$B$7&amp;"="""&amp;W52&amp;"""","")&amp;IF(X52&lt;&gt;"",IF(COUNTA($E52:$W52)&gt;0," OR ","")&amp;'Dashboard Config'!$B$7&amp;"="""&amp;X52&amp;"""","")&amp;IF(Y52&lt;&gt;"",IF(COUNTA($E52:$X52)&gt;0," OR ","")&amp;'Dashboard Config'!$B$7&amp;"="""&amp;Y52&amp;"""","")&amp;IF(Z52&lt;&gt;"",IF(COUNTA($E52:$Y52)&gt;0," OR ","")&amp;'Dashboard Config'!$B$7&amp;"="""&amp;Z52&amp;"""","")&amp;IF(AA52&lt;&gt;"",IF(COUNTA($E52:$Z52)&gt;0," OR ","")&amp;'Dashboard Config'!$B$7&amp;"="""&amp;AA52&amp;"""","")&amp;IF(AB52&lt;&gt;"",IF(COUNTA($E52:$AA52)&gt;0," OR ","")&amp;'Dashboard Config'!$B$7&amp;"="""&amp;AB52&amp;"""","")&amp;IF(AC52&lt;&gt;"",IF(COUNTA($E52:$AB52)&gt;0," OR ","")&amp;AC52,"")&amp;")")</x:f>
      </x:c>
      <x:c r="AE52" s="48" t="str">
        <x:f>IF($AD52="","",CHAR(123)&amp;CHAR(34)&amp;"label"&amp;CHAR(34)&amp;":"&amp;CHAR(34)&amp;$C52&amp;CHAR(34)&amp;","&amp;CHAR(34)&amp;"value"&amp;CHAR(34)&amp;":"&amp;CHAR(34)&amp;SUBSTITUTE($AD52,CHAR(34),CHAR(92)&amp;CHAR(34))&amp;CHAR(34)&amp;CHAR(125))</x:f>
      </x:c>
      <x:c r="AF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8" t="str">
        <x:f>IF(OR($A53&lt;&gt;"Yes",$C53="",COUNTA($E53:$AC53)=0),"","("&amp;IF(E53&lt;&gt;"",'Dashboard Config'!$B$6&amp;"="""&amp;E53&amp;"""","")&amp;IF(F53&lt;&gt;"",IF(COUNTA($E53:$E53)&gt;0," OR ","")&amp;'Dashboard Config'!$B$6&amp;"="""&amp;F53&amp;"""","")&amp;IF(G53&lt;&gt;"",IF(COUNTA($E53:$F53)&gt;0," OR ","")&amp;'Dashboard Config'!$B$6&amp;"="""&amp;G53&amp;"""","")&amp;IF(H53&lt;&gt;"",IF(COUNTA($E53:$G53)&gt;0," OR ","")&amp;'Dashboard Config'!$B$6&amp;"="""&amp;H53&amp;"""","")&amp;IF(I53&lt;&gt;"",IF(COUNTA($E53:$H53)&gt;0," OR ","")&amp;'Dashboard Config'!$B$6&amp;"="""&amp;I53&amp;"""","")&amp;IF(J53&lt;&gt;"",IF(COUNTA($E53:$I53)&gt;0," OR ","")&amp;'Dashboard Config'!$B$6&amp;"="""&amp;J53&amp;"""","")&amp;IF(K53&lt;&gt;"",IF(COUNTA($E53:$J53)&gt;0," OR ","")&amp;'Dashboard Config'!$B$6&amp;"="""&amp;K53&amp;"""","")&amp;IF(L53&lt;&gt;"",IF(COUNTA($E53:$K53)&gt;0," OR ","")&amp;'Dashboard Config'!$B$6&amp;"="""&amp;L53&amp;"""","")&amp;IF(M53&lt;&gt;"",IF(COUNTA($E53:$L53)&gt;0," OR ","")&amp;'Dashboard Config'!$B$7&amp;"="""&amp;M53&amp;"""","")&amp;IF(N53&lt;&gt;"",IF(COUNTA($E53:$M53)&gt;0," OR ","")&amp;'Dashboard Config'!$B$7&amp;"="""&amp;N53&amp;"""","")&amp;IF(O53&lt;&gt;"",IF(COUNTA($E53:$N53)&gt;0," OR ","")&amp;'Dashboard Config'!$B$7&amp;"="""&amp;O53&amp;"""","")&amp;IF(P53&lt;&gt;"",IF(COUNTA($E53:$O53)&gt;0," OR ","")&amp;'Dashboard Config'!$B$7&amp;"="""&amp;P53&amp;"""","")&amp;IF(Q53&lt;&gt;"",IF(COUNTA($E53:$P53)&gt;0," OR ","")&amp;'Dashboard Config'!$B$7&amp;"="""&amp;Q53&amp;"""","")&amp;IF(R53&lt;&gt;"",IF(COUNTA($E53:$Q53)&gt;0," OR ","")&amp;'Dashboard Config'!$B$7&amp;"="""&amp;R53&amp;"""","")&amp;IF(S53&lt;&gt;"",IF(COUNTA($E53:$R53)&gt;0," OR ","")&amp;'Dashboard Config'!$B$7&amp;"="""&amp;S53&amp;"""","")&amp;IF(T53&lt;&gt;"",IF(COUNTA($E53:$S53)&gt;0," OR ","")&amp;'Dashboard Config'!$B$7&amp;"="""&amp;T53&amp;"""","")&amp;IF(U53&lt;&gt;"",IF(COUNTA($E53:$T53)&gt;0," OR ","")&amp;'Dashboard Config'!$B$7&amp;"="""&amp;U53&amp;"""","")&amp;IF(V53&lt;&gt;"",IF(COUNTA($E53:$U53)&gt;0," OR ","")&amp;'Dashboard Config'!$B$7&amp;"="""&amp;V53&amp;"""","")&amp;IF(W53&lt;&gt;"",IF(COUNTA($E53:$V53)&gt;0," OR ","")&amp;'Dashboard Config'!$B$7&amp;"="""&amp;W53&amp;"""","")&amp;IF(X53&lt;&gt;"",IF(COUNTA($E53:$W53)&gt;0," OR ","")&amp;'Dashboard Config'!$B$7&amp;"="""&amp;X53&amp;"""","")&amp;IF(Y53&lt;&gt;"",IF(COUNTA($E53:$X53)&gt;0," OR ","")&amp;'Dashboard Config'!$B$7&amp;"="""&amp;Y53&amp;"""","")&amp;IF(Z53&lt;&gt;"",IF(COUNTA($E53:$Y53)&gt;0," OR ","")&amp;'Dashboard Config'!$B$7&amp;"="""&amp;Z53&amp;"""","")&amp;IF(AA53&lt;&gt;"",IF(COUNTA($E53:$Z53)&gt;0," OR ","")&amp;'Dashboard Config'!$B$7&amp;"="""&amp;AA53&amp;"""","")&amp;IF(AB53&lt;&gt;"",IF(COUNTA($E53:$AA53)&gt;0," OR ","")&amp;'Dashboard Config'!$B$7&amp;"="""&amp;AB53&amp;"""","")&amp;IF(AC53&lt;&gt;"",IF(COUNTA($E53:$AB53)&gt;0," OR ","")&amp;AC53,"")&amp;")")</x:f>
      </x:c>
      <x:c r="AE53" s="48" t="str">
        <x:f>IF($AD53="","",CHAR(123)&amp;CHAR(34)&amp;"label"&amp;CHAR(34)&amp;":"&amp;CHAR(34)&amp;$C53&amp;CHAR(34)&amp;","&amp;CHAR(34)&amp;"value"&amp;CHAR(34)&amp;":"&amp;CHAR(34)&amp;SUBSTITUTE($AD53,CHAR(34),CHAR(92)&amp;CHAR(34))&amp;CHAR(34)&amp;CHAR(125))</x:f>
      </x:c>
      <x:c r="AF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8" t="str">
        <x:f>IF(OR($A54&lt;&gt;"Yes",$C54="",COUNTA($E54:$AC54)=0),"","("&amp;IF(E54&lt;&gt;"",'Dashboard Config'!$B$6&amp;"="""&amp;E54&amp;"""","")&amp;IF(F54&lt;&gt;"",IF(COUNTA($E54:$E54)&gt;0," OR ","")&amp;'Dashboard Config'!$B$6&amp;"="""&amp;F54&amp;"""","")&amp;IF(G54&lt;&gt;"",IF(COUNTA($E54:$F54)&gt;0," OR ","")&amp;'Dashboard Config'!$B$6&amp;"="""&amp;G54&amp;"""","")&amp;IF(H54&lt;&gt;"",IF(COUNTA($E54:$G54)&gt;0," OR ","")&amp;'Dashboard Config'!$B$6&amp;"="""&amp;H54&amp;"""","")&amp;IF(I54&lt;&gt;"",IF(COUNTA($E54:$H54)&gt;0," OR ","")&amp;'Dashboard Config'!$B$6&amp;"="""&amp;I54&amp;"""","")&amp;IF(J54&lt;&gt;"",IF(COUNTA($E54:$I54)&gt;0," OR ","")&amp;'Dashboard Config'!$B$6&amp;"="""&amp;J54&amp;"""","")&amp;IF(K54&lt;&gt;"",IF(COUNTA($E54:$J54)&gt;0," OR ","")&amp;'Dashboard Config'!$B$6&amp;"="""&amp;K54&amp;"""","")&amp;IF(L54&lt;&gt;"",IF(COUNTA($E54:$K54)&gt;0," OR ","")&amp;'Dashboard Config'!$B$6&amp;"="""&amp;L54&amp;"""","")&amp;IF(M54&lt;&gt;"",IF(COUNTA($E54:$L54)&gt;0," OR ","")&amp;'Dashboard Config'!$B$7&amp;"="""&amp;M54&amp;"""","")&amp;IF(N54&lt;&gt;"",IF(COUNTA($E54:$M54)&gt;0," OR ","")&amp;'Dashboard Config'!$B$7&amp;"="""&amp;N54&amp;"""","")&amp;IF(O54&lt;&gt;"",IF(COUNTA($E54:$N54)&gt;0," OR ","")&amp;'Dashboard Config'!$B$7&amp;"="""&amp;O54&amp;"""","")&amp;IF(P54&lt;&gt;"",IF(COUNTA($E54:$O54)&gt;0," OR ","")&amp;'Dashboard Config'!$B$7&amp;"="""&amp;P54&amp;"""","")&amp;IF(Q54&lt;&gt;"",IF(COUNTA($E54:$P54)&gt;0," OR ","")&amp;'Dashboard Config'!$B$7&amp;"="""&amp;Q54&amp;"""","")&amp;IF(R54&lt;&gt;"",IF(COUNTA($E54:$Q54)&gt;0," OR ","")&amp;'Dashboard Config'!$B$7&amp;"="""&amp;R54&amp;"""","")&amp;IF(S54&lt;&gt;"",IF(COUNTA($E54:$R54)&gt;0," OR ","")&amp;'Dashboard Config'!$B$7&amp;"="""&amp;S54&amp;"""","")&amp;IF(T54&lt;&gt;"",IF(COUNTA($E54:$S54)&gt;0," OR ","")&amp;'Dashboard Config'!$B$7&amp;"="""&amp;T54&amp;"""","")&amp;IF(U54&lt;&gt;"",IF(COUNTA($E54:$T54)&gt;0," OR ","")&amp;'Dashboard Config'!$B$7&amp;"="""&amp;U54&amp;"""","")&amp;IF(V54&lt;&gt;"",IF(COUNTA($E54:$U54)&gt;0," OR ","")&amp;'Dashboard Config'!$B$7&amp;"="""&amp;V54&amp;"""","")&amp;IF(W54&lt;&gt;"",IF(COUNTA($E54:$V54)&gt;0," OR ","")&amp;'Dashboard Config'!$B$7&amp;"="""&amp;W54&amp;"""","")&amp;IF(X54&lt;&gt;"",IF(COUNTA($E54:$W54)&gt;0," OR ","")&amp;'Dashboard Config'!$B$7&amp;"="""&amp;X54&amp;"""","")&amp;IF(Y54&lt;&gt;"",IF(COUNTA($E54:$X54)&gt;0," OR ","")&amp;'Dashboard Config'!$B$7&amp;"="""&amp;Y54&amp;"""","")&amp;IF(Z54&lt;&gt;"",IF(COUNTA($E54:$Y54)&gt;0," OR ","")&amp;'Dashboard Config'!$B$7&amp;"="""&amp;Z54&amp;"""","")&amp;IF(AA54&lt;&gt;"",IF(COUNTA($E54:$Z54)&gt;0," OR ","")&amp;'Dashboard Config'!$B$7&amp;"="""&amp;AA54&amp;"""","")&amp;IF(AB54&lt;&gt;"",IF(COUNTA($E54:$AA54)&gt;0," OR ","")&amp;'Dashboard Config'!$B$7&amp;"="""&amp;AB54&amp;"""","")&amp;IF(AC54&lt;&gt;"",IF(COUNTA($E54:$AB54)&gt;0," OR ","")&amp;AC54,"")&amp;")")</x:f>
      </x:c>
      <x:c r="AE54" s="48" t="str">
        <x:f>IF($AD54="","",CHAR(123)&amp;CHAR(34)&amp;"label"&amp;CHAR(34)&amp;":"&amp;CHAR(34)&amp;$C54&amp;CHAR(34)&amp;","&amp;CHAR(34)&amp;"value"&amp;CHAR(34)&amp;":"&amp;CHAR(34)&amp;SUBSTITUTE($AD54,CHAR(34),CHAR(92)&amp;CHAR(34))&amp;CHAR(34)&amp;CHAR(125))</x:f>
      </x:c>
      <x:c r="AF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8" t="str">
        <x:f>IF(OR($A55&lt;&gt;"Yes",$C55="",COUNTA($E55:$AC55)=0),"","("&amp;IF(E55&lt;&gt;"",'Dashboard Config'!$B$6&amp;"="""&amp;E55&amp;"""","")&amp;IF(F55&lt;&gt;"",IF(COUNTA($E55:$E55)&gt;0," OR ","")&amp;'Dashboard Config'!$B$6&amp;"="""&amp;F55&amp;"""","")&amp;IF(G55&lt;&gt;"",IF(COUNTA($E55:$F55)&gt;0," OR ","")&amp;'Dashboard Config'!$B$6&amp;"="""&amp;G55&amp;"""","")&amp;IF(H55&lt;&gt;"",IF(COUNTA($E55:$G55)&gt;0," OR ","")&amp;'Dashboard Config'!$B$6&amp;"="""&amp;H55&amp;"""","")&amp;IF(I55&lt;&gt;"",IF(COUNTA($E55:$H55)&gt;0," OR ","")&amp;'Dashboard Config'!$B$6&amp;"="""&amp;I55&amp;"""","")&amp;IF(J55&lt;&gt;"",IF(COUNTA($E55:$I55)&gt;0," OR ","")&amp;'Dashboard Config'!$B$6&amp;"="""&amp;J55&amp;"""","")&amp;IF(K55&lt;&gt;"",IF(COUNTA($E55:$J55)&gt;0," OR ","")&amp;'Dashboard Config'!$B$6&amp;"="""&amp;K55&amp;"""","")&amp;IF(L55&lt;&gt;"",IF(COUNTA($E55:$K55)&gt;0," OR ","")&amp;'Dashboard Config'!$B$6&amp;"="""&amp;L55&amp;"""","")&amp;IF(M55&lt;&gt;"",IF(COUNTA($E55:$L55)&gt;0," OR ","")&amp;'Dashboard Config'!$B$7&amp;"="""&amp;M55&amp;"""","")&amp;IF(N55&lt;&gt;"",IF(COUNTA($E55:$M55)&gt;0," OR ","")&amp;'Dashboard Config'!$B$7&amp;"="""&amp;N55&amp;"""","")&amp;IF(O55&lt;&gt;"",IF(COUNTA($E55:$N55)&gt;0," OR ","")&amp;'Dashboard Config'!$B$7&amp;"="""&amp;O55&amp;"""","")&amp;IF(P55&lt;&gt;"",IF(COUNTA($E55:$O55)&gt;0," OR ","")&amp;'Dashboard Config'!$B$7&amp;"="""&amp;P55&amp;"""","")&amp;IF(Q55&lt;&gt;"",IF(COUNTA($E55:$P55)&gt;0," OR ","")&amp;'Dashboard Config'!$B$7&amp;"="""&amp;Q55&amp;"""","")&amp;IF(R55&lt;&gt;"",IF(COUNTA($E55:$Q55)&gt;0," OR ","")&amp;'Dashboard Config'!$B$7&amp;"="""&amp;R55&amp;"""","")&amp;IF(S55&lt;&gt;"",IF(COUNTA($E55:$R55)&gt;0," OR ","")&amp;'Dashboard Config'!$B$7&amp;"="""&amp;S55&amp;"""","")&amp;IF(T55&lt;&gt;"",IF(COUNTA($E55:$S55)&gt;0," OR ","")&amp;'Dashboard Config'!$B$7&amp;"="""&amp;T55&amp;"""","")&amp;IF(U55&lt;&gt;"",IF(COUNTA($E55:$T55)&gt;0," OR ","")&amp;'Dashboard Config'!$B$7&amp;"="""&amp;U55&amp;"""","")&amp;IF(V55&lt;&gt;"",IF(COUNTA($E55:$U55)&gt;0," OR ","")&amp;'Dashboard Config'!$B$7&amp;"="""&amp;V55&amp;"""","")&amp;IF(W55&lt;&gt;"",IF(COUNTA($E55:$V55)&gt;0," OR ","")&amp;'Dashboard Config'!$B$7&amp;"="""&amp;W55&amp;"""","")&amp;IF(X55&lt;&gt;"",IF(COUNTA($E55:$W55)&gt;0," OR ","")&amp;'Dashboard Config'!$B$7&amp;"="""&amp;X55&amp;"""","")&amp;IF(Y55&lt;&gt;"",IF(COUNTA($E55:$X55)&gt;0," OR ","")&amp;'Dashboard Config'!$B$7&amp;"="""&amp;Y55&amp;"""","")&amp;IF(Z55&lt;&gt;"",IF(COUNTA($E55:$Y55)&gt;0," OR ","")&amp;'Dashboard Config'!$B$7&amp;"="""&amp;Z55&amp;"""","")&amp;IF(AA55&lt;&gt;"",IF(COUNTA($E55:$Z55)&gt;0," OR ","")&amp;'Dashboard Config'!$B$7&amp;"="""&amp;AA55&amp;"""","")&amp;IF(AB55&lt;&gt;"",IF(COUNTA($E55:$AA55)&gt;0," OR ","")&amp;'Dashboard Config'!$B$7&amp;"="""&amp;AB55&amp;"""","")&amp;IF(AC55&lt;&gt;"",IF(COUNTA($E55:$AB55)&gt;0," OR ","")&amp;AC55,"")&amp;")")</x:f>
      </x:c>
      <x:c r="AE55" s="48" t="str">
        <x:f>IF($AD55="","",CHAR(123)&amp;CHAR(34)&amp;"label"&amp;CHAR(34)&amp;":"&amp;CHAR(34)&amp;$C55&amp;CHAR(34)&amp;","&amp;CHAR(34)&amp;"value"&amp;CHAR(34)&amp;":"&amp;CHAR(34)&amp;SUBSTITUTE($AD55,CHAR(34),CHAR(92)&amp;CHAR(34))&amp;CHAR(34)&amp;CHAR(125))</x:f>
      </x:c>
      <x:c r="AF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8" t="str">
        <x:f>IF(OR($A56&lt;&gt;"Yes",$C56="",COUNTA($E56:$AC56)=0),"","("&amp;IF(E56&lt;&gt;"",'Dashboard Config'!$B$6&amp;"="""&amp;E56&amp;"""","")&amp;IF(F56&lt;&gt;"",IF(COUNTA($E56:$E56)&gt;0," OR ","")&amp;'Dashboard Config'!$B$6&amp;"="""&amp;F56&amp;"""","")&amp;IF(G56&lt;&gt;"",IF(COUNTA($E56:$F56)&gt;0," OR ","")&amp;'Dashboard Config'!$B$6&amp;"="""&amp;G56&amp;"""","")&amp;IF(H56&lt;&gt;"",IF(COUNTA($E56:$G56)&gt;0," OR ","")&amp;'Dashboard Config'!$B$6&amp;"="""&amp;H56&amp;"""","")&amp;IF(I56&lt;&gt;"",IF(COUNTA($E56:$H56)&gt;0," OR ","")&amp;'Dashboard Config'!$B$6&amp;"="""&amp;I56&amp;"""","")&amp;IF(J56&lt;&gt;"",IF(COUNTA($E56:$I56)&gt;0," OR ","")&amp;'Dashboard Config'!$B$6&amp;"="""&amp;J56&amp;"""","")&amp;IF(K56&lt;&gt;"",IF(COUNTA($E56:$J56)&gt;0," OR ","")&amp;'Dashboard Config'!$B$6&amp;"="""&amp;K56&amp;"""","")&amp;IF(L56&lt;&gt;"",IF(COUNTA($E56:$K56)&gt;0," OR ","")&amp;'Dashboard Config'!$B$6&amp;"="""&amp;L56&amp;"""","")&amp;IF(M56&lt;&gt;"",IF(COUNTA($E56:$L56)&gt;0," OR ","")&amp;'Dashboard Config'!$B$7&amp;"="""&amp;M56&amp;"""","")&amp;IF(N56&lt;&gt;"",IF(COUNTA($E56:$M56)&gt;0," OR ","")&amp;'Dashboard Config'!$B$7&amp;"="""&amp;N56&amp;"""","")&amp;IF(O56&lt;&gt;"",IF(COUNTA($E56:$N56)&gt;0," OR ","")&amp;'Dashboard Config'!$B$7&amp;"="""&amp;O56&amp;"""","")&amp;IF(P56&lt;&gt;"",IF(COUNTA($E56:$O56)&gt;0," OR ","")&amp;'Dashboard Config'!$B$7&amp;"="""&amp;P56&amp;"""","")&amp;IF(Q56&lt;&gt;"",IF(COUNTA($E56:$P56)&gt;0," OR ","")&amp;'Dashboard Config'!$B$7&amp;"="""&amp;Q56&amp;"""","")&amp;IF(R56&lt;&gt;"",IF(COUNTA($E56:$Q56)&gt;0," OR ","")&amp;'Dashboard Config'!$B$7&amp;"="""&amp;R56&amp;"""","")&amp;IF(S56&lt;&gt;"",IF(COUNTA($E56:$R56)&gt;0," OR ","")&amp;'Dashboard Config'!$B$7&amp;"="""&amp;S56&amp;"""","")&amp;IF(T56&lt;&gt;"",IF(COUNTA($E56:$S56)&gt;0," OR ","")&amp;'Dashboard Config'!$B$7&amp;"="""&amp;T56&amp;"""","")&amp;IF(U56&lt;&gt;"",IF(COUNTA($E56:$T56)&gt;0," OR ","")&amp;'Dashboard Config'!$B$7&amp;"="""&amp;U56&amp;"""","")&amp;IF(V56&lt;&gt;"",IF(COUNTA($E56:$U56)&gt;0," OR ","")&amp;'Dashboard Config'!$B$7&amp;"="""&amp;V56&amp;"""","")&amp;IF(W56&lt;&gt;"",IF(COUNTA($E56:$V56)&gt;0," OR ","")&amp;'Dashboard Config'!$B$7&amp;"="""&amp;W56&amp;"""","")&amp;IF(X56&lt;&gt;"",IF(COUNTA($E56:$W56)&gt;0," OR ","")&amp;'Dashboard Config'!$B$7&amp;"="""&amp;X56&amp;"""","")&amp;IF(Y56&lt;&gt;"",IF(COUNTA($E56:$X56)&gt;0," OR ","")&amp;'Dashboard Config'!$B$7&amp;"="""&amp;Y56&amp;"""","")&amp;IF(Z56&lt;&gt;"",IF(COUNTA($E56:$Y56)&gt;0," OR ","")&amp;'Dashboard Config'!$B$7&amp;"="""&amp;Z56&amp;"""","")&amp;IF(AA56&lt;&gt;"",IF(COUNTA($E56:$Z56)&gt;0," OR ","")&amp;'Dashboard Config'!$B$7&amp;"="""&amp;AA56&amp;"""","")&amp;IF(AB56&lt;&gt;"",IF(COUNTA($E56:$AA56)&gt;0," OR ","")&amp;'Dashboard Config'!$B$7&amp;"="""&amp;AB56&amp;"""","")&amp;IF(AC56&lt;&gt;"",IF(COUNTA($E56:$AB56)&gt;0," OR ","")&amp;AC56,"")&amp;")")</x:f>
      </x:c>
      <x:c r="AE56" s="48" t="str">
        <x:f>IF($AD56="","",CHAR(123)&amp;CHAR(34)&amp;"label"&amp;CHAR(34)&amp;":"&amp;CHAR(34)&amp;$C56&amp;CHAR(34)&amp;","&amp;CHAR(34)&amp;"value"&amp;CHAR(34)&amp;":"&amp;CHAR(34)&amp;SUBSTITUTE($AD56,CHAR(34),CHAR(92)&amp;CHAR(34))&amp;CHAR(34)&amp;CHAR(125))</x:f>
      </x:c>
      <x:c r="AF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  <x:c r="AB57" s="42"/>
      <x:c r="AC57" s="42"/>
      <x:c r="AD57" s="48" t="str">
        <x:f>IF(OR($A57&lt;&gt;"Yes",$C57="",COUNTA($E57:$AC57)=0),"","("&amp;IF(E57&lt;&gt;"",'Dashboard Config'!$B$6&amp;"="""&amp;E57&amp;"""","")&amp;IF(F57&lt;&gt;"",IF(COUNTA($E57:$E57)&gt;0," OR ","")&amp;'Dashboard Config'!$B$6&amp;"="""&amp;F57&amp;"""","")&amp;IF(G57&lt;&gt;"",IF(COUNTA($E57:$F57)&gt;0," OR ","")&amp;'Dashboard Config'!$B$6&amp;"="""&amp;G57&amp;"""","")&amp;IF(H57&lt;&gt;"",IF(COUNTA($E57:$G57)&gt;0," OR ","")&amp;'Dashboard Config'!$B$6&amp;"="""&amp;H57&amp;"""","")&amp;IF(I57&lt;&gt;"",IF(COUNTA($E57:$H57)&gt;0," OR ","")&amp;'Dashboard Config'!$B$6&amp;"="""&amp;I57&amp;"""","")&amp;IF(J57&lt;&gt;"",IF(COUNTA($E57:$I57)&gt;0," OR ","")&amp;'Dashboard Config'!$B$6&amp;"="""&amp;J57&amp;"""","")&amp;IF(K57&lt;&gt;"",IF(COUNTA($E57:$J57)&gt;0," OR ","")&amp;'Dashboard Config'!$B$6&amp;"="""&amp;K57&amp;"""","")&amp;IF(L57&lt;&gt;"",IF(COUNTA($E57:$K57)&gt;0," OR ","")&amp;'Dashboard Config'!$B$6&amp;"="""&amp;L57&amp;"""","")&amp;IF(M57&lt;&gt;"",IF(COUNTA($E57:$L57)&gt;0," OR ","")&amp;'Dashboard Config'!$B$7&amp;"="""&amp;M57&amp;"""","")&amp;IF(N57&lt;&gt;"",IF(COUNTA($E57:$M57)&gt;0," OR ","")&amp;'Dashboard Config'!$B$7&amp;"="""&amp;N57&amp;"""","")&amp;IF(O57&lt;&gt;"",IF(COUNTA($E57:$N57)&gt;0," OR ","")&amp;'Dashboard Config'!$B$7&amp;"="""&amp;O57&amp;"""","")&amp;IF(P57&lt;&gt;"",IF(COUNTA($E57:$O57)&gt;0," OR ","")&amp;'Dashboard Config'!$B$7&amp;"="""&amp;P57&amp;"""","")&amp;IF(Q57&lt;&gt;"",IF(COUNTA($E57:$P57)&gt;0," OR ","")&amp;'Dashboard Config'!$B$7&amp;"="""&amp;Q57&amp;"""","")&amp;IF(R57&lt;&gt;"",IF(COUNTA($E57:$Q57)&gt;0," OR ","")&amp;'Dashboard Config'!$B$7&amp;"="""&amp;R57&amp;"""","")&amp;IF(S57&lt;&gt;"",IF(COUNTA($E57:$R57)&gt;0," OR ","")&amp;'Dashboard Config'!$B$7&amp;"="""&amp;S57&amp;"""","")&amp;IF(T57&lt;&gt;"",IF(COUNTA($E57:$S57)&gt;0," OR ","")&amp;'Dashboard Config'!$B$7&amp;"="""&amp;T57&amp;"""","")&amp;IF(U57&lt;&gt;"",IF(COUNTA($E57:$T57)&gt;0," OR ","")&amp;'Dashboard Config'!$B$7&amp;"="""&amp;U57&amp;"""","")&amp;IF(V57&lt;&gt;"",IF(COUNTA($E57:$U57)&gt;0," OR ","")&amp;'Dashboard Config'!$B$7&amp;"="""&amp;V57&amp;"""","")&amp;IF(W57&lt;&gt;"",IF(COUNTA($E57:$V57)&gt;0," OR ","")&amp;'Dashboard Config'!$B$7&amp;"="""&amp;W57&amp;"""","")&amp;IF(X57&lt;&gt;"",IF(COUNTA($E57:$W57)&gt;0," OR ","")&amp;'Dashboard Config'!$B$7&amp;"="""&amp;X57&amp;"""","")&amp;IF(Y57&lt;&gt;"",IF(COUNTA($E57:$X57)&gt;0," OR ","")&amp;'Dashboard Config'!$B$7&amp;"="""&amp;Y57&amp;"""","")&amp;IF(Z57&lt;&gt;"",IF(COUNTA($E57:$Y57)&gt;0," OR ","")&amp;'Dashboard Config'!$B$7&amp;"="""&amp;Z57&amp;"""","")&amp;IF(AA57&lt;&gt;"",IF(COUNTA($E57:$Z57)&gt;0," OR ","")&amp;'Dashboard Config'!$B$7&amp;"="""&amp;AA57&amp;"""","")&amp;IF(AB57&lt;&gt;"",IF(COUNTA($E57:$AA57)&gt;0," OR ","")&amp;'Dashboard Config'!$B$7&amp;"="""&amp;AB57&amp;"""","")&amp;IF(AC57&lt;&gt;"",IF(COUNTA($E57:$AB57)&gt;0," OR ","")&amp;AC57,"")&amp;")")</x:f>
      </x:c>
      <x:c r="AE57" s="48" t="str">
        <x:f>IF($AD57="","",CHAR(123)&amp;CHAR(34)&amp;"label"&amp;CHAR(34)&amp;":"&amp;CHAR(34)&amp;$C57&amp;CHAR(34)&amp;","&amp;CHAR(34)&amp;"value"&amp;CHAR(34)&amp;":"&amp;CHAR(34)&amp;SUBSTITUTE($AD57,CHAR(34),CHAR(92)&amp;CHAR(34))&amp;CHAR(34)&amp;CHAR(125))</x:f>
      </x:c>
      <x:c r="AF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  <x:c r="AB58" s="42"/>
      <x:c r="AC58" s="42"/>
      <x:c r="AD58" s="48" t="str">
        <x:f>IF(OR($A58&lt;&gt;"Yes",$C58="",COUNTA($E58:$AC58)=0),"","("&amp;IF(E58&lt;&gt;"",'Dashboard Config'!$B$6&amp;"="""&amp;E58&amp;"""","")&amp;IF(F58&lt;&gt;"",IF(COUNTA($E58:$E58)&gt;0," OR ","")&amp;'Dashboard Config'!$B$6&amp;"="""&amp;F58&amp;"""","")&amp;IF(G58&lt;&gt;"",IF(COUNTA($E58:$F58)&gt;0," OR ","")&amp;'Dashboard Config'!$B$6&amp;"="""&amp;G58&amp;"""","")&amp;IF(H58&lt;&gt;"",IF(COUNTA($E58:$G58)&gt;0," OR ","")&amp;'Dashboard Config'!$B$6&amp;"="""&amp;H58&amp;"""","")&amp;IF(I58&lt;&gt;"",IF(COUNTA($E58:$H58)&gt;0," OR ","")&amp;'Dashboard Config'!$B$6&amp;"="""&amp;I58&amp;"""","")&amp;IF(J58&lt;&gt;"",IF(COUNTA($E58:$I58)&gt;0," OR ","")&amp;'Dashboard Config'!$B$6&amp;"="""&amp;J58&amp;"""","")&amp;IF(K58&lt;&gt;"",IF(COUNTA($E58:$J58)&gt;0," OR ","")&amp;'Dashboard Config'!$B$6&amp;"="""&amp;K58&amp;"""","")&amp;IF(L58&lt;&gt;"",IF(COUNTA($E58:$K58)&gt;0," OR ","")&amp;'Dashboard Config'!$B$6&amp;"="""&amp;L58&amp;"""","")&amp;IF(M58&lt;&gt;"",IF(COUNTA($E58:$L58)&gt;0," OR ","")&amp;'Dashboard Config'!$B$7&amp;"="""&amp;M58&amp;"""","")&amp;IF(N58&lt;&gt;"",IF(COUNTA($E58:$M58)&gt;0," OR ","")&amp;'Dashboard Config'!$B$7&amp;"="""&amp;N58&amp;"""","")&amp;IF(O58&lt;&gt;"",IF(COUNTA($E58:$N58)&gt;0," OR ","")&amp;'Dashboard Config'!$B$7&amp;"="""&amp;O58&amp;"""","")&amp;IF(P58&lt;&gt;"",IF(COUNTA($E58:$O58)&gt;0," OR ","")&amp;'Dashboard Config'!$B$7&amp;"="""&amp;P58&amp;"""","")&amp;IF(Q58&lt;&gt;"",IF(COUNTA($E58:$P58)&gt;0," OR ","")&amp;'Dashboard Config'!$B$7&amp;"="""&amp;Q58&amp;"""","")&amp;IF(R58&lt;&gt;"",IF(COUNTA($E58:$Q58)&gt;0," OR ","")&amp;'Dashboard Config'!$B$7&amp;"="""&amp;R58&amp;"""","")&amp;IF(S58&lt;&gt;"",IF(COUNTA($E58:$R58)&gt;0," OR ","")&amp;'Dashboard Config'!$B$7&amp;"="""&amp;S58&amp;"""","")&amp;IF(T58&lt;&gt;"",IF(COUNTA($E58:$S58)&gt;0," OR ","")&amp;'Dashboard Config'!$B$7&amp;"="""&amp;T58&amp;"""","")&amp;IF(U58&lt;&gt;"",IF(COUNTA($E58:$T58)&gt;0," OR ","")&amp;'Dashboard Config'!$B$7&amp;"="""&amp;U58&amp;"""","")&amp;IF(V58&lt;&gt;"",IF(COUNTA($E58:$U58)&gt;0," OR ","")&amp;'Dashboard Config'!$B$7&amp;"="""&amp;V58&amp;"""","")&amp;IF(W58&lt;&gt;"",IF(COUNTA($E58:$V58)&gt;0," OR ","")&amp;'Dashboard Config'!$B$7&amp;"="""&amp;W58&amp;"""","")&amp;IF(X58&lt;&gt;"",IF(COUNTA($E58:$W58)&gt;0," OR ","")&amp;'Dashboard Config'!$B$7&amp;"="""&amp;X58&amp;"""","")&amp;IF(Y58&lt;&gt;"",IF(COUNTA($E58:$X58)&gt;0," OR ","")&amp;'Dashboard Config'!$B$7&amp;"="""&amp;Y58&amp;"""","")&amp;IF(Z58&lt;&gt;"",IF(COUNTA($E58:$Y58)&gt;0," OR ","")&amp;'Dashboard Config'!$B$7&amp;"="""&amp;Z58&amp;"""","")&amp;IF(AA58&lt;&gt;"",IF(COUNTA($E58:$Z58)&gt;0," OR ","")&amp;'Dashboard Config'!$B$7&amp;"="""&amp;AA58&amp;"""","")&amp;IF(AB58&lt;&gt;"",IF(COUNTA($E58:$AA58)&gt;0," OR ","")&amp;'Dashboard Config'!$B$7&amp;"="""&amp;AB58&amp;"""","")&amp;IF(AC58&lt;&gt;"",IF(COUNTA($E58:$AB58)&gt;0," OR ","")&amp;AC58,"")&amp;")")</x:f>
      </x:c>
      <x:c r="AE58" s="48" t="str">
        <x:f>IF($AD58="","",CHAR(123)&amp;CHAR(34)&amp;"label"&amp;CHAR(34)&amp;":"&amp;CHAR(34)&amp;$C58&amp;CHAR(34)&amp;","&amp;CHAR(34)&amp;"value"&amp;CHAR(34)&amp;":"&amp;CHAR(34)&amp;SUBSTITUTE($AD58,CHAR(34),CHAR(92)&amp;CHAR(34))&amp;CHAR(34)&amp;CHAR(125))</x:f>
      </x:c>
      <x:c r="AF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  <x:c r="AB59" s="42"/>
      <x:c r="AC59" s="42"/>
      <x:c r="AD59" s="48" t="str">
        <x:f>IF(OR($A59&lt;&gt;"Yes",$C59="",COUNTA($E59:$AC59)=0),"","("&amp;IF(E59&lt;&gt;"",'Dashboard Config'!$B$6&amp;"="""&amp;E59&amp;"""","")&amp;IF(F59&lt;&gt;"",IF(COUNTA($E59:$E59)&gt;0," OR ","")&amp;'Dashboard Config'!$B$6&amp;"="""&amp;F59&amp;"""","")&amp;IF(G59&lt;&gt;"",IF(COUNTA($E59:$F59)&gt;0," OR ","")&amp;'Dashboard Config'!$B$6&amp;"="""&amp;G59&amp;"""","")&amp;IF(H59&lt;&gt;"",IF(COUNTA($E59:$G59)&gt;0," OR ","")&amp;'Dashboard Config'!$B$6&amp;"="""&amp;H59&amp;"""","")&amp;IF(I59&lt;&gt;"",IF(COUNTA($E59:$H59)&gt;0," OR ","")&amp;'Dashboard Config'!$B$6&amp;"="""&amp;I59&amp;"""","")&amp;IF(J59&lt;&gt;"",IF(COUNTA($E59:$I59)&gt;0," OR ","")&amp;'Dashboard Config'!$B$6&amp;"="""&amp;J59&amp;"""","")&amp;IF(K59&lt;&gt;"",IF(COUNTA($E59:$J59)&gt;0," OR ","")&amp;'Dashboard Config'!$B$6&amp;"="""&amp;K59&amp;"""","")&amp;IF(L59&lt;&gt;"",IF(COUNTA($E59:$K59)&gt;0," OR ","")&amp;'Dashboard Config'!$B$6&amp;"="""&amp;L59&amp;"""","")&amp;IF(M59&lt;&gt;"",IF(COUNTA($E59:$L59)&gt;0," OR ","")&amp;'Dashboard Config'!$B$7&amp;"="""&amp;M59&amp;"""","")&amp;IF(N59&lt;&gt;"",IF(COUNTA($E59:$M59)&gt;0," OR ","")&amp;'Dashboard Config'!$B$7&amp;"="""&amp;N59&amp;"""","")&amp;IF(O59&lt;&gt;"",IF(COUNTA($E59:$N59)&gt;0," OR ","")&amp;'Dashboard Config'!$B$7&amp;"="""&amp;O59&amp;"""","")&amp;IF(P59&lt;&gt;"",IF(COUNTA($E59:$O59)&gt;0," OR ","")&amp;'Dashboard Config'!$B$7&amp;"="""&amp;P59&amp;"""","")&amp;IF(Q59&lt;&gt;"",IF(COUNTA($E59:$P59)&gt;0," OR ","")&amp;'Dashboard Config'!$B$7&amp;"="""&amp;Q59&amp;"""","")&amp;IF(R59&lt;&gt;"",IF(COUNTA($E59:$Q59)&gt;0," OR ","")&amp;'Dashboard Config'!$B$7&amp;"="""&amp;R59&amp;"""","")&amp;IF(S59&lt;&gt;"",IF(COUNTA($E59:$R59)&gt;0," OR ","")&amp;'Dashboard Config'!$B$7&amp;"="""&amp;S59&amp;"""","")&amp;IF(T59&lt;&gt;"",IF(COUNTA($E59:$S59)&gt;0," OR ","")&amp;'Dashboard Config'!$B$7&amp;"="""&amp;T59&amp;"""","")&amp;IF(U59&lt;&gt;"",IF(COUNTA($E59:$T59)&gt;0," OR ","")&amp;'Dashboard Config'!$B$7&amp;"="""&amp;U59&amp;"""","")&amp;IF(V59&lt;&gt;"",IF(COUNTA($E59:$U59)&gt;0," OR ","")&amp;'Dashboard Config'!$B$7&amp;"="""&amp;V59&amp;"""","")&amp;IF(W59&lt;&gt;"",IF(COUNTA($E59:$V59)&gt;0," OR ","")&amp;'Dashboard Config'!$B$7&amp;"="""&amp;W59&amp;"""","")&amp;IF(X59&lt;&gt;"",IF(COUNTA($E59:$W59)&gt;0," OR ","")&amp;'Dashboard Config'!$B$7&amp;"="""&amp;X59&amp;"""","")&amp;IF(Y59&lt;&gt;"",IF(COUNTA($E59:$X59)&gt;0," OR ","")&amp;'Dashboard Config'!$B$7&amp;"="""&amp;Y59&amp;"""","")&amp;IF(Z59&lt;&gt;"",IF(COUNTA($E59:$Y59)&gt;0," OR ","")&amp;'Dashboard Config'!$B$7&amp;"="""&amp;Z59&amp;"""","")&amp;IF(AA59&lt;&gt;"",IF(COUNTA($E59:$Z59)&gt;0," OR ","")&amp;'Dashboard Config'!$B$7&amp;"="""&amp;AA59&amp;"""","")&amp;IF(AB59&lt;&gt;"",IF(COUNTA($E59:$AA59)&gt;0," OR ","")&amp;'Dashboard Config'!$B$7&amp;"="""&amp;AB59&amp;"""","")&amp;IF(AC59&lt;&gt;"",IF(COUNTA($E59:$AB59)&gt;0," OR ","")&amp;AC59,"")&amp;")")</x:f>
      </x:c>
      <x:c r="AE59" s="48" t="str">
        <x:f>IF($AD59="","",CHAR(123)&amp;CHAR(34)&amp;"label"&amp;CHAR(34)&amp;":"&amp;CHAR(34)&amp;$C59&amp;CHAR(34)&amp;","&amp;CHAR(34)&amp;"value"&amp;CHAR(34)&amp;":"&amp;CHAR(34)&amp;SUBSTITUTE($AD59,CHAR(34),CHAR(92)&amp;CHAR(34))&amp;CHAR(34)&amp;CHAR(125))</x:f>
      </x:c>
      <x:c r="AF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  <x:c r="AB60" s="42"/>
      <x:c r="AC60" s="42"/>
      <x:c r="AD60" s="48" t="str">
        <x:f>IF(OR($A60&lt;&gt;"Yes",$C60="",COUNTA($E60:$AC60)=0),"","("&amp;IF(E60&lt;&gt;"",'Dashboard Config'!$B$6&amp;"="""&amp;E60&amp;"""","")&amp;IF(F60&lt;&gt;"",IF(COUNTA($E60:$E60)&gt;0," OR ","")&amp;'Dashboard Config'!$B$6&amp;"="""&amp;F60&amp;"""","")&amp;IF(G60&lt;&gt;"",IF(COUNTA($E60:$F60)&gt;0," OR ","")&amp;'Dashboard Config'!$B$6&amp;"="""&amp;G60&amp;"""","")&amp;IF(H60&lt;&gt;"",IF(COUNTA($E60:$G60)&gt;0," OR ","")&amp;'Dashboard Config'!$B$6&amp;"="""&amp;H60&amp;"""","")&amp;IF(I60&lt;&gt;"",IF(COUNTA($E60:$H60)&gt;0," OR ","")&amp;'Dashboard Config'!$B$6&amp;"="""&amp;I60&amp;"""","")&amp;IF(J60&lt;&gt;"",IF(COUNTA($E60:$I60)&gt;0," OR ","")&amp;'Dashboard Config'!$B$6&amp;"="""&amp;J60&amp;"""","")&amp;IF(K60&lt;&gt;"",IF(COUNTA($E60:$J60)&gt;0," OR ","")&amp;'Dashboard Config'!$B$6&amp;"="""&amp;K60&amp;"""","")&amp;IF(L60&lt;&gt;"",IF(COUNTA($E60:$K60)&gt;0," OR ","")&amp;'Dashboard Config'!$B$6&amp;"="""&amp;L60&amp;"""","")&amp;IF(M60&lt;&gt;"",IF(COUNTA($E60:$L60)&gt;0," OR ","")&amp;'Dashboard Config'!$B$7&amp;"="""&amp;M60&amp;"""","")&amp;IF(N60&lt;&gt;"",IF(COUNTA($E60:$M60)&gt;0," OR ","")&amp;'Dashboard Config'!$B$7&amp;"="""&amp;N60&amp;"""","")&amp;IF(O60&lt;&gt;"",IF(COUNTA($E60:$N60)&gt;0," OR ","")&amp;'Dashboard Config'!$B$7&amp;"="""&amp;O60&amp;"""","")&amp;IF(P60&lt;&gt;"",IF(COUNTA($E60:$O60)&gt;0," OR ","")&amp;'Dashboard Config'!$B$7&amp;"="""&amp;P60&amp;"""","")&amp;IF(Q60&lt;&gt;"",IF(COUNTA($E60:$P60)&gt;0," OR ","")&amp;'Dashboard Config'!$B$7&amp;"="""&amp;Q60&amp;"""","")&amp;IF(R60&lt;&gt;"",IF(COUNTA($E60:$Q60)&gt;0," OR ","")&amp;'Dashboard Config'!$B$7&amp;"="""&amp;R60&amp;"""","")&amp;IF(S60&lt;&gt;"",IF(COUNTA($E60:$R60)&gt;0," OR ","")&amp;'Dashboard Config'!$B$7&amp;"="""&amp;S60&amp;"""","")&amp;IF(T60&lt;&gt;"",IF(COUNTA($E60:$S60)&gt;0," OR ","")&amp;'Dashboard Config'!$B$7&amp;"="""&amp;T60&amp;"""","")&amp;IF(U60&lt;&gt;"",IF(COUNTA($E60:$T60)&gt;0," OR ","")&amp;'Dashboard Config'!$B$7&amp;"="""&amp;U60&amp;"""","")&amp;IF(V60&lt;&gt;"",IF(COUNTA($E60:$U60)&gt;0," OR ","")&amp;'Dashboard Config'!$B$7&amp;"="""&amp;V60&amp;"""","")&amp;IF(W60&lt;&gt;"",IF(COUNTA($E60:$V60)&gt;0," OR ","")&amp;'Dashboard Config'!$B$7&amp;"="""&amp;W60&amp;"""","")&amp;IF(X60&lt;&gt;"",IF(COUNTA($E60:$W60)&gt;0," OR ","")&amp;'Dashboard Config'!$B$7&amp;"="""&amp;X60&amp;"""","")&amp;IF(Y60&lt;&gt;"",IF(COUNTA($E60:$X60)&gt;0," OR ","")&amp;'Dashboard Config'!$B$7&amp;"="""&amp;Y60&amp;"""","")&amp;IF(Z60&lt;&gt;"",IF(COUNTA($E60:$Y60)&gt;0," OR ","")&amp;'Dashboard Config'!$B$7&amp;"="""&amp;Z60&amp;"""","")&amp;IF(AA60&lt;&gt;"",IF(COUNTA($E60:$Z60)&gt;0," OR ","")&amp;'Dashboard Config'!$B$7&amp;"="""&amp;AA60&amp;"""","")&amp;IF(AB60&lt;&gt;"",IF(COUNTA($E60:$AA60)&gt;0," OR ","")&amp;'Dashboard Config'!$B$7&amp;"="""&amp;AB60&amp;"""","")&amp;IF(AC60&lt;&gt;"",IF(COUNTA($E60:$AB60)&gt;0," OR ","")&amp;AC60,"")&amp;")")</x:f>
      </x:c>
      <x:c r="AE60" s="48" t="str">
        <x:f>IF($AD60="","",CHAR(123)&amp;CHAR(34)&amp;"label"&amp;CHAR(34)&amp;":"&amp;CHAR(34)&amp;$C60&amp;CHAR(34)&amp;","&amp;CHAR(34)&amp;"value"&amp;CHAR(34)&amp;":"&amp;CHAR(34)&amp;SUBSTITUTE($AD60,CHAR(34),CHAR(92)&amp;CHAR(34))&amp;CHAR(34)&amp;CHAR(125))</x:f>
      </x:c>
      <x:c r="AF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  <x:c r="AA61" s="42"/>
      <x:c r="AB61" s="42"/>
      <x:c r="AC61" s="42"/>
      <x:c r="AD61" s="48" t="str">
        <x:f>IF(OR($A61&lt;&gt;"Yes",$C61="",COUNTA($E61:$AC61)=0),"","("&amp;IF(E61&lt;&gt;"",'Dashboard Config'!$B$6&amp;"="""&amp;E61&amp;"""","")&amp;IF(F61&lt;&gt;"",IF(COUNTA($E61:$E61)&gt;0," OR ","")&amp;'Dashboard Config'!$B$6&amp;"="""&amp;F61&amp;"""","")&amp;IF(G61&lt;&gt;"",IF(COUNTA($E61:$F61)&gt;0," OR ","")&amp;'Dashboard Config'!$B$6&amp;"="""&amp;G61&amp;"""","")&amp;IF(H61&lt;&gt;"",IF(COUNTA($E61:$G61)&gt;0," OR ","")&amp;'Dashboard Config'!$B$6&amp;"="""&amp;H61&amp;"""","")&amp;IF(I61&lt;&gt;"",IF(COUNTA($E61:$H61)&gt;0," OR ","")&amp;'Dashboard Config'!$B$6&amp;"="""&amp;I61&amp;"""","")&amp;IF(J61&lt;&gt;"",IF(COUNTA($E61:$I61)&gt;0," OR ","")&amp;'Dashboard Config'!$B$6&amp;"="""&amp;J61&amp;"""","")&amp;IF(K61&lt;&gt;"",IF(COUNTA($E61:$J61)&gt;0," OR ","")&amp;'Dashboard Config'!$B$6&amp;"="""&amp;K61&amp;"""","")&amp;IF(L61&lt;&gt;"",IF(COUNTA($E61:$K61)&gt;0," OR ","")&amp;'Dashboard Config'!$B$6&amp;"="""&amp;L61&amp;"""","")&amp;IF(M61&lt;&gt;"",IF(COUNTA($E61:$L61)&gt;0," OR ","")&amp;'Dashboard Config'!$B$7&amp;"="""&amp;M61&amp;"""","")&amp;IF(N61&lt;&gt;"",IF(COUNTA($E61:$M61)&gt;0," OR ","")&amp;'Dashboard Config'!$B$7&amp;"="""&amp;N61&amp;"""","")&amp;IF(O61&lt;&gt;"",IF(COUNTA($E61:$N61)&gt;0," OR ","")&amp;'Dashboard Config'!$B$7&amp;"="""&amp;O61&amp;"""","")&amp;IF(P61&lt;&gt;"",IF(COUNTA($E61:$O61)&gt;0," OR ","")&amp;'Dashboard Config'!$B$7&amp;"="""&amp;P61&amp;"""","")&amp;IF(Q61&lt;&gt;"",IF(COUNTA($E61:$P61)&gt;0," OR ","")&amp;'Dashboard Config'!$B$7&amp;"="""&amp;Q61&amp;"""","")&amp;IF(R61&lt;&gt;"",IF(COUNTA($E61:$Q61)&gt;0," OR ","")&amp;'Dashboard Config'!$B$7&amp;"="""&amp;R61&amp;"""","")&amp;IF(S61&lt;&gt;"",IF(COUNTA($E61:$R61)&gt;0," OR ","")&amp;'Dashboard Config'!$B$7&amp;"="""&amp;S61&amp;"""","")&amp;IF(T61&lt;&gt;"",IF(COUNTA($E61:$S61)&gt;0," OR ","")&amp;'Dashboard Config'!$B$7&amp;"="""&amp;T61&amp;"""","")&amp;IF(U61&lt;&gt;"",IF(COUNTA($E61:$T61)&gt;0," OR ","")&amp;'Dashboard Config'!$B$7&amp;"="""&amp;U61&amp;"""","")&amp;IF(V61&lt;&gt;"",IF(COUNTA($E61:$U61)&gt;0," OR ","")&amp;'Dashboard Config'!$B$7&amp;"="""&amp;V61&amp;"""","")&amp;IF(W61&lt;&gt;"",IF(COUNTA($E61:$V61)&gt;0," OR ","")&amp;'Dashboard Config'!$B$7&amp;"="""&amp;W61&amp;"""","")&amp;IF(X61&lt;&gt;"",IF(COUNTA($E61:$W61)&gt;0," OR ","")&amp;'Dashboard Config'!$B$7&amp;"="""&amp;X61&amp;"""","")&amp;IF(Y61&lt;&gt;"",IF(COUNTA($E61:$X61)&gt;0," OR ","")&amp;'Dashboard Config'!$B$7&amp;"="""&amp;Y61&amp;"""","")&amp;IF(Z61&lt;&gt;"",IF(COUNTA($E61:$Y61)&gt;0," OR ","")&amp;'Dashboard Config'!$B$7&amp;"="""&amp;Z61&amp;"""","")&amp;IF(AA61&lt;&gt;"",IF(COUNTA($E61:$Z61)&gt;0," OR ","")&amp;'Dashboard Config'!$B$7&amp;"="""&amp;AA61&amp;"""","")&amp;IF(AB61&lt;&gt;"",IF(COUNTA($E61:$AA61)&gt;0," OR ","")&amp;'Dashboard Config'!$B$7&amp;"="""&amp;AB61&amp;"""","")&amp;IF(AC61&lt;&gt;"",IF(COUNTA($E61:$AB61)&gt;0," OR ","")&amp;AC61,"")&amp;")")</x:f>
      </x:c>
      <x:c r="AE61" s="48" t="str">
        <x:f>IF($AD61="","",CHAR(123)&amp;CHAR(34)&amp;"label"&amp;CHAR(34)&amp;":"&amp;CHAR(34)&amp;$C61&amp;CHAR(34)&amp;","&amp;CHAR(34)&amp;"value"&amp;CHAR(34)&amp;":"&amp;CHAR(34)&amp;SUBSTITUTE($AD61,CHAR(34),CHAR(92)&amp;CHAR(34))&amp;CHAR(34)&amp;CHAR(125))</x:f>
      </x:c>
      <x:c r="AF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  <x:c r="AA62" s="42"/>
      <x:c r="AB62" s="42"/>
      <x:c r="AC62" s="42"/>
      <x:c r="AD62" s="48" t="str">
        <x:f>IF(OR($A62&lt;&gt;"Yes",$C62="",COUNTA($E62:$AC62)=0),"","("&amp;IF(E62&lt;&gt;"",'Dashboard Config'!$B$6&amp;"="""&amp;E62&amp;"""","")&amp;IF(F62&lt;&gt;"",IF(COUNTA($E62:$E62)&gt;0," OR ","")&amp;'Dashboard Config'!$B$6&amp;"="""&amp;F62&amp;"""","")&amp;IF(G62&lt;&gt;"",IF(COUNTA($E62:$F62)&gt;0," OR ","")&amp;'Dashboard Config'!$B$6&amp;"="""&amp;G62&amp;"""","")&amp;IF(H62&lt;&gt;"",IF(COUNTA($E62:$G62)&gt;0," OR ","")&amp;'Dashboard Config'!$B$6&amp;"="""&amp;H62&amp;"""","")&amp;IF(I62&lt;&gt;"",IF(COUNTA($E62:$H62)&gt;0," OR ","")&amp;'Dashboard Config'!$B$6&amp;"="""&amp;I62&amp;"""","")&amp;IF(J62&lt;&gt;"",IF(COUNTA($E62:$I62)&gt;0," OR ","")&amp;'Dashboard Config'!$B$6&amp;"="""&amp;J62&amp;"""","")&amp;IF(K62&lt;&gt;"",IF(COUNTA($E62:$J62)&gt;0," OR ","")&amp;'Dashboard Config'!$B$6&amp;"="""&amp;K62&amp;"""","")&amp;IF(L62&lt;&gt;"",IF(COUNTA($E62:$K62)&gt;0," OR ","")&amp;'Dashboard Config'!$B$6&amp;"="""&amp;L62&amp;"""","")&amp;IF(M62&lt;&gt;"",IF(COUNTA($E62:$L62)&gt;0," OR ","")&amp;'Dashboard Config'!$B$7&amp;"="""&amp;M62&amp;"""","")&amp;IF(N62&lt;&gt;"",IF(COUNTA($E62:$M62)&gt;0," OR ","")&amp;'Dashboard Config'!$B$7&amp;"="""&amp;N62&amp;"""","")&amp;IF(O62&lt;&gt;"",IF(COUNTA($E62:$N62)&gt;0," OR ","")&amp;'Dashboard Config'!$B$7&amp;"="""&amp;O62&amp;"""","")&amp;IF(P62&lt;&gt;"",IF(COUNTA($E62:$O62)&gt;0," OR ","")&amp;'Dashboard Config'!$B$7&amp;"="""&amp;P62&amp;"""","")&amp;IF(Q62&lt;&gt;"",IF(COUNTA($E62:$P62)&gt;0," OR ","")&amp;'Dashboard Config'!$B$7&amp;"="""&amp;Q62&amp;"""","")&amp;IF(R62&lt;&gt;"",IF(COUNTA($E62:$Q62)&gt;0," OR ","")&amp;'Dashboard Config'!$B$7&amp;"="""&amp;R62&amp;"""","")&amp;IF(S62&lt;&gt;"",IF(COUNTA($E62:$R62)&gt;0," OR ","")&amp;'Dashboard Config'!$B$7&amp;"="""&amp;S62&amp;"""","")&amp;IF(T62&lt;&gt;"",IF(COUNTA($E62:$S62)&gt;0," OR ","")&amp;'Dashboard Config'!$B$7&amp;"="""&amp;T62&amp;"""","")&amp;IF(U62&lt;&gt;"",IF(COUNTA($E62:$T62)&gt;0," OR ","")&amp;'Dashboard Config'!$B$7&amp;"="""&amp;U62&amp;"""","")&amp;IF(V62&lt;&gt;"",IF(COUNTA($E62:$U62)&gt;0," OR ","")&amp;'Dashboard Config'!$B$7&amp;"="""&amp;V62&amp;"""","")&amp;IF(W62&lt;&gt;"",IF(COUNTA($E62:$V62)&gt;0," OR ","")&amp;'Dashboard Config'!$B$7&amp;"="""&amp;W62&amp;"""","")&amp;IF(X62&lt;&gt;"",IF(COUNTA($E62:$W62)&gt;0," OR ","")&amp;'Dashboard Config'!$B$7&amp;"="""&amp;X62&amp;"""","")&amp;IF(Y62&lt;&gt;"",IF(COUNTA($E62:$X62)&gt;0," OR ","")&amp;'Dashboard Config'!$B$7&amp;"="""&amp;Y62&amp;"""","")&amp;IF(Z62&lt;&gt;"",IF(COUNTA($E62:$Y62)&gt;0," OR ","")&amp;'Dashboard Config'!$B$7&amp;"="""&amp;Z62&amp;"""","")&amp;IF(AA62&lt;&gt;"",IF(COUNTA($E62:$Z62)&gt;0," OR ","")&amp;'Dashboard Config'!$B$7&amp;"="""&amp;AA62&amp;"""","")&amp;IF(AB62&lt;&gt;"",IF(COUNTA($E62:$AA62)&gt;0," OR ","")&amp;'Dashboard Config'!$B$7&amp;"="""&amp;AB62&amp;"""","")&amp;IF(AC62&lt;&gt;"",IF(COUNTA($E62:$AB62)&gt;0," OR ","")&amp;AC62,"")&amp;")")</x:f>
      </x:c>
      <x:c r="AE62" s="48" t="str">
        <x:f>IF($AD62="","",CHAR(123)&amp;CHAR(34)&amp;"label"&amp;CHAR(34)&amp;":"&amp;CHAR(34)&amp;$C62&amp;CHAR(34)&amp;","&amp;CHAR(34)&amp;"value"&amp;CHAR(34)&amp;":"&amp;CHAR(34)&amp;SUBSTITUTE($AD62,CHAR(34),CHAR(92)&amp;CHAR(34))&amp;CHAR(34)&amp;CHAR(125))</x:f>
      </x:c>
      <x:c r="AF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  <x:c r="AA63" s="42"/>
      <x:c r="AB63" s="42"/>
      <x:c r="AC63" s="42"/>
      <x:c r="AD63" s="48" t="str">
        <x:f>IF(OR($A63&lt;&gt;"Yes",$C63="",COUNTA($E63:$AC63)=0),"","("&amp;IF(E63&lt;&gt;"",'Dashboard Config'!$B$6&amp;"="""&amp;E63&amp;"""","")&amp;IF(F63&lt;&gt;"",IF(COUNTA($E63:$E63)&gt;0," OR ","")&amp;'Dashboard Config'!$B$6&amp;"="""&amp;F63&amp;"""","")&amp;IF(G63&lt;&gt;"",IF(COUNTA($E63:$F63)&gt;0," OR ","")&amp;'Dashboard Config'!$B$6&amp;"="""&amp;G63&amp;"""","")&amp;IF(H63&lt;&gt;"",IF(COUNTA($E63:$G63)&gt;0," OR ","")&amp;'Dashboard Config'!$B$6&amp;"="""&amp;H63&amp;"""","")&amp;IF(I63&lt;&gt;"",IF(COUNTA($E63:$H63)&gt;0," OR ","")&amp;'Dashboard Config'!$B$6&amp;"="""&amp;I63&amp;"""","")&amp;IF(J63&lt;&gt;"",IF(COUNTA($E63:$I63)&gt;0," OR ","")&amp;'Dashboard Config'!$B$6&amp;"="""&amp;J63&amp;"""","")&amp;IF(K63&lt;&gt;"",IF(COUNTA($E63:$J63)&gt;0," OR ","")&amp;'Dashboard Config'!$B$6&amp;"="""&amp;K63&amp;"""","")&amp;IF(L63&lt;&gt;"",IF(COUNTA($E63:$K63)&gt;0," OR ","")&amp;'Dashboard Config'!$B$6&amp;"="""&amp;L63&amp;"""","")&amp;IF(M63&lt;&gt;"",IF(COUNTA($E63:$L63)&gt;0," OR ","")&amp;'Dashboard Config'!$B$7&amp;"="""&amp;M63&amp;"""","")&amp;IF(N63&lt;&gt;"",IF(COUNTA($E63:$M63)&gt;0," OR ","")&amp;'Dashboard Config'!$B$7&amp;"="""&amp;N63&amp;"""","")&amp;IF(O63&lt;&gt;"",IF(COUNTA($E63:$N63)&gt;0," OR ","")&amp;'Dashboard Config'!$B$7&amp;"="""&amp;O63&amp;"""","")&amp;IF(P63&lt;&gt;"",IF(COUNTA($E63:$O63)&gt;0," OR ","")&amp;'Dashboard Config'!$B$7&amp;"="""&amp;P63&amp;"""","")&amp;IF(Q63&lt;&gt;"",IF(COUNTA($E63:$P63)&gt;0," OR ","")&amp;'Dashboard Config'!$B$7&amp;"="""&amp;Q63&amp;"""","")&amp;IF(R63&lt;&gt;"",IF(COUNTA($E63:$Q63)&gt;0," OR ","")&amp;'Dashboard Config'!$B$7&amp;"="""&amp;R63&amp;"""","")&amp;IF(S63&lt;&gt;"",IF(COUNTA($E63:$R63)&gt;0," OR ","")&amp;'Dashboard Config'!$B$7&amp;"="""&amp;S63&amp;"""","")&amp;IF(T63&lt;&gt;"",IF(COUNTA($E63:$S63)&gt;0," OR ","")&amp;'Dashboard Config'!$B$7&amp;"="""&amp;T63&amp;"""","")&amp;IF(U63&lt;&gt;"",IF(COUNTA($E63:$T63)&gt;0," OR ","")&amp;'Dashboard Config'!$B$7&amp;"="""&amp;U63&amp;"""","")&amp;IF(V63&lt;&gt;"",IF(COUNTA($E63:$U63)&gt;0," OR ","")&amp;'Dashboard Config'!$B$7&amp;"="""&amp;V63&amp;"""","")&amp;IF(W63&lt;&gt;"",IF(COUNTA($E63:$V63)&gt;0," OR ","")&amp;'Dashboard Config'!$B$7&amp;"="""&amp;W63&amp;"""","")&amp;IF(X63&lt;&gt;"",IF(COUNTA($E63:$W63)&gt;0," OR ","")&amp;'Dashboard Config'!$B$7&amp;"="""&amp;X63&amp;"""","")&amp;IF(Y63&lt;&gt;"",IF(COUNTA($E63:$X63)&gt;0," OR ","")&amp;'Dashboard Config'!$B$7&amp;"="""&amp;Y63&amp;"""","")&amp;IF(Z63&lt;&gt;"",IF(COUNTA($E63:$Y63)&gt;0," OR ","")&amp;'Dashboard Config'!$B$7&amp;"="""&amp;Z63&amp;"""","")&amp;IF(AA63&lt;&gt;"",IF(COUNTA($E63:$Z63)&gt;0," OR ","")&amp;'Dashboard Config'!$B$7&amp;"="""&amp;AA63&amp;"""","")&amp;IF(AB63&lt;&gt;"",IF(COUNTA($E63:$AA63)&gt;0," OR ","")&amp;'Dashboard Config'!$B$7&amp;"="""&amp;AB63&amp;"""","")&amp;IF(AC63&lt;&gt;"",IF(COUNTA($E63:$AB63)&gt;0," OR ","")&amp;AC63,"")&amp;")")</x:f>
      </x:c>
      <x:c r="AE63" s="48" t="str">
        <x:f>IF($AD63="","",CHAR(123)&amp;CHAR(34)&amp;"label"&amp;CHAR(34)&amp;":"&amp;CHAR(34)&amp;$C63&amp;CHAR(34)&amp;","&amp;CHAR(34)&amp;"value"&amp;CHAR(34)&amp;":"&amp;CHAR(34)&amp;SUBSTITUTE($AD63,CHAR(34),CHAR(92)&amp;CHAR(34))&amp;CHAR(34)&amp;CHAR(125))</x:f>
      </x:c>
      <x:c r="AF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  <x:c r="AA64" s="42"/>
      <x:c r="AB64" s="42"/>
      <x:c r="AC64" s="42"/>
      <x:c r="AD64" s="48" t="str">
        <x:f>IF(OR($A64&lt;&gt;"Yes",$C64="",COUNTA($E64:$AC64)=0),"","("&amp;IF(E64&lt;&gt;"",'Dashboard Config'!$B$6&amp;"="""&amp;E64&amp;"""","")&amp;IF(F64&lt;&gt;"",IF(COUNTA($E64:$E64)&gt;0," OR ","")&amp;'Dashboard Config'!$B$6&amp;"="""&amp;F64&amp;"""","")&amp;IF(G64&lt;&gt;"",IF(COUNTA($E64:$F64)&gt;0," OR ","")&amp;'Dashboard Config'!$B$6&amp;"="""&amp;G64&amp;"""","")&amp;IF(H64&lt;&gt;"",IF(COUNTA($E64:$G64)&gt;0," OR ","")&amp;'Dashboard Config'!$B$6&amp;"="""&amp;H64&amp;"""","")&amp;IF(I64&lt;&gt;"",IF(COUNTA($E64:$H64)&gt;0," OR ","")&amp;'Dashboard Config'!$B$6&amp;"="""&amp;I64&amp;"""","")&amp;IF(J64&lt;&gt;"",IF(COUNTA($E64:$I64)&gt;0," OR ","")&amp;'Dashboard Config'!$B$6&amp;"="""&amp;J64&amp;"""","")&amp;IF(K64&lt;&gt;"",IF(COUNTA($E64:$J64)&gt;0," OR ","")&amp;'Dashboard Config'!$B$6&amp;"="""&amp;K64&amp;"""","")&amp;IF(L64&lt;&gt;"",IF(COUNTA($E64:$K64)&gt;0," OR ","")&amp;'Dashboard Config'!$B$6&amp;"="""&amp;L64&amp;"""","")&amp;IF(M64&lt;&gt;"",IF(COUNTA($E64:$L64)&gt;0," OR ","")&amp;'Dashboard Config'!$B$7&amp;"="""&amp;M64&amp;"""","")&amp;IF(N64&lt;&gt;"",IF(COUNTA($E64:$M64)&gt;0," OR ","")&amp;'Dashboard Config'!$B$7&amp;"="""&amp;N64&amp;"""","")&amp;IF(O64&lt;&gt;"",IF(COUNTA($E64:$N64)&gt;0," OR ","")&amp;'Dashboard Config'!$B$7&amp;"="""&amp;O64&amp;"""","")&amp;IF(P64&lt;&gt;"",IF(COUNTA($E64:$O64)&gt;0," OR ","")&amp;'Dashboard Config'!$B$7&amp;"="""&amp;P64&amp;"""","")&amp;IF(Q64&lt;&gt;"",IF(COUNTA($E64:$P64)&gt;0," OR ","")&amp;'Dashboard Config'!$B$7&amp;"="""&amp;Q64&amp;"""","")&amp;IF(R64&lt;&gt;"",IF(COUNTA($E64:$Q64)&gt;0," OR ","")&amp;'Dashboard Config'!$B$7&amp;"="""&amp;R64&amp;"""","")&amp;IF(S64&lt;&gt;"",IF(COUNTA($E64:$R64)&gt;0," OR ","")&amp;'Dashboard Config'!$B$7&amp;"="""&amp;S64&amp;"""","")&amp;IF(T64&lt;&gt;"",IF(COUNTA($E64:$S64)&gt;0," OR ","")&amp;'Dashboard Config'!$B$7&amp;"="""&amp;T64&amp;"""","")&amp;IF(U64&lt;&gt;"",IF(COUNTA($E64:$T64)&gt;0," OR ","")&amp;'Dashboard Config'!$B$7&amp;"="""&amp;U64&amp;"""","")&amp;IF(V64&lt;&gt;"",IF(COUNTA($E64:$U64)&gt;0," OR ","")&amp;'Dashboard Config'!$B$7&amp;"="""&amp;V64&amp;"""","")&amp;IF(W64&lt;&gt;"",IF(COUNTA($E64:$V64)&gt;0," OR ","")&amp;'Dashboard Config'!$B$7&amp;"="""&amp;W64&amp;"""","")&amp;IF(X64&lt;&gt;"",IF(COUNTA($E64:$W64)&gt;0," OR ","")&amp;'Dashboard Config'!$B$7&amp;"="""&amp;X64&amp;"""","")&amp;IF(Y64&lt;&gt;"",IF(COUNTA($E64:$X64)&gt;0," OR ","")&amp;'Dashboard Config'!$B$7&amp;"="""&amp;Y64&amp;"""","")&amp;IF(Z64&lt;&gt;"",IF(COUNTA($E64:$Y64)&gt;0," OR ","")&amp;'Dashboard Config'!$B$7&amp;"="""&amp;Z64&amp;"""","")&amp;IF(AA64&lt;&gt;"",IF(COUNTA($E64:$Z64)&gt;0," OR ","")&amp;'Dashboard Config'!$B$7&amp;"="""&amp;AA64&amp;"""","")&amp;IF(AB64&lt;&gt;"",IF(COUNTA($E64:$AA64)&gt;0," OR ","")&amp;'Dashboard Config'!$B$7&amp;"="""&amp;AB64&amp;"""","")&amp;IF(AC64&lt;&gt;"",IF(COUNTA($E64:$AB64)&gt;0," OR ","")&amp;AC64,"")&amp;")")</x:f>
      </x:c>
      <x:c r="AE64" s="48" t="str">
        <x:f>IF($AD64="","",CHAR(123)&amp;CHAR(34)&amp;"label"&amp;CHAR(34)&amp;":"&amp;CHAR(34)&amp;$C64&amp;CHAR(34)&amp;","&amp;CHAR(34)&amp;"value"&amp;CHAR(34)&amp;":"&amp;CHAR(34)&amp;SUBSTITUTE($AD64,CHAR(34),CHAR(92)&amp;CHAR(34))&amp;CHAR(34)&amp;CHAR(125))</x:f>
      </x:c>
      <x:c r="AF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  <x:c r="AA65" s="42"/>
      <x:c r="AB65" s="42"/>
      <x:c r="AC65" s="42"/>
      <x:c r="AD65" s="48" t="str">
        <x:f>IF(OR($A65&lt;&gt;"Yes",$C65="",COUNTA($E65:$AC65)=0),"","("&amp;IF(E65&lt;&gt;"",'Dashboard Config'!$B$6&amp;"="""&amp;E65&amp;"""","")&amp;IF(F65&lt;&gt;"",IF(COUNTA($E65:$E65)&gt;0," OR ","")&amp;'Dashboard Config'!$B$6&amp;"="""&amp;F65&amp;"""","")&amp;IF(G65&lt;&gt;"",IF(COUNTA($E65:$F65)&gt;0," OR ","")&amp;'Dashboard Config'!$B$6&amp;"="""&amp;G65&amp;"""","")&amp;IF(H65&lt;&gt;"",IF(COUNTA($E65:$G65)&gt;0," OR ","")&amp;'Dashboard Config'!$B$6&amp;"="""&amp;H65&amp;"""","")&amp;IF(I65&lt;&gt;"",IF(COUNTA($E65:$H65)&gt;0," OR ","")&amp;'Dashboard Config'!$B$6&amp;"="""&amp;I65&amp;"""","")&amp;IF(J65&lt;&gt;"",IF(COUNTA($E65:$I65)&gt;0," OR ","")&amp;'Dashboard Config'!$B$6&amp;"="""&amp;J65&amp;"""","")&amp;IF(K65&lt;&gt;"",IF(COUNTA($E65:$J65)&gt;0," OR ","")&amp;'Dashboard Config'!$B$6&amp;"="""&amp;K65&amp;"""","")&amp;IF(L65&lt;&gt;"",IF(COUNTA($E65:$K65)&gt;0," OR ","")&amp;'Dashboard Config'!$B$6&amp;"="""&amp;L65&amp;"""","")&amp;IF(M65&lt;&gt;"",IF(COUNTA($E65:$L65)&gt;0," OR ","")&amp;'Dashboard Config'!$B$7&amp;"="""&amp;M65&amp;"""","")&amp;IF(N65&lt;&gt;"",IF(COUNTA($E65:$M65)&gt;0," OR ","")&amp;'Dashboard Config'!$B$7&amp;"="""&amp;N65&amp;"""","")&amp;IF(O65&lt;&gt;"",IF(COUNTA($E65:$N65)&gt;0," OR ","")&amp;'Dashboard Config'!$B$7&amp;"="""&amp;O65&amp;"""","")&amp;IF(P65&lt;&gt;"",IF(COUNTA($E65:$O65)&gt;0," OR ","")&amp;'Dashboard Config'!$B$7&amp;"="""&amp;P65&amp;"""","")&amp;IF(Q65&lt;&gt;"",IF(COUNTA($E65:$P65)&gt;0," OR ","")&amp;'Dashboard Config'!$B$7&amp;"="""&amp;Q65&amp;"""","")&amp;IF(R65&lt;&gt;"",IF(COUNTA($E65:$Q65)&gt;0," OR ","")&amp;'Dashboard Config'!$B$7&amp;"="""&amp;R65&amp;"""","")&amp;IF(S65&lt;&gt;"",IF(COUNTA($E65:$R65)&gt;0," OR ","")&amp;'Dashboard Config'!$B$7&amp;"="""&amp;S65&amp;"""","")&amp;IF(T65&lt;&gt;"",IF(COUNTA($E65:$S65)&gt;0," OR ","")&amp;'Dashboard Config'!$B$7&amp;"="""&amp;T65&amp;"""","")&amp;IF(U65&lt;&gt;"",IF(COUNTA($E65:$T65)&gt;0," OR ","")&amp;'Dashboard Config'!$B$7&amp;"="""&amp;U65&amp;"""","")&amp;IF(V65&lt;&gt;"",IF(COUNTA($E65:$U65)&gt;0," OR ","")&amp;'Dashboard Config'!$B$7&amp;"="""&amp;V65&amp;"""","")&amp;IF(W65&lt;&gt;"",IF(COUNTA($E65:$V65)&gt;0," OR ","")&amp;'Dashboard Config'!$B$7&amp;"="""&amp;W65&amp;"""","")&amp;IF(X65&lt;&gt;"",IF(COUNTA($E65:$W65)&gt;0," OR ","")&amp;'Dashboard Config'!$B$7&amp;"="""&amp;X65&amp;"""","")&amp;IF(Y65&lt;&gt;"",IF(COUNTA($E65:$X65)&gt;0," OR ","")&amp;'Dashboard Config'!$B$7&amp;"="""&amp;Y65&amp;"""","")&amp;IF(Z65&lt;&gt;"",IF(COUNTA($E65:$Y65)&gt;0," OR ","")&amp;'Dashboard Config'!$B$7&amp;"="""&amp;Z65&amp;"""","")&amp;IF(AA65&lt;&gt;"",IF(COUNTA($E65:$Z65)&gt;0," OR ","")&amp;'Dashboard Config'!$B$7&amp;"="""&amp;AA65&amp;"""","")&amp;IF(AB65&lt;&gt;"",IF(COUNTA($E65:$AA65)&gt;0," OR ","")&amp;'Dashboard Config'!$B$7&amp;"="""&amp;AB65&amp;"""","")&amp;IF(AC65&lt;&gt;"",IF(COUNTA($E65:$AB65)&gt;0," OR ","")&amp;AC65,"")&amp;")")</x:f>
      </x:c>
      <x:c r="AE65" s="48" t="str">
        <x:f>IF($AD65="","",CHAR(123)&amp;CHAR(34)&amp;"label"&amp;CHAR(34)&amp;":"&amp;CHAR(34)&amp;$C65&amp;CHAR(34)&amp;","&amp;CHAR(34)&amp;"value"&amp;CHAR(34)&amp;":"&amp;CHAR(34)&amp;SUBSTITUTE($AD65,CHAR(34),CHAR(92)&amp;CHAR(34))&amp;CHAR(34)&amp;CHAR(125))</x:f>
      </x:c>
      <x:c r="AF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  <x:c r="AA66" s="42"/>
      <x:c r="AB66" s="42"/>
      <x:c r="AC66" s="42"/>
      <x:c r="AD66" s="48" t="str">
        <x:f>IF(OR($A66&lt;&gt;"Yes",$C66="",COUNTA($E66:$AC66)=0),"","("&amp;IF(E66&lt;&gt;"",'Dashboard Config'!$B$6&amp;"="""&amp;E66&amp;"""","")&amp;IF(F66&lt;&gt;"",IF(COUNTA($E66:$E66)&gt;0," OR ","")&amp;'Dashboard Config'!$B$6&amp;"="""&amp;F66&amp;"""","")&amp;IF(G66&lt;&gt;"",IF(COUNTA($E66:$F66)&gt;0," OR ","")&amp;'Dashboard Config'!$B$6&amp;"="""&amp;G66&amp;"""","")&amp;IF(H66&lt;&gt;"",IF(COUNTA($E66:$G66)&gt;0," OR ","")&amp;'Dashboard Config'!$B$6&amp;"="""&amp;H66&amp;"""","")&amp;IF(I66&lt;&gt;"",IF(COUNTA($E66:$H66)&gt;0," OR ","")&amp;'Dashboard Config'!$B$6&amp;"="""&amp;I66&amp;"""","")&amp;IF(J66&lt;&gt;"",IF(COUNTA($E66:$I66)&gt;0," OR ","")&amp;'Dashboard Config'!$B$6&amp;"="""&amp;J66&amp;"""","")&amp;IF(K66&lt;&gt;"",IF(COUNTA($E66:$J66)&gt;0," OR ","")&amp;'Dashboard Config'!$B$6&amp;"="""&amp;K66&amp;"""","")&amp;IF(L66&lt;&gt;"",IF(COUNTA($E66:$K66)&gt;0," OR ","")&amp;'Dashboard Config'!$B$6&amp;"="""&amp;L66&amp;"""","")&amp;IF(M66&lt;&gt;"",IF(COUNTA($E66:$L66)&gt;0," OR ","")&amp;'Dashboard Config'!$B$7&amp;"="""&amp;M66&amp;"""","")&amp;IF(N66&lt;&gt;"",IF(COUNTA($E66:$M66)&gt;0," OR ","")&amp;'Dashboard Config'!$B$7&amp;"="""&amp;N66&amp;"""","")&amp;IF(O66&lt;&gt;"",IF(COUNTA($E66:$N66)&gt;0," OR ","")&amp;'Dashboard Config'!$B$7&amp;"="""&amp;O66&amp;"""","")&amp;IF(P66&lt;&gt;"",IF(COUNTA($E66:$O66)&gt;0," OR ","")&amp;'Dashboard Config'!$B$7&amp;"="""&amp;P66&amp;"""","")&amp;IF(Q66&lt;&gt;"",IF(COUNTA($E66:$P66)&gt;0," OR ","")&amp;'Dashboard Config'!$B$7&amp;"="""&amp;Q66&amp;"""","")&amp;IF(R66&lt;&gt;"",IF(COUNTA($E66:$Q66)&gt;0," OR ","")&amp;'Dashboard Config'!$B$7&amp;"="""&amp;R66&amp;"""","")&amp;IF(S66&lt;&gt;"",IF(COUNTA($E66:$R66)&gt;0," OR ","")&amp;'Dashboard Config'!$B$7&amp;"="""&amp;S66&amp;"""","")&amp;IF(T66&lt;&gt;"",IF(COUNTA($E66:$S66)&gt;0," OR ","")&amp;'Dashboard Config'!$B$7&amp;"="""&amp;T66&amp;"""","")&amp;IF(U66&lt;&gt;"",IF(COUNTA($E66:$T66)&gt;0," OR ","")&amp;'Dashboard Config'!$B$7&amp;"="""&amp;U66&amp;"""","")&amp;IF(V66&lt;&gt;"",IF(COUNTA($E66:$U66)&gt;0," OR ","")&amp;'Dashboard Config'!$B$7&amp;"="""&amp;V66&amp;"""","")&amp;IF(W66&lt;&gt;"",IF(COUNTA($E66:$V66)&gt;0," OR ","")&amp;'Dashboard Config'!$B$7&amp;"="""&amp;W66&amp;"""","")&amp;IF(X66&lt;&gt;"",IF(COUNTA($E66:$W66)&gt;0," OR ","")&amp;'Dashboard Config'!$B$7&amp;"="""&amp;X66&amp;"""","")&amp;IF(Y66&lt;&gt;"",IF(COUNTA($E66:$X66)&gt;0," OR ","")&amp;'Dashboard Config'!$B$7&amp;"="""&amp;Y66&amp;"""","")&amp;IF(Z66&lt;&gt;"",IF(COUNTA($E66:$Y66)&gt;0," OR ","")&amp;'Dashboard Config'!$B$7&amp;"="""&amp;Z66&amp;"""","")&amp;IF(AA66&lt;&gt;"",IF(COUNTA($E66:$Z66)&gt;0," OR ","")&amp;'Dashboard Config'!$B$7&amp;"="""&amp;AA66&amp;"""","")&amp;IF(AB66&lt;&gt;"",IF(COUNTA($E66:$AA66)&gt;0," OR ","")&amp;'Dashboard Config'!$B$7&amp;"="""&amp;AB66&amp;"""","")&amp;IF(AC66&lt;&gt;"",IF(COUNTA($E66:$AB66)&gt;0," OR ","")&amp;AC66,"")&amp;")")</x:f>
      </x:c>
      <x:c r="AE66" s="48" t="str">
        <x:f>IF($AD66="","",CHAR(123)&amp;CHAR(34)&amp;"label"&amp;CHAR(34)&amp;":"&amp;CHAR(34)&amp;$C66&amp;CHAR(34)&amp;","&amp;CHAR(34)&amp;"value"&amp;CHAR(34)&amp;":"&amp;CHAR(34)&amp;SUBSTITUTE($AD66,CHAR(34),CHAR(92)&amp;CHAR(34))&amp;CHAR(34)&amp;CHAR(125))</x:f>
      </x:c>
      <x:c r="AF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  <x:c r="AA67" s="42"/>
      <x:c r="AB67" s="42"/>
      <x:c r="AC67" s="42"/>
      <x:c r="AD67" s="48" t="str">
        <x:f>IF(OR($A67&lt;&gt;"Yes",$C67="",COUNTA($E67:$AC67)=0),"","("&amp;IF(E67&lt;&gt;"",'Dashboard Config'!$B$6&amp;"="""&amp;E67&amp;"""","")&amp;IF(F67&lt;&gt;"",IF(COUNTA($E67:$E67)&gt;0," OR ","")&amp;'Dashboard Config'!$B$6&amp;"="""&amp;F67&amp;"""","")&amp;IF(G67&lt;&gt;"",IF(COUNTA($E67:$F67)&gt;0," OR ","")&amp;'Dashboard Config'!$B$6&amp;"="""&amp;G67&amp;"""","")&amp;IF(H67&lt;&gt;"",IF(COUNTA($E67:$G67)&gt;0," OR ","")&amp;'Dashboard Config'!$B$6&amp;"="""&amp;H67&amp;"""","")&amp;IF(I67&lt;&gt;"",IF(COUNTA($E67:$H67)&gt;0," OR ","")&amp;'Dashboard Config'!$B$6&amp;"="""&amp;I67&amp;"""","")&amp;IF(J67&lt;&gt;"",IF(COUNTA($E67:$I67)&gt;0," OR ","")&amp;'Dashboard Config'!$B$6&amp;"="""&amp;J67&amp;"""","")&amp;IF(K67&lt;&gt;"",IF(COUNTA($E67:$J67)&gt;0," OR ","")&amp;'Dashboard Config'!$B$6&amp;"="""&amp;K67&amp;"""","")&amp;IF(L67&lt;&gt;"",IF(COUNTA($E67:$K67)&gt;0," OR ","")&amp;'Dashboard Config'!$B$6&amp;"="""&amp;L67&amp;"""","")&amp;IF(M67&lt;&gt;"",IF(COUNTA($E67:$L67)&gt;0," OR ","")&amp;'Dashboard Config'!$B$7&amp;"="""&amp;M67&amp;"""","")&amp;IF(N67&lt;&gt;"",IF(COUNTA($E67:$M67)&gt;0," OR ","")&amp;'Dashboard Config'!$B$7&amp;"="""&amp;N67&amp;"""","")&amp;IF(O67&lt;&gt;"",IF(COUNTA($E67:$N67)&gt;0," OR ","")&amp;'Dashboard Config'!$B$7&amp;"="""&amp;O67&amp;"""","")&amp;IF(P67&lt;&gt;"",IF(COUNTA($E67:$O67)&gt;0," OR ","")&amp;'Dashboard Config'!$B$7&amp;"="""&amp;P67&amp;"""","")&amp;IF(Q67&lt;&gt;"",IF(COUNTA($E67:$P67)&gt;0," OR ","")&amp;'Dashboard Config'!$B$7&amp;"="""&amp;Q67&amp;"""","")&amp;IF(R67&lt;&gt;"",IF(COUNTA($E67:$Q67)&gt;0," OR ","")&amp;'Dashboard Config'!$B$7&amp;"="""&amp;R67&amp;"""","")&amp;IF(S67&lt;&gt;"",IF(COUNTA($E67:$R67)&gt;0," OR ","")&amp;'Dashboard Config'!$B$7&amp;"="""&amp;S67&amp;"""","")&amp;IF(T67&lt;&gt;"",IF(COUNTA($E67:$S67)&gt;0," OR ","")&amp;'Dashboard Config'!$B$7&amp;"="""&amp;T67&amp;"""","")&amp;IF(U67&lt;&gt;"",IF(COUNTA($E67:$T67)&gt;0," OR ","")&amp;'Dashboard Config'!$B$7&amp;"="""&amp;U67&amp;"""","")&amp;IF(V67&lt;&gt;"",IF(COUNTA($E67:$U67)&gt;0," OR ","")&amp;'Dashboard Config'!$B$7&amp;"="""&amp;V67&amp;"""","")&amp;IF(W67&lt;&gt;"",IF(COUNTA($E67:$V67)&gt;0," OR ","")&amp;'Dashboard Config'!$B$7&amp;"="""&amp;W67&amp;"""","")&amp;IF(X67&lt;&gt;"",IF(COUNTA($E67:$W67)&gt;0," OR ","")&amp;'Dashboard Config'!$B$7&amp;"="""&amp;X67&amp;"""","")&amp;IF(Y67&lt;&gt;"",IF(COUNTA($E67:$X67)&gt;0," OR ","")&amp;'Dashboard Config'!$B$7&amp;"="""&amp;Y67&amp;"""","")&amp;IF(Z67&lt;&gt;"",IF(COUNTA($E67:$Y67)&gt;0," OR ","")&amp;'Dashboard Config'!$B$7&amp;"="""&amp;Z67&amp;"""","")&amp;IF(AA67&lt;&gt;"",IF(COUNTA($E67:$Z67)&gt;0," OR ","")&amp;'Dashboard Config'!$B$7&amp;"="""&amp;AA67&amp;"""","")&amp;IF(AB67&lt;&gt;"",IF(COUNTA($E67:$AA67)&gt;0," OR ","")&amp;'Dashboard Config'!$B$7&amp;"="""&amp;AB67&amp;"""","")&amp;IF(AC67&lt;&gt;"",IF(COUNTA($E67:$AB67)&gt;0," OR ","")&amp;AC67,"")&amp;")")</x:f>
      </x:c>
      <x:c r="AE67" s="48" t="str">
        <x:f>IF($AD67="","",CHAR(123)&amp;CHAR(34)&amp;"label"&amp;CHAR(34)&amp;":"&amp;CHAR(34)&amp;$C67&amp;CHAR(34)&amp;","&amp;CHAR(34)&amp;"value"&amp;CHAR(34)&amp;":"&amp;CHAR(34)&amp;SUBSTITUTE($AD67,CHAR(34),CHAR(92)&amp;CHAR(34))&amp;CHAR(34)&amp;CHAR(125))</x:f>
      </x:c>
      <x:c r="AF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  <x:c r="AA68" s="42"/>
      <x:c r="AB68" s="42"/>
      <x:c r="AC68" s="42"/>
      <x:c r="AD68" s="48" t="str">
        <x:f>IF(OR($A68&lt;&gt;"Yes",$C68="",COUNTA($E68:$AC68)=0),"","("&amp;IF(E68&lt;&gt;"",'Dashboard Config'!$B$6&amp;"="""&amp;E68&amp;"""","")&amp;IF(F68&lt;&gt;"",IF(COUNTA($E68:$E68)&gt;0," OR ","")&amp;'Dashboard Config'!$B$6&amp;"="""&amp;F68&amp;"""","")&amp;IF(G68&lt;&gt;"",IF(COUNTA($E68:$F68)&gt;0," OR ","")&amp;'Dashboard Config'!$B$6&amp;"="""&amp;G68&amp;"""","")&amp;IF(H68&lt;&gt;"",IF(COUNTA($E68:$G68)&gt;0," OR ","")&amp;'Dashboard Config'!$B$6&amp;"="""&amp;H68&amp;"""","")&amp;IF(I68&lt;&gt;"",IF(COUNTA($E68:$H68)&gt;0," OR ","")&amp;'Dashboard Config'!$B$6&amp;"="""&amp;I68&amp;"""","")&amp;IF(J68&lt;&gt;"",IF(COUNTA($E68:$I68)&gt;0," OR ","")&amp;'Dashboard Config'!$B$6&amp;"="""&amp;J68&amp;"""","")&amp;IF(K68&lt;&gt;"",IF(COUNTA($E68:$J68)&gt;0," OR ","")&amp;'Dashboard Config'!$B$6&amp;"="""&amp;K68&amp;"""","")&amp;IF(L68&lt;&gt;"",IF(COUNTA($E68:$K68)&gt;0," OR ","")&amp;'Dashboard Config'!$B$6&amp;"="""&amp;L68&amp;"""","")&amp;IF(M68&lt;&gt;"",IF(COUNTA($E68:$L68)&gt;0," OR ","")&amp;'Dashboard Config'!$B$7&amp;"="""&amp;M68&amp;"""","")&amp;IF(N68&lt;&gt;"",IF(COUNTA($E68:$M68)&gt;0," OR ","")&amp;'Dashboard Config'!$B$7&amp;"="""&amp;N68&amp;"""","")&amp;IF(O68&lt;&gt;"",IF(COUNTA($E68:$N68)&gt;0," OR ","")&amp;'Dashboard Config'!$B$7&amp;"="""&amp;O68&amp;"""","")&amp;IF(P68&lt;&gt;"",IF(COUNTA($E68:$O68)&gt;0," OR ","")&amp;'Dashboard Config'!$B$7&amp;"="""&amp;P68&amp;"""","")&amp;IF(Q68&lt;&gt;"",IF(COUNTA($E68:$P68)&gt;0," OR ","")&amp;'Dashboard Config'!$B$7&amp;"="""&amp;Q68&amp;"""","")&amp;IF(R68&lt;&gt;"",IF(COUNTA($E68:$Q68)&gt;0," OR ","")&amp;'Dashboard Config'!$B$7&amp;"="""&amp;R68&amp;"""","")&amp;IF(S68&lt;&gt;"",IF(COUNTA($E68:$R68)&gt;0," OR ","")&amp;'Dashboard Config'!$B$7&amp;"="""&amp;S68&amp;"""","")&amp;IF(T68&lt;&gt;"",IF(COUNTA($E68:$S68)&gt;0," OR ","")&amp;'Dashboard Config'!$B$7&amp;"="""&amp;T68&amp;"""","")&amp;IF(U68&lt;&gt;"",IF(COUNTA($E68:$T68)&gt;0," OR ","")&amp;'Dashboard Config'!$B$7&amp;"="""&amp;U68&amp;"""","")&amp;IF(V68&lt;&gt;"",IF(COUNTA($E68:$U68)&gt;0," OR ","")&amp;'Dashboard Config'!$B$7&amp;"="""&amp;V68&amp;"""","")&amp;IF(W68&lt;&gt;"",IF(COUNTA($E68:$V68)&gt;0," OR ","")&amp;'Dashboard Config'!$B$7&amp;"="""&amp;W68&amp;"""","")&amp;IF(X68&lt;&gt;"",IF(COUNTA($E68:$W68)&gt;0," OR ","")&amp;'Dashboard Config'!$B$7&amp;"="""&amp;X68&amp;"""","")&amp;IF(Y68&lt;&gt;"",IF(COUNTA($E68:$X68)&gt;0," OR ","")&amp;'Dashboard Config'!$B$7&amp;"="""&amp;Y68&amp;"""","")&amp;IF(Z68&lt;&gt;"",IF(COUNTA($E68:$Y68)&gt;0," OR ","")&amp;'Dashboard Config'!$B$7&amp;"="""&amp;Z68&amp;"""","")&amp;IF(AA68&lt;&gt;"",IF(COUNTA($E68:$Z68)&gt;0," OR ","")&amp;'Dashboard Config'!$B$7&amp;"="""&amp;AA68&amp;"""","")&amp;IF(AB68&lt;&gt;"",IF(COUNTA($E68:$AA68)&gt;0," OR ","")&amp;'Dashboard Config'!$B$7&amp;"="""&amp;AB68&amp;"""","")&amp;IF(AC68&lt;&gt;"",IF(COUNTA($E68:$AB68)&gt;0," OR ","")&amp;AC68,"")&amp;")")</x:f>
      </x:c>
      <x:c r="AE68" s="48" t="str">
        <x:f>IF($AD68="","",CHAR(123)&amp;CHAR(34)&amp;"label"&amp;CHAR(34)&amp;":"&amp;CHAR(34)&amp;$C68&amp;CHAR(34)&amp;","&amp;CHAR(34)&amp;"value"&amp;CHAR(34)&amp;":"&amp;CHAR(34)&amp;SUBSTITUTE($AD68,CHAR(34),CHAR(92)&amp;CHAR(34))&amp;CHAR(34)&amp;CHAR(125))</x:f>
      </x:c>
      <x:c r="AF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  <x:c r="AA69" s="42"/>
      <x:c r="AB69" s="42"/>
      <x:c r="AC69" s="42"/>
      <x:c r="AD69" s="48" t="str">
        <x:f>IF(OR($A69&lt;&gt;"Yes",$C69="",COUNTA($E69:$AC69)=0),"","("&amp;IF(E69&lt;&gt;"",'Dashboard Config'!$B$6&amp;"="""&amp;E69&amp;"""","")&amp;IF(F69&lt;&gt;"",IF(COUNTA($E69:$E69)&gt;0," OR ","")&amp;'Dashboard Config'!$B$6&amp;"="""&amp;F69&amp;"""","")&amp;IF(G69&lt;&gt;"",IF(COUNTA($E69:$F69)&gt;0," OR ","")&amp;'Dashboard Config'!$B$6&amp;"="""&amp;G69&amp;"""","")&amp;IF(H69&lt;&gt;"",IF(COUNTA($E69:$G69)&gt;0," OR ","")&amp;'Dashboard Config'!$B$6&amp;"="""&amp;H69&amp;"""","")&amp;IF(I69&lt;&gt;"",IF(COUNTA($E69:$H69)&gt;0," OR ","")&amp;'Dashboard Config'!$B$6&amp;"="""&amp;I69&amp;"""","")&amp;IF(J69&lt;&gt;"",IF(COUNTA($E69:$I69)&gt;0," OR ","")&amp;'Dashboard Config'!$B$6&amp;"="""&amp;J69&amp;"""","")&amp;IF(K69&lt;&gt;"",IF(COUNTA($E69:$J69)&gt;0," OR ","")&amp;'Dashboard Config'!$B$6&amp;"="""&amp;K69&amp;"""","")&amp;IF(L69&lt;&gt;"",IF(COUNTA($E69:$K69)&gt;0," OR ","")&amp;'Dashboard Config'!$B$6&amp;"="""&amp;L69&amp;"""","")&amp;IF(M69&lt;&gt;"",IF(COUNTA($E69:$L69)&gt;0," OR ","")&amp;'Dashboard Config'!$B$7&amp;"="""&amp;M69&amp;"""","")&amp;IF(N69&lt;&gt;"",IF(COUNTA($E69:$M69)&gt;0," OR ","")&amp;'Dashboard Config'!$B$7&amp;"="""&amp;N69&amp;"""","")&amp;IF(O69&lt;&gt;"",IF(COUNTA($E69:$N69)&gt;0," OR ","")&amp;'Dashboard Config'!$B$7&amp;"="""&amp;O69&amp;"""","")&amp;IF(P69&lt;&gt;"",IF(COUNTA($E69:$O69)&gt;0," OR ","")&amp;'Dashboard Config'!$B$7&amp;"="""&amp;P69&amp;"""","")&amp;IF(Q69&lt;&gt;"",IF(COUNTA($E69:$P69)&gt;0," OR ","")&amp;'Dashboard Config'!$B$7&amp;"="""&amp;Q69&amp;"""","")&amp;IF(R69&lt;&gt;"",IF(COUNTA($E69:$Q69)&gt;0," OR ","")&amp;'Dashboard Config'!$B$7&amp;"="""&amp;R69&amp;"""","")&amp;IF(S69&lt;&gt;"",IF(COUNTA($E69:$R69)&gt;0," OR ","")&amp;'Dashboard Config'!$B$7&amp;"="""&amp;S69&amp;"""","")&amp;IF(T69&lt;&gt;"",IF(COUNTA($E69:$S69)&gt;0," OR ","")&amp;'Dashboard Config'!$B$7&amp;"="""&amp;T69&amp;"""","")&amp;IF(U69&lt;&gt;"",IF(COUNTA($E69:$T69)&gt;0," OR ","")&amp;'Dashboard Config'!$B$7&amp;"="""&amp;U69&amp;"""","")&amp;IF(V69&lt;&gt;"",IF(COUNTA($E69:$U69)&gt;0," OR ","")&amp;'Dashboard Config'!$B$7&amp;"="""&amp;V69&amp;"""","")&amp;IF(W69&lt;&gt;"",IF(COUNTA($E69:$V69)&gt;0," OR ","")&amp;'Dashboard Config'!$B$7&amp;"="""&amp;W69&amp;"""","")&amp;IF(X69&lt;&gt;"",IF(COUNTA($E69:$W69)&gt;0," OR ","")&amp;'Dashboard Config'!$B$7&amp;"="""&amp;X69&amp;"""","")&amp;IF(Y69&lt;&gt;"",IF(COUNTA($E69:$X69)&gt;0," OR ","")&amp;'Dashboard Config'!$B$7&amp;"="""&amp;Y69&amp;"""","")&amp;IF(Z69&lt;&gt;"",IF(COUNTA($E69:$Y69)&gt;0," OR ","")&amp;'Dashboard Config'!$B$7&amp;"="""&amp;Z69&amp;"""","")&amp;IF(AA69&lt;&gt;"",IF(COUNTA($E69:$Z69)&gt;0," OR ","")&amp;'Dashboard Config'!$B$7&amp;"="""&amp;AA69&amp;"""","")&amp;IF(AB69&lt;&gt;"",IF(COUNTA($E69:$AA69)&gt;0," OR ","")&amp;'Dashboard Config'!$B$7&amp;"="""&amp;AB69&amp;"""","")&amp;IF(AC69&lt;&gt;"",IF(COUNTA($E69:$AB69)&gt;0," OR ","")&amp;AC69,"")&amp;")")</x:f>
      </x:c>
      <x:c r="AE69" s="48" t="str">
        <x:f>IF($AD69="","",CHAR(123)&amp;CHAR(34)&amp;"label"&amp;CHAR(34)&amp;":"&amp;CHAR(34)&amp;$C69&amp;CHAR(34)&amp;","&amp;CHAR(34)&amp;"value"&amp;CHAR(34)&amp;":"&amp;CHAR(34)&amp;SUBSTITUTE($AD69,CHAR(34),CHAR(92)&amp;CHAR(34))&amp;CHAR(34)&amp;CHAR(125))</x:f>
      </x:c>
      <x:c r="AF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  <x:c r="AA70" s="42"/>
      <x:c r="AB70" s="42"/>
      <x:c r="AC70" s="42"/>
      <x:c r="AD70" s="48" t="str">
        <x:f>IF(OR($A70&lt;&gt;"Yes",$C70="",COUNTA($E70:$AC70)=0),"","("&amp;IF(E70&lt;&gt;"",'Dashboard Config'!$B$6&amp;"="""&amp;E70&amp;"""","")&amp;IF(F70&lt;&gt;"",IF(COUNTA($E70:$E70)&gt;0," OR ","")&amp;'Dashboard Config'!$B$6&amp;"="""&amp;F70&amp;"""","")&amp;IF(G70&lt;&gt;"",IF(COUNTA($E70:$F70)&gt;0," OR ","")&amp;'Dashboard Config'!$B$6&amp;"="""&amp;G70&amp;"""","")&amp;IF(H70&lt;&gt;"",IF(COUNTA($E70:$G70)&gt;0," OR ","")&amp;'Dashboard Config'!$B$6&amp;"="""&amp;H70&amp;"""","")&amp;IF(I70&lt;&gt;"",IF(COUNTA($E70:$H70)&gt;0," OR ","")&amp;'Dashboard Config'!$B$6&amp;"="""&amp;I70&amp;"""","")&amp;IF(J70&lt;&gt;"",IF(COUNTA($E70:$I70)&gt;0," OR ","")&amp;'Dashboard Config'!$B$6&amp;"="""&amp;J70&amp;"""","")&amp;IF(K70&lt;&gt;"",IF(COUNTA($E70:$J70)&gt;0," OR ","")&amp;'Dashboard Config'!$B$6&amp;"="""&amp;K70&amp;"""","")&amp;IF(L70&lt;&gt;"",IF(COUNTA($E70:$K70)&gt;0," OR ","")&amp;'Dashboard Config'!$B$6&amp;"="""&amp;L70&amp;"""","")&amp;IF(M70&lt;&gt;"",IF(COUNTA($E70:$L70)&gt;0," OR ","")&amp;'Dashboard Config'!$B$7&amp;"="""&amp;M70&amp;"""","")&amp;IF(N70&lt;&gt;"",IF(COUNTA($E70:$M70)&gt;0," OR ","")&amp;'Dashboard Config'!$B$7&amp;"="""&amp;N70&amp;"""","")&amp;IF(O70&lt;&gt;"",IF(COUNTA($E70:$N70)&gt;0," OR ","")&amp;'Dashboard Config'!$B$7&amp;"="""&amp;O70&amp;"""","")&amp;IF(P70&lt;&gt;"",IF(COUNTA($E70:$O70)&gt;0," OR ","")&amp;'Dashboard Config'!$B$7&amp;"="""&amp;P70&amp;"""","")&amp;IF(Q70&lt;&gt;"",IF(COUNTA($E70:$P70)&gt;0," OR ","")&amp;'Dashboard Config'!$B$7&amp;"="""&amp;Q70&amp;"""","")&amp;IF(R70&lt;&gt;"",IF(COUNTA($E70:$Q70)&gt;0," OR ","")&amp;'Dashboard Config'!$B$7&amp;"="""&amp;R70&amp;"""","")&amp;IF(S70&lt;&gt;"",IF(COUNTA($E70:$R70)&gt;0," OR ","")&amp;'Dashboard Config'!$B$7&amp;"="""&amp;S70&amp;"""","")&amp;IF(T70&lt;&gt;"",IF(COUNTA($E70:$S70)&gt;0," OR ","")&amp;'Dashboard Config'!$B$7&amp;"="""&amp;T70&amp;"""","")&amp;IF(U70&lt;&gt;"",IF(COUNTA($E70:$T70)&gt;0," OR ","")&amp;'Dashboard Config'!$B$7&amp;"="""&amp;U70&amp;"""","")&amp;IF(V70&lt;&gt;"",IF(COUNTA($E70:$U70)&gt;0," OR ","")&amp;'Dashboard Config'!$B$7&amp;"="""&amp;V70&amp;"""","")&amp;IF(W70&lt;&gt;"",IF(COUNTA($E70:$V70)&gt;0," OR ","")&amp;'Dashboard Config'!$B$7&amp;"="""&amp;W70&amp;"""","")&amp;IF(X70&lt;&gt;"",IF(COUNTA($E70:$W70)&gt;0," OR ","")&amp;'Dashboard Config'!$B$7&amp;"="""&amp;X70&amp;"""","")&amp;IF(Y70&lt;&gt;"",IF(COUNTA($E70:$X70)&gt;0," OR ","")&amp;'Dashboard Config'!$B$7&amp;"="""&amp;Y70&amp;"""","")&amp;IF(Z70&lt;&gt;"",IF(COUNTA($E70:$Y70)&gt;0," OR ","")&amp;'Dashboard Config'!$B$7&amp;"="""&amp;Z70&amp;"""","")&amp;IF(AA70&lt;&gt;"",IF(COUNTA($E70:$Z70)&gt;0," OR ","")&amp;'Dashboard Config'!$B$7&amp;"="""&amp;AA70&amp;"""","")&amp;IF(AB70&lt;&gt;"",IF(COUNTA($E70:$AA70)&gt;0," OR ","")&amp;'Dashboard Config'!$B$7&amp;"="""&amp;AB70&amp;"""","")&amp;IF(AC70&lt;&gt;"",IF(COUNTA($E70:$AB70)&gt;0," OR ","")&amp;AC70,"")&amp;")")</x:f>
      </x:c>
      <x:c r="AE70" s="48" t="str">
        <x:f>IF($AD70="","",CHAR(123)&amp;CHAR(34)&amp;"label"&amp;CHAR(34)&amp;":"&amp;CHAR(34)&amp;$C70&amp;CHAR(34)&amp;","&amp;CHAR(34)&amp;"value"&amp;CHAR(34)&amp;":"&amp;CHAR(34)&amp;SUBSTITUTE($AD70,CHAR(34),CHAR(92)&amp;CHAR(34))&amp;CHAR(34)&amp;CHAR(125))</x:f>
      </x:c>
      <x:c r="AF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  <x:c r="AA71" s="42"/>
      <x:c r="AB71" s="42"/>
      <x:c r="AC71" s="42"/>
      <x:c r="AD71" s="48" t="str">
        <x:f>IF(OR($A71&lt;&gt;"Yes",$C71="",COUNTA($E71:$AC71)=0),"","("&amp;IF(E71&lt;&gt;"",'Dashboard Config'!$B$6&amp;"="""&amp;E71&amp;"""","")&amp;IF(F71&lt;&gt;"",IF(COUNTA($E71:$E71)&gt;0," OR ","")&amp;'Dashboard Config'!$B$6&amp;"="""&amp;F71&amp;"""","")&amp;IF(G71&lt;&gt;"",IF(COUNTA($E71:$F71)&gt;0," OR ","")&amp;'Dashboard Config'!$B$6&amp;"="""&amp;G71&amp;"""","")&amp;IF(H71&lt;&gt;"",IF(COUNTA($E71:$G71)&gt;0," OR ","")&amp;'Dashboard Config'!$B$6&amp;"="""&amp;H71&amp;"""","")&amp;IF(I71&lt;&gt;"",IF(COUNTA($E71:$H71)&gt;0," OR ","")&amp;'Dashboard Config'!$B$6&amp;"="""&amp;I71&amp;"""","")&amp;IF(J71&lt;&gt;"",IF(COUNTA($E71:$I71)&gt;0," OR ","")&amp;'Dashboard Config'!$B$6&amp;"="""&amp;J71&amp;"""","")&amp;IF(K71&lt;&gt;"",IF(COUNTA($E71:$J71)&gt;0," OR ","")&amp;'Dashboard Config'!$B$6&amp;"="""&amp;K71&amp;"""","")&amp;IF(L71&lt;&gt;"",IF(COUNTA($E71:$K71)&gt;0," OR ","")&amp;'Dashboard Config'!$B$6&amp;"="""&amp;L71&amp;"""","")&amp;IF(M71&lt;&gt;"",IF(COUNTA($E71:$L71)&gt;0," OR ","")&amp;'Dashboard Config'!$B$7&amp;"="""&amp;M71&amp;"""","")&amp;IF(N71&lt;&gt;"",IF(COUNTA($E71:$M71)&gt;0," OR ","")&amp;'Dashboard Config'!$B$7&amp;"="""&amp;N71&amp;"""","")&amp;IF(O71&lt;&gt;"",IF(COUNTA($E71:$N71)&gt;0," OR ","")&amp;'Dashboard Config'!$B$7&amp;"="""&amp;O71&amp;"""","")&amp;IF(P71&lt;&gt;"",IF(COUNTA($E71:$O71)&gt;0," OR ","")&amp;'Dashboard Config'!$B$7&amp;"="""&amp;P71&amp;"""","")&amp;IF(Q71&lt;&gt;"",IF(COUNTA($E71:$P71)&gt;0," OR ","")&amp;'Dashboard Config'!$B$7&amp;"="""&amp;Q71&amp;"""","")&amp;IF(R71&lt;&gt;"",IF(COUNTA($E71:$Q71)&gt;0," OR ","")&amp;'Dashboard Config'!$B$7&amp;"="""&amp;R71&amp;"""","")&amp;IF(S71&lt;&gt;"",IF(COUNTA($E71:$R71)&gt;0," OR ","")&amp;'Dashboard Config'!$B$7&amp;"="""&amp;S71&amp;"""","")&amp;IF(T71&lt;&gt;"",IF(COUNTA($E71:$S71)&gt;0," OR ","")&amp;'Dashboard Config'!$B$7&amp;"="""&amp;T71&amp;"""","")&amp;IF(U71&lt;&gt;"",IF(COUNTA($E71:$T71)&gt;0," OR ","")&amp;'Dashboard Config'!$B$7&amp;"="""&amp;U71&amp;"""","")&amp;IF(V71&lt;&gt;"",IF(COUNTA($E71:$U71)&gt;0," OR ","")&amp;'Dashboard Config'!$B$7&amp;"="""&amp;V71&amp;"""","")&amp;IF(W71&lt;&gt;"",IF(COUNTA($E71:$V71)&gt;0," OR ","")&amp;'Dashboard Config'!$B$7&amp;"="""&amp;W71&amp;"""","")&amp;IF(X71&lt;&gt;"",IF(COUNTA($E71:$W71)&gt;0," OR ","")&amp;'Dashboard Config'!$B$7&amp;"="""&amp;X71&amp;"""","")&amp;IF(Y71&lt;&gt;"",IF(COUNTA($E71:$X71)&gt;0," OR ","")&amp;'Dashboard Config'!$B$7&amp;"="""&amp;Y71&amp;"""","")&amp;IF(Z71&lt;&gt;"",IF(COUNTA($E71:$Y71)&gt;0," OR ","")&amp;'Dashboard Config'!$B$7&amp;"="""&amp;Z71&amp;"""","")&amp;IF(AA71&lt;&gt;"",IF(COUNTA($E71:$Z71)&gt;0," OR ","")&amp;'Dashboard Config'!$B$7&amp;"="""&amp;AA71&amp;"""","")&amp;IF(AB71&lt;&gt;"",IF(COUNTA($E71:$AA71)&gt;0," OR ","")&amp;'Dashboard Config'!$B$7&amp;"="""&amp;AB71&amp;"""","")&amp;IF(AC71&lt;&gt;"",IF(COUNTA($E71:$AB71)&gt;0," OR ","")&amp;AC71,"")&amp;")")</x:f>
      </x:c>
      <x:c r="AE71" s="48" t="str">
        <x:f>IF($AD71="","",CHAR(123)&amp;CHAR(34)&amp;"label"&amp;CHAR(34)&amp;":"&amp;CHAR(34)&amp;$C71&amp;CHAR(34)&amp;","&amp;CHAR(34)&amp;"value"&amp;CHAR(34)&amp;":"&amp;CHAR(34)&amp;SUBSTITUTE($AD71,CHAR(34),CHAR(92)&amp;CHAR(34))&amp;CHAR(34)&amp;CHAR(125))</x:f>
      </x:c>
      <x:c r="AF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  <x:c r="AA72" s="42"/>
      <x:c r="AB72" s="42"/>
      <x:c r="AC72" s="42"/>
      <x:c r="AD72" s="48" t="str">
        <x:f>IF(OR($A72&lt;&gt;"Yes",$C72="",COUNTA($E72:$AC72)=0),"","("&amp;IF(E72&lt;&gt;"",'Dashboard Config'!$B$6&amp;"="""&amp;E72&amp;"""","")&amp;IF(F72&lt;&gt;"",IF(COUNTA($E72:$E72)&gt;0," OR ","")&amp;'Dashboard Config'!$B$6&amp;"="""&amp;F72&amp;"""","")&amp;IF(G72&lt;&gt;"",IF(COUNTA($E72:$F72)&gt;0," OR ","")&amp;'Dashboard Config'!$B$6&amp;"="""&amp;G72&amp;"""","")&amp;IF(H72&lt;&gt;"",IF(COUNTA($E72:$G72)&gt;0," OR ","")&amp;'Dashboard Config'!$B$6&amp;"="""&amp;H72&amp;"""","")&amp;IF(I72&lt;&gt;"",IF(COUNTA($E72:$H72)&gt;0," OR ","")&amp;'Dashboard Config'!$B$6&amp;"="""&amp;I72&amp;"""","")&amp;IF(J72&lt;&gt;"",IF(COUNTA($E72:$I72)&gt;0," OR ","")&amp;'Dashboard Config'!$B$6&amp;"="""&amp;J72&amp;"""","")&amp;IF(K72&lt;&gt;"",IF(COUNTA($E72:$J72)&gt;0," OR ","")&amp;'Dashboard Config'!$B$6&amp;"="""&amp;K72&amp;"""","")&amp;IF(L72&lt;&gt;"",IF(COUNTA($E72:$K72)&gt;0," OR ","")&amp;'Dashboard Config'!$B$6&amp;"="""&amp;L72&amp;"""","")&amp;IF(M72&lt;&gt;"",IF(COUNTA($E72:$L72)&gt;0," OR ","")&amp;'Dashboard Config'!$B$7&amp;"="""&amp;M72&amp;"""","")&amp;IF(N72&lt;&gt;"",IF(COUNTA($E72:$M72)&gt;0," OR ","")&amp;'Dashboard Config'!$B$7&amp;"="""&amp;N72&amp;"""","")&amp;IF(O72&lt;&gt;"",IF(COUNTA($E72:$N72)&gt;0," OR ","")&amp;'Dashboard Config'!$B$7&amp;"="""&amp;O72&amp;"""","")&amp;IF(P72&lt;&gt;"",IF(COUNTA($E72:$O72)&gt;0," OR ","")&amp;'Dashboard Config'!$B$7&amp;"="""&amp;P72&amp;"""","")&amp;IF(Q72&lt;&gt;"",IF(COUNTA($E72:$P72)&gt;0," OR ","")&amp;'Dashboard Config'!$B$7&amp;"="""&amp;Q72&amp;"""","")&amp;IF(R72&lt;&gt;"",IF(COUNTA($E72:$Q72)&gt;0," OR ","")&amp;'Dashboard Config'!$B$7&amp;"="""&amp;R72&amp;"""","")&amp;IF(S72&lt;&gt;"",IF(COUNTA($E72:$R72)&gt;0," OR ","")&amp;'Dashboard Config'!$B$7&amp;"="""&amp;S72&amp;"""","")&amp;IF(T72&lt;&gt;"",IF(COUNTA($E72:$S72)&gt;0," OR ","")&amp;'Dashboard Config'!$B$7&amp;"="""&amp;T72&amp;"""","")&amp;IF(U72&lt;&gt;"",IF(COUNTA($E72:$T72)&gt;0," OR ","")&amp;'Dashboard Config'!$B$7&amp;"="""&amp;U72&amp;"""","")&amp;IF(V72&lt;&gt;"",IF(COUNTA($E72:$U72)&gt;0," OR ","")&amp;'Dashboard Config'!$B$7&amp;"="""&amp;V72&amp;"""","")&amp;IF(W72&lt;&gt;"",IF(COUNTA($E72:$V72)&gt;0," OR ","")&amp;'Dashboard Config'!$B$7&amp;"="""&amp;W72&amp;"""","")&amp;IF(X72&lt;&gt;"",IF(COUNTA($E72:$W72)&gt;0," OR ","")&amp;'Dashboard Config'!$B$7&amp;"="""&amp;X72&amp;"""","")&amp;IF(Y72&lt;&gt;"",IF(COUNTA($E72:$X72)&gt;0," OR ","")&amp;'Dashboard Config'!$B$7&amp;"="""&amp;Y72&amp;"""","")&amp;IF(Z72&lt;&gt;"",IF(COUNTA($E72:$Y72)&gt;0," OR ","")&amp;'Dashboard Config'!$B$7&amp;"="""&amp;Z72&amp;"""","")&amp;IF(AA72&lt;&gt;"",IF(COUNTA($E72:$Z72)&gt;0," OR ","")&amp;'Dashboard Config'!$B$7&amp;"="""&amp;AA72&amp;"""","")&amp;IF(AB72&lt;&gt;"",IF(COUNTA($E72:$AA72)&gt;0," OR ","")&amp;'Dashboard Config'!$B$7&amp;"="""&amp;AB72&amp;"""","")&amp;IF(AC72&lt;&gt;"",IF(COUNTA($E72:$AB72)&gt;0," OR ","")&amp;AC72,"")&amp;")")</x:f>
      </x:c>
      <x:c r="AE72" s="48" t="str">
        <x:f>IF($AD72="","",CHAR(123)&amp;CHAR(34)&amp;"label"&amp;CHAR(34)&amp;":"&amp;CHAR(34)&amp;$C72&amp;CHAR(34)&amp;","&amp;CHAR(34)&amp;"value"&amp;CHAR(34)&amp;":"&amp;CHAR(34)&amp;SUBSTITUTE($AD72,CHAR(34),CHAR(92)&amp;CHAR(34))&amp;CHAR(34)&amp;CHAR(125))</x:f>
      </x:c>
      <x:c r="AF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  <x:c r="AA73" s="42"/>
      <x:c r="AB73" s="42"/>
      <x:c r="AC73" s="42"/>
      <x:c r="AD73" s="48" t="str">
        <x:f>IF(OR($A73&lt;&gt;"Yes",$C73="",COUNTA($E73:$AC73)=0),"","("&amp;IF(E73&lt;&gt;"",'Dashboard Config'!$B$6&amp;"="""&amp;E73&amp;"""","")&amp;IF(F73&lt;&gt;"",IF(COUNTA($E73:$E73)&gt;0," OR ","")&amp;'Dashboard Config'!$B$6&amp;"="""&amp;F73&amp;"""","")&amp;IF(G73&lt;&gt;"",IF(COUNTA($E73:$F73)&gt;0," OR ","")&amp;'Dashboard Config'!$B$6&amp;"="""&amp;G73&amp;"""","")&amp;IF(H73&lt;&gt;"",IF(COUNTA($E73:$G73)&gt;0," OR ","")&amp;'Dashboard Config'!$B$6&amp;"="""&amp;H73&amp;"""","")&amp;IF(I73&lt;&gt;"",IF(COUNTA($E73:$H73)&gt;0," OR ","")&amp;'Dashboard Config'!$B$6&amp;"="""&amp;I73&amp;"""","")&amp;IF(J73&lt;&gt;"",IF(COUNTA($E73:$I73)&gt;0," OR ","")&amp;'Dashboard Config'!$B$6&amp;"="""&amp;J73&amp;"""","")&amp;IF(K73&lt;&gt;"",IF(COUNTA($E73:$J73)&gt;0," OR ","")&amp;'Dashboard Config'!$B$6&amp;"="""&amp;K73&amp;"""","")&amp;IF(L73&lt;&gt;"",IF(COUNTA($E73:$K73)&gt;0," OR ","")&amp;'Dashboard Config'!$B$6&amp;"="""&amp;L73&amp;"""","")&amp;IF(M73&lt;&gt;"",IF(COUNTA($E73:$L73)&gt;0," OR ","")&amp;'Dashboard Config'!$B$7&amp;"="""&amp;M73&amp;"""","")&amp;IF(N73&lt;&gt;"",IF(COUNTA($E73:$M73)&gt;0," OR ","")&amp;'Dashboard Config'!$B$7&amp;"="""&amp;N73&amp;"""","")&amp;IF(O73&lt;&gt;"",IF(COUNTA($E73:$N73)&gt;0," OR ","")&amp;'Dashboard Config'!$B$7&amp;"="""&amp;O73&amp;"""","")&amp;IF(P73&lt;&gt;"",IF(COUNTA($E73:$O73)&gt;0," OR ","")&amp;'Dashboard Config'!$B$7&amp;"="""&amp;P73&amp;"""","")&amp;IF(Q73&lt;&gt;"",IF(COUNTA($E73:$P73)&gt;0," OR ","")&amp;'Dashboard Config'!$B$7&amp;"="""&amp;Q73&amp;"""","")&amp;IF(R73&lt;&gt;"",IF(COUNTA($E73:$Q73)&gt;0," OR ","")&amp;'Dashboard Config'!$B$7&amp;"="""&amp;R73&amp;"""","")&amp;IF(S73&lt;&gt;"",IF(COUNTA($E73:$R73)&gt;0," OR ","")&amp;'Dashboard Config'!$B$7&amp;"="""&amp;S73&amp;"""","")&amp;IF(T73&lt;&gt;"",IF(COUNTA($E73:$S73)&gt;0," OR ","")&amp;'Dashboard Config'!$B$7&amp;"="""&amp;T73&amp;"""","")&amp;IF(U73&lt;&gt;"",IF(COUNTA($E73:$T73)&gt;0," OR ","")&amp;'Dashboard Config'!$B$7&amp;"="""&amp;U73&amp;"""","")&amp;IF(V73&lt;&gt;"",IF(COUNTA($E73:$U73)&gt;0," OR ","")&amp;'Dashboard Config'!$B$7&amp;"="""&amp;V73&amp;"""","")&amp;IF(W73&lt;&gt;"",IF(COUNTA($E73:$V73)&gt;0," OR ","")&amp;'Dashboard Config'!$B$7&amp;"="""&amp;W73&amp;"""","")&amp;IF(X73&lt;&gt;"",IF(COUNTA($E73:$W73)&gt;0," OR ","")&amp;'Dashboard Config'!$B$7&amp;"="""&amp;X73&amp;"""","")&amp;IF(Y73&lt;&gt;"",IF(COUNTA($E73:$X73)&gt;0," OR ","")&amp;'Dashboard Config'!$B$7&amp;"="""&amp;Y73&amp;"""","")&amp;IF(Z73&lt;&gt;"",IF(COUNTA($E73:$Y73)&gt;0," OR ","")&amp;'Dashboard Config'!$B$7&amp;"="""&amp;Z73&amp;"""","")&amp;IF(AA73&lt;&gt;"",IF(COUNTA($E73:$Z73)&gt;0," OR ","")&amp;'Dashboard Config'!$B$7&amp;"="""&amp;AA73&amp;"""","")&amp;IF(AB73&lt;&gt;"",IF(COUNTA($E73:$AA73)&gt;0," OR ","")&amp;'Dashboard Config'!$B$7&amp;"="""&amp;AB73&amp;"""","")&amp;IF(AC73&lt;&gt;"",IF(COUNTA($E73:$AB73)&gt;0," OR ","")&amp;AC73,"")&amp;")")</x:f>
      </x:c>
      <x:c r="AE73" s="48" t="str">
        <x:f>IF($AD73="","",CHAR(123)&amp;CHAR(34)&amp;"label"&amp;CHAR(34)&amp;":"&amp;CHAR(34)&amp;$C73&amp;CHAR(34)&amp;","&amp;CHAR(34)&amp;"value"&amp;CHAR(34)&amp;":"&amp;CHAR(34)&amp;SUBSTITUTE($AD73,CHAR(34),CHAR(92)&amp;CHAR(34))&amp;CHAR(34)&amp;CHAR(125))</x:f>
      </x:c>
      <x:c r="AF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  <x:c r="AA74" s="42"/>
      <x:c r="AB74" s="42"/>
      <x:c r="AC74" s="42"/>
      <x:c r="AD74" s="48" t="str">
        <x:f>IF(OR($A74&lt;&gt;"Yes",$C74="",COUNTA($E74:$AC74)=0),"","("&amp;IF(E74&lt;&gt;"",'Dashboard Config'!$B$6&amp;"="""&amp;E74&amp;"""","")&amp;IF(F74&lt;&gt;"",IF(COUNTA($E74:$E74)&gt;0," OR ","")&amp;'Dashboard Config'!$B$6&amp;"="""&amp;F74&amp;"""","")&amp;IF(G74&lt;&gt;"",IF(COUNTA($E74:$F74)&gt;0," OR ","")&amp;'Dashboard Config'!$B$6&amp;"="""&amp;G74&amp;"""","")&amp;IF(H74&lt;&gt;"",IF(COUNTA($E74:$G74)&gt;0," OR ","")&amp;'Dashboard Config'!$B$6&amp;"="""&amp;H74&amp;"""","")&amp;IF(I74&lt;&gt;"",IF(COUNTA($E74:$H74)&gt;0," OR ","")&amp;'Dashboard Config'!$B$6&amp;"="""&amp;I74&amp;"""","")&amp;IF(J74&lt;&gt;"",IF(COUNTA($E74:$I74)&gt;0," OR ","")&amp;'Dashboard Config'!$B$6&amp;"="""&amp;J74&amp;"""","")&amp;IF(K74&lt;&gt;"",IF(COUNTA($E74:$J74)&gt;0," OR ","")&amp;'Dashboard Config'!$B$6&amp;"="""&amp;K74&amp;"""","")&amp;IF(L74&lt;&gt;"",IF(COUNTA($E74:$K74)&gt;0," OR ","")&amp;'Dashboard Config'!$B$6&amp;"="""&amp;L74&amp;"""","")&amp;IF(M74&lt;&gt;"",IF(COUNTA($E74:$L74)&gt;0," OR ","")&amp;'Dashboard Config'!$B$7&amp;"="""&amp;M74&amp;"""","")&amp;IF(N74&lt;&gt;"",IF(COUNTA($E74:$M74)&gt;0," OR ","")&amp;'Dashboard Config'!$B$7&amp;"="""&amp;N74&amp;"""","")&amp;IF(O74&lt;&gt;"",IF(COUNTA($E74:$N74)&gt;0," OR ","")&amp;'Dashboard Config'!$B$7&amp;"="""&amp;O74&amp;"""","")&amp;IF(P74&lt;&gt;"",IF(COUNTA($E74:$O74)&gt;0," OR ","")&amp;'Dashboard Config'!$B$7&amp;"="""&amp;P74&amp;"""","")&amp;IF(Q74&lt;&gt;"",IF(COUNTA($E74:$P74)&gt;0," OR ","")&amp;'Dashboard Config'!$B$7&amp;"="""&amp;Q74&amp;"""","")&amp;IF(R74&lt;&gt;"",IF(COUNTA($E74:$Q74)&gt;0," OR ","")&amp;'Dashboard Config'!$B$7&amp;"="""&amp;R74&amp;"""","")&amp;IF(S74&lt;&gt;"",IF(COUNTA($E74:$R74)&gt;0," OR ","")&amp;'Dashboard Config'!$B$7&amp;"="""&amp;S74&amp;"""","")&amp;IF(T74&lt;&gt;"",IF(COUNTA($E74:$S74)&gt;0," OR ","")&amp;'Dashboard Config'!$B$7&amp;"="""&amp;T74&amp;"""","")&amp;IF(U74&lt;&gt;"",IF(COUNTA($E74:$T74)&gt;0," OR ","")&amp;'Dashboard Config'!$B$7&amp;"="""&amp;U74&amp;"""","")&amp;IF(V74&lt;&gt;"",IF(COUNTA($E74:$U74)&gt;0," OR ","")&amp;'Dashboard Config'!$B$7&amp;"="""&amp;V74&amp;"""","")&amp;IF(W74&lt;&gt;"",IF(COUNTA($E74:$V74)&gt;0," OR ","")&amp;'Dashboard Config'!$B$7&amp;"="""&amp;W74&amp;"""","")&amp;IF(X74&lt;&gt;"",IF(COUNTA($E74:$W74)&gt;0," OR ","")&amp;'Dashboard Config'!$B$7&amp;"="""&amp;X74&amp;"""","")&amp;IF(Y74&lt;&gt;"",IF(COUNTA($E74:$X74)&gt;0," OR ","")&amp;'Dashboard Config'!$B$7&amp;"="""&amp;Y74&amp;"""","")&amp;IF(Z74&lt;&gt;"",IF(COUNTA($E74:$Y74)&gt;0," OR ","")&amp;'Dashboard Config'!$B$7&amp;"="""&amp;Z74&amp;"""","")&amp;IF(AA74&lt;&gt;"",IF(COUNTA($E74:$Z74)&gt;0," OR ","")&amp;'Dashboard Config'!$B$7&amp;"="""&amp;AA74&amp;"""","")&amp;IF(AB74&lt;&gt;"",IF(COUNTA($E74:$AA74)&gt;0," OR ","")&amp;'Dashboard Config'!$B$7&amp;"="""&amp;AB74&amp;"""","")&amp;IF(AC74&lt;&gt;"",IF(COUNTA($E74:$AB74)&gt;0," OR ","")&amp;AC74,"")&amp;")")</x:f>
      </x:c>
      <x:c r="AE74" s="48" t="str">
        <x:f>IF($AD74="","",CHAR(123)&amp;CHAR(34)&amp;"label"&amp;CHAR(34)&amp;":"&amp;CHAR(34)&amp;$C74&amp;CHAR(34)&amp;","&amp;CHAR(34)&amp;"value"&amp;CHAR(34)&amp;":"&amp;CHAR(34)&amp;SUBSTITUTE($AD74,CHAR(34),CHAR(92)&amp;CHAR(34))&amp;CHAR(34)&amp;CHAR(125))</x:f>
      </x:c>
      <x:c r="AF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  <x:c r="AA75" s="42"/>
      <x:c r="AB75" s="42"/>
      <x:c r="AC75" s="42"/>
      <x:c r="AD75" s="48" t="str">
        <x:f>IF(OR($A75&lt;&gt;"Yes",$C75="",COUNTA($E75:$AC75)=0),"","("&amp;IF(E75&lt;&gt;"",'Dashboard Config'!$B$6&amp;"="""&amp;E75&amp;"""","")&amp;IF(F75&lt;&gt;"",IF(COUNTA($E75:$E75)&gt;0," OR ","")&amp;'Dashboard Config'!$B$6&amp;"="""&amp;F75&amp;"""","")&amp;IF(G75&lt;&gt;"",IF(COUNTA($E75:$F75)&gt;0," OR ","")&amp;'Dashboard Config'!$B$6&amp;"="""&amp;G75&amp;"""","")&amp;IF(H75&lt;&gt;"",IF(COUNTA($E75:$G75)&gt;0," OR ","")&amp;'Dashboard Config'!$B$6&amp;"="""&amp;H75&amp;"""","")&amp;IF(I75&lt;&gt;"",IF(COUNTA($E75:$H75)&gt;0," OR ","")&amp;'Dashboard Config'!$B$6&amp;"="""&amp;I75&amp;"""","")&amp;IF(J75&lt;&gt;"",IF(COUNTA($E75:$I75)&gt;0," OR ","")&amp;'Dashboard Config'!$B$6&amp;"="""&amp;J75&amp;"""","")&amp;IF(K75&lt;&gt;"",IF(COUNTA($E75:$J75)&gt;0," OR ","")&amp;'Dashboard Config'!$B$6&amp;"="""&amp;K75&amp;"""","")&amp;IF(L75&lt;&gt;"",IF(COUNTA($E75:$K75)&gt;0," OR ","")&amp;'Dashboard Config'!$B$6&amp;"="""&amp;L75&amp;"""","")&amp;IF(M75&lt;&gt;"",IF(COUNTA($E75:$L75)&gt;0," OR ","")&amp;'Dashboard Config'!$B$7&amp;"="""&amp;M75&amp;"""","")&amp;IF(N75&lt;&gt;"",IF(COUNTA($E75:$M75)&gt;0," OR ","")&amp;'Dashboard Config'!$B$7&amp;"="""&amp;N75&amp;"""","")&amp;IF(O75&lt;&gt;"",IF(COUNTA($E75:$N75)&gt;0," OR ","")&amp;'Dashboard Config'!$B$7&amp;"="""&amp;O75&amp;"""","")&amp;IF(P75&lt;&gt;"",IF(COUNTA($E75:$O75)&gt;0," OR ","")&amp;'Dashboard Config'!$B$7&amp;"="""&amp;P75&amp;"""","")&amp;IF(Q75&lt;&gt;"",IF(COUNTA($E75:$P75)&gt;0," OR ","")&amp;'Dashboard Config'!$B$7&amp;"="""&amp;Q75&amp;"""","")&amp;IF(R75&lt;&gt;"",IF(COUNTA($E75:$Q75)&gt;0," OR ","")&amp;'Dashboard Config'!$B$7&amp;"="""&amp;R75&amp;"""","")&amp;IF(S75&lt;&gt;"",IF(COUNTA($E75:$R75)&gt;0," OR ","")&amp;'Dashboard Config'!$B$7&amp;"="""&amp;S75&amp;"""","")&amp;IF(T75&lt;&gt;"",IF(COUNTA($E75:$S75)&gt;0," OR ","")&amp;'Dashboard Config'!$B$7&amp;"="""&amp;T75&amp;"""","")&amp;IF(U75&lt;&gt;"",IF(COUNTA($E75:$T75)&gt;0," OR ","")&amp;'Dashboard Config'!$B$7&amp;"="""&amp;U75&amp;"""","")&amp;IF(V75&lt;&gt;"",IF(COUNTA($E75:$U75)&gt;0," OR ","")&amp;'Dashboard Config'!$B$7&amp;"="""&amp;V75&amp;"""","")&amp;IF(W75&lt;&gt;"",IF(COUNTA($E75:$V75)&gt;0," OR ","")&amp;'Dashboard Config'!$B$7&amp;"="""&amp;W75&amp;"""","")&amp;IF(X75&lt;&gt;"",IF(COUNTA($E75:$W75)&gt;0," OR ","")&amp;'Dashboard Config'!$B$7&amp;"="""&amp;X75&amp;"""","")&amp;IF(Y75&lt;&gt;"",IF(COUNTA($E75:$X75)&gt;0," OR ","")&amp;'Dashboard Config'!$B$7&amp;"="""&amp;Y75&amp;"""","")&amp;IF(Z75&lt;&gt;"",IF(COUNTA($E75:$Y75)&gt;0," OR ","")&amp;'Dashboard Config'!$B$7&amp;"="""&amp;Z75&amp;"""","")&amp;IF(AA75&lt;&gt;"",IF(COUNTA($E75:$Z75)&gt;0," OR ","")&amp;'Dashboard Config'!$B$7&amp;"="""&amp;AA75&amp;"""","")&amp;IF(AB75&lt;&gt;"",IF(COUNTA($E75:$AA75)&gt;0," OR ","")&amp;'Dashboard Config'!$B$7&amp;"="""&amp;AB75&amp;"""","")&amp;IF(AC75&lt;&gt;"",IF(COUNTA($E75:$AB75)&gt;0," OR ","")&amp;AC75,"")&amp;")")</x:f>
      </x:c>
      <x:c r="AE75" s="48" t="str">
        <x:f>IF($AD75="","",CHAR(123)&amp;CHAR(34)&amp;"label"&amp;CHAR(34)&amp;":"&amp;CHAR(34)&amp;$C75&amp;CHAR(34)&amp;","&amp;CHAR(34)&amp;"value"&amp;CHAR(34)&amp;":"&amp;CHAR(34)&amp;SUBSTITUTE($AD75,CHAR(34),CHAR(92)&amp;CHAR(34))&amp;CHAR(34)&amp;CHAR(125))</x:f>
      </x:c>
      <x:c r="AF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  <x:c r="AA76" s="42"/>
      <x:c r="AB76" s="42"/>
      <x:c r="AC76" s="42"/>
      <x:c r="AD76" s="48" t="str">
        <x:f>IF(OR($A76&lt;&gt;"Yes",$C76="",COUNTA($E76:$AC76)=0),"","("&amp;IF(E76&lt;&gt;"",'Dashboard Config'!$B$6&amp;"="""&amp;E76&amp;"""","")&amp;IF(F76&lt;&gt;"",IF(COUNTA($E76:$E76)&gt;0," OR ","")&amp;'Dashboard Config'!$B$6&amp;"="""&amp;F76&amp;"""","")&amp;IF(G76&lt;&gt;"",IF(COUNTA($E76:$F76)&gt;0," OR ","")&amp;'Dashboard Config'!$B$6&amp;"="""&amp;G76&amp;"""","")&amp;IF(H76&lt;&gt;"",IF(COUNTA($E76:$G76)&gt;0," OR ","")&amp;'Dashboard Config'!$B$6&amp;"="""&amp;H76&amp;"""","")&amp;IF(I76&lt;&gt;"",IF(COUNTA($E76:$H76)&gt;0," OR ","")&amp;'Dashboard Config'!$B$6&amp;"="""&amp;I76&amp;"""","")&amp;IF(J76&lt;&gt;"",IF(COUNTA($E76:$I76)&gt;0," OR ","")&amp;'Dashboard Config'!$B$6&amp;"="""&amp;J76&amp;"""","")&amp;IF(K76&lt;&gt;"",IF(COUNTA($E76:$J76)&gt;0," OR ","")&amp;'Dashboard Config'!$B$6&amp;"="""&amp;K76&amp;"""","")&amp;IF(L76&lt;&gt;"",IF(COUNTA($E76:$K76)&gt;0," OR ","")&amp;'Dashboard Config'!$B$6&amp;"="""&amp;L76&amp;"""","")&amp;IF(M76&lt;&gt;"",IF(COUNTA($E76:$L76)&gt;0," OR ","")&amp;'Dashboard Config'!$B$7&amp;"="""&amp;M76&amp;"""","")&amp;IF(N76&lt;&gt;"",IF(COUNTA($E76:$M76)&gt;0," OR ","")&amp;'Dashboard Config'!$B$7&amp;"="""&amp;N76&amp;"""","")&amp;IF(O76&lt;&gt;"",IF(COUNTA($E76:$N76)&gt;0," OR ","")&amp;'Dashboard Config'!$B$7&amp;"="""&amp;O76&amp;"""","")&amp;IF(P76&lt;&gt;"",IF(COUNTA($E76:$O76)&gt;0," OR ","")&amp;'Dashboard Config'!$B$7&amp;"="""&amp;P76&amp;"""","")&amp;IF(Q76&lt;&gt;"",IF(COUNTA($E76:$P76)&gt;0," OR ","")&amp;'Dashboard Config'!$B$7&amp;"="""&amp;Q76&amp;"""","")&amp;IF(R76&lt;&gt;"",IF(COUNTA($E76:$Q76)&gt;0," OR ","")&amp;'Dashboard Config'!$B$7&amp;"="""&amp;R76&amp;"""","")&amp;IF(S76&lt;&gt;"",IF(COUNTA($E76:$R76)&gt;0," OR ","")&amp;'Dashboard Config'!$B$7&amp;"="""&amp;S76&amp;"""","")&amp;IF(T76&lt;&gt;"",IF(COUNTA($E76:$S76)&gt;0," OR ","")&amp;'Dashboard Config'!$B$7&amp;"="""&amp;T76&amp;"""","")&amp;IF(U76&lt;&gt;"",IF(COUNTA($E76:$T76)&gt;0," OR ","")&amp;'Dashboard Config'!$B$7&amp;"="""&amp;U76&amp;"""","")&amp;IF(V76&lt;&gt;"",IF(COUNTA($E76:$U76)&gt;0," OR ","")&amp;'Dashboard Config'!$B$7&amp;"="""&amp;V76&amp;"""","")&amp;IF(W76&lt;&gt;"",IF(COUNTA($E76:$V76)&gt;0," OR ","")&amp;'Dashboard Config'!$B$7&amp;"="""&amp;W76&amp;"""","")&amp;IF(X76&lt;&gt;"",IF(COUNTA($E76:$W76)&gt;0," OR ","")&amp;'Dashboard Config'!$B$7&amp;"="""&amp;X76&amp;"""","")&amp;IF(Y76&lt;&gt;"",IF(COUNTA($E76:$X76)&gt;0," OR ","")&amp;'Dashboard Config'!$B$7&amp;"="""&amp;Y76&amp;"""","")&amp;IF(Z76&lt;&gt;"",IF(COUNTA($E76:$Y76)&gt;0," OR ","")&amp;'Dashboard Config'!$B$7&amp;"="""&amp;Z76&amp;"""","")&amp;IF(AA76&lt;&gt;"",IF(COUNTA($E76:$Z76)&gt;0," OR ","")&amp;'Dashboard Config'!$B$7&amp;"="""&amp;AA76&amp;"""","")&amp;IF(AB76&lt;&gt;"",IF(COUNTA($E76:$AA76)&gt;0," OR ","")&amp;'Dashboard Config'!$B$7&amp;"="""&amp;AB76&amp;"""","")&amp;IF(AC76&lt;&gt;"",IF(COUNTA($E76:$AB76)&gt;0," OR ","")&amp;AC76,"")&amp;")")</x:f>
      </x:c>
      <x:c r="AE76" s="48" t="str">
        <x:f>IF($AD76="","",CHAR(123)&amp;CHAR(34)&amp;"label"&amp;CHAR(34)&amp;":"&amp;CHAR(34)&amp;$C76&amp;CHAR(34)&amp;","&amp;CHAR(34)&amp;"value"&amp;CHAR(34)&amp;":"&amp;CHAR(34)&amp;SUBSTITUTE($AD76,CHAR(34),CHAR(92)&amp;CHAR(34))&amp;CHAR(34)&amp;CHAR(125))</x:f>
      </x:c>
      <x:c r="AF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  <x:c r="AA77" s="42"/>
      <x:c r="AB77" s="42"/>
      <x:c r="AC77" s="42"/>
      <x:c r="AD77" s="48" t="str">
        <x:f>IF(OR($A77&lt;&gt;"Yes",$C77="",COUNTA($E77:$AC77)=0),"","("&amp;IF(E77&lt;&gt;"",'Dashboard Config'!$B$6&amp;"="""&amp;E77&amp;"""","")&amp;IF(F77&lt;&gt;"",IF(COUNTA($E77:$E77)&gt;0," OR ","")&amp;'Dashboard Config'!$B$6&amp;"="""&amp;F77&amp;"""","")&amp;IF(G77&lt;&gt;"",IF(COUNTA($E77:$F77)&gt;0," OR ","")&amp;'Dashboard Config'!$B$6&amp;"="""&amp;G77&amp;"""","")&amp;IF(H77&lt;&gt;"",IF(COUNTA($E77:$G77)&gt;0," OR ","")&amp;'Dashboard Config'!$B$6&amp;"="""&amp;H77&amp;"""","")&amp;IF(I77&lt;&gt;"",IF(COUNTA($E77:$H77)&gt;0," OR ","")&amp;'Dashboard Config'!$B$6&amp;"="""&amp;I77&amp;"""","")&amp;IF(J77&lt;&gt;"",IF(COUNTA($E77:$I77)&gt;0," OR ","")&amp;'Dashboard Config'!$B$6&amp;"="""&amp;J77&amp;"""","")&amp;IF(K77&lt;&gt;"",IF(COUNTA($E77:$J77)&gt;0," OR ","")&amp;'Dashboard Config'!$B$6&amp;"="""&amp;K77&amp;"""","")&amp;IF(L77&lt;&gt;"",IF(COUNTA($E77:$K77)&gt;0," OR ","")&amp;'Dashboard Config'!$B$6&amp;"="""&amp;L77&amp;"""","")&amp;IF(M77&lt;&gt;"",IF(COUNTA($E77:$L77)&gt;0," OR ","")&amp;'Dashboard Config'!$B$7&amp;"="""&amp;M77&amp;"""","")&amp;IF(N77&lt;&gt;"",IF(COUNTA($E77:$M77)&gt;0," OR ","")&amp;'Dashboard Config'!$B$7&amp;"="""&amp;N77&amp;"""","")&amp;IF(O77&lt;&gt;"",IF(COUNTA($E77:$N77)&gt;0," OR ","")&amp;'Dashboard Config'!$B$7&amp;"="""&amp;O77&amp;"""","")&amp;IF(P77&lt;&gt;"",IF(COUNTA($E77:$O77)&gt;0," OR ","")&amp;'Dashboard Config'!$B$7&amp;"="""&amp;P77&amp;"""","")&amp;IF(Q77&lt;&gt;"",IF(COUNTA($E77:$P77)&gt;0," OR ","")&amp;'Dashboard Config'!$B$7&amp;"="""&amp;Q77&amp;"""","")&amp;IF(R77&lt;&gt;"",IF(COUNTA($E77:$Q77)&gt;0," OR ","")&amp;'Dashboard Config'!$B$7&amp;"="""&amp;R77&amp;"""","")&amp;IF(S77&lt;&gt;"",IF(COUNTA($E77:$R77)&gt;0," OR ","")&amp;'Dashboard Config'!$B$7&amp;"="""&amp;S77&amp;"""","")&amp;IF(T77&lt;&gt;"",IF(COUNTA($E77:$S77)&gt;0," OR ","")&amp;'Dashboard Config'!$B$7&amp;"="""&amp;T77&amp;"""","")&amp;IF(U77&lt;&gt;"",IF(COUNTA($E77:$T77)&gt;0," OR ","")&amp;'Dashboard Config'!$B$7&amp;"="""&amp;U77&amp;"""","")&amp;IF(V77&lt;&gt;"",IF(COUNTA($E77:$U77)&gt;0," OR ","")&amp;'Dashboard Config'!$B$7&amp;"="""&amp;V77&amp;"""","")&amp;IF(W77&lt;&gt;"",IF(COUNTA($E77:$V77)&gt;0," OR ","")&amp;'Dashboard Config'!$B$7&amp;"="""&amp;W77&amp;"""","")&amp;IF(X77&lt;&gt;"",IF(COUNTA($E77:$W77)&gt;0," OR ","")&amp;'Dashboard Config'!$B$7&amp;"="""&amp;X77&amp;"""","")&amp;IF(Y77&lt;&gt;"",IF(COUNTA($E77:$X77)&gt;0," OR ","")&amp;'Dashboard Config'!$B$7&amp;"="""&amp;Y77&amp;"""","")&amp;IF(Z77&lt;&gt;"",IF(COUNTA($E77:$Y77)&gt;0," OR ","")&amp;'Dashboard Config'!$B$7&amp;"="""&amp;Z77&amp;"""","")&amp;IF(AA77&lt;&gt;"",IF(COUNTA($E77:$Z77)&gt;0," OR ","")&amp;'Dashboard Config'!$B$7&amp;"="""&amp;AA77&amp;"""","")&amp;IF(AB77&lt;&gt;"",IF(COUNTA($E77:$AA77)&gt;0," OR ","")&amp;'Dashboard Config'!$B$7&amp;"="""&amp;AB77&amp;"""","")&amp;IF(AC77&lt;&gt;"",IF(COUNTA($E77:$AB77)&gt;0," OR ","")&amp;AC77,"")&amp;")")</x:f>
      </x:c>
      <x:c r="AE77" s="48" t="str">
        <x:f>IF($AD77="","",CHAR(123)&amp;CHAR(34)&amp;"label"&amp;CHAR(34)&amp;":"&amp;CHAR(34)&amp;$C77&amp;CHAR(34)&amp;","&amp;CHAR(34)&amp;"value"&amp;CHAR(34)&amp;":"&amp;CHAR(34)&amp;SUBSTITUTE($AD77,CHAR(34),CHAR(92)&amp;CHAR(34))&amp;CHAR(34)&amp;CHAR(125))</x:f>
      </x:c>
      <x:c r="AF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  <x:c r="AA78" s="42"/>
      <x:c r="AB78" s="42"/>
      <x:c r="AC78" s="42"/>
      <x:c r="AD78" s="48" t="str">
        <x:f>IF(OR($A78&lt;&gt;"Yes",$C78="",COUNTA($E78:$AC78)=0),"","("&amp;IF(E78&lt;&gt;"",'Dashboard Config'!$B$6&amp;"="""&amp;E78&amp;"""","")&amp;IF(F78&lt;&gt;"",IF(COUNTA($E78:$E78)&gt;0," OR ","")&amp;'Dashboard Config'!$B$6&amp;"="""&amp;F78&amp;"""","")&amp;IF(G78&lt;&gt;"",IF(COUNTA($E78:$F78)&gt;0," OR ","")&amp;'Dashboard Config'!$B$6&amp;"="""&amp;G78&amp;"""","")&amp;IF(H78&lt;&gt;"",IF(COUNTA($E78:$G78)&gt;0," OR ","")&amp;'Dashboard Config'!$B$6&amp;"="""&amp;H78&amp;"""","")&amp;IF(I78&lt;&gt;"",IF(COUNTA($E78:$H78)&gt;0," OR ","")&amp;'Dashboard Config'!$B$6&amp;"="""&amp;I78&amp;"""","")&amp;IF(J78&lt;&gt;"",IF(COUNTA($E78:$I78)&gt;0," OR ","")&amp;'Dashboard Config'!$B$6&amp;"="""&amp;J78&amp;"""","")&amp;IF(K78&lt;&gt;"",IF(COUNTA($E78:$J78)&gt;0," OR ","")&amp;'Dashboard Config'!$B$6&amp;"="""&amp;K78&amp;"""","")&amp;IF(L78&lt;&gt;"",IF(COUNTA($E78:$K78)&gt;0," OR ","")&amp;'Dashboard Config'!$B$6&amp;"="""&amp;L78&amp;"""","")&amp;IF(M78&lt;&gt;"",IF(COUNTA($E78:$L78)&gt;0," OR ","")&amp;'Dashboard Config'!$B$7&amp;"="""&amp;M78&amp;"""","")&amp;IF(N78&lt;&gt;"",IF(COUNTA($E78:$M78)&gt;0," OR ","")&amp;'Dashboard Config'!$B$7&amp;"="""&amp;N78&amp;"""","")&amp;IF(O78&lt;&gt;"",IF(COUNTA($E78:$N78)&gt;0," OR ","")&amp;'Dashboard Config'!$B$7&amp;"="""&amp;O78&amp;"""","")&amp;IF(P78&lt;&gt;"",IF(COUNTA($E78:$O78)&gt;0," OR ","")&amp;'Dashboard Config'!$B$7&amp;"="""&amp;P78&amp;"""","")&amp;IF(Q78&lt;&gt;"",IF(COUNTA($E78:$P78)&gt;0," OR ","")&amp;'Dashboard Config'!$B$7&amp;"="""&amp;Q78&amp;"""","")&amp;IF(R78&lt;&gt;"",IF(COUNTA($E78:$Q78)&gt;0," OR ","")&amp;'Dashboard Config'!$B$7&amp;"="""&amp;R78&amp;"""","")&amp;IF(S78&lt;&gt;"",IF(COUNTA($E78:$R78)&gt;0," OR ","")&amp;'Dashboard Config'!$B$7&amp;"="""&amp;S78&amp;"""","")&amp;IF(T78&lt;&gt;"",IF(COUNTA($E78:$S78)&gt;0," OR ","")&amp;'Dashboard Config'!$B$7&amp;"="""&amp;T78&amp;"""","")&amp;IF(U78&lt;&gt;"",IF(COUNTA($E78:$T78)&gt;0," OR ","")&amp;'Dashboard Config'!$B$7&amp;"="""&amp;U78&amp;"""","")&amp;IF(V78&lt;&gt;"",IF(COUNTA($E78:$U78)&gt;0," OR ","")&amp;'Dashboard Config'!$B$7&amp;"="""&amp;V78&amp;"""","")&amp;IF(W78&lt;&gt;"",IF(COUNTA($E78:$V78)&gt;0," OR ","")&amp;'Dashboard Config'!$B$7&amp;"="""&amp;W78&amp;"""","")&amp;IF(X78&lt;&gt;"",IF(COUNTA($E78:$W78)&gt;0," OR ","")&amp;'Dashboard Config'!$B$7&amp;"="""&amp;X78&amp;"""","")&amp;IF(Y78&lt;&gt;"",IF(COUNTA($E78:$X78)&gt;0," OR ","")&amp;'Dashboard Config'!$B$7&amp;"="""&amp;Y78&amp;"""","")&amp;IF(Z78&lt;&gt;"",IF(COUNTA($E78:$Y78)&gt;0," OR ","")&amp;'Dashboard Config'!$B$7&amp;"="""&amp;Z78&amp;"""","")&amp;IF(AA78&lt;&gt;"",IF(COUNTA($E78:$Z78)&gt;0," OR ","")&amp;'Dashboard Config'!$B$7&amp;"="""&amp;AA78&amp;"""","")&amp;IF(AB78&lt;&gt;"",IF(COUNTA($E78:$AA78)&gt;0," OR ","")&amp;'Dashboard Config'!$B$7&amp;"="""&amp;AB78&amp;"""","")&amp;IF(AC78&lt;&gt;"",IF(COUNTA($E78:$AB78)&gt;0," OR ","")&amp;AC78,"")&amp;")")</x:f>
      </x:c>
      <x:c r="AE78" s="48" t="str">
        <x:f>IF($AD78="","",CHAR(123)&amp;CHAR(34)&amp;"label"&amp;CHAR(34)&amp;":"&amp;CHAR(34)&amp;$C78&amp;CHAR(34)&amp;","&amp;CHAR(34)&amp;"value"&amp;CHAR(34)&amp;":"&amp;CHAR(34)&amp;SUBSTITUTE($AD78,CHAR(34),CHAR(92)&amp;CHAR(34))&amp;CHAR(34)&amp;CHAR(125))</x:f>
      </x:c>
      <x:c r="AF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  <x:c r="AA79" s="42"/>
      <x:c r="AB79" s="42"/>
      <x:c r="AC79" s="42"/>
      <x:c r="AD79" s="48" t="str">
        <x:f>IF(OR($A79&lt;&gt;"Yes",$C79="",COUNTA($E79:$AC79)=0),"","("&amp;IF(E79&lt;&gt;"",'Dashboard Config'!$B$6&amp;"="""&amp;E79&amp;"""","")&amp;IF(F79&lt;&gt;"",IF(COUNTA($E79:$E79)&gt;0," OR ","")&amp;'Dashboard Config'!$B$6&amp;"="""&amp;F79&amp;"""","")&amp;IF(G79&lt;&gt;"",IF(COUNTA($E79:$F79)&gt;0," OR ","")&amp;'Dashboard Config'!$B$6&amp;"="""&amp;G79&amp;"""","")&amp;IF(H79&lt;&gt;"",IF(COUNTA($E79:$G79)&gt;0," OR ","")&amp;'Dashboard Config'!$B$6&amp;"="""&amp;H79&amp;"""","")&amp;IF(I79&lt;&gt;"",IF(COUNTA($E79:$H79)&gt;0," OR ","")&amp;'Dashboard Config'!$B$6&amp;"="""&amp;I79&amp;"""","")&amp;IF(J79&lt;&gt;"",IF(COUNTA($E79:$I79)&gt;0," OR ","")&amp;'Dashboard Config'!$B$6&amp;"="""&amp;J79&amp;"""","")&amp;IF(K79&lt;&gt;"",IF(COUNTA($E79:$J79)&gt;0," OR ","")&amp;'Dashboard Config'!$B$6&amp;"="""&amp;K79&amp;"""","")&amp;IF(L79&lt;&gt;"",IF(COUNTA($E79:$K79)&gt;0," OR ","")&amp;'Dashboard Config'!$B$6&amp;"="""&amp;L79&amp;"""","")&amp;IF(M79&lt;&gt;"",IF(COUNTA($E79:$L79)&gt;0," OR ","")&amp;'Dashboard Config'!$B$7&amp;"="""&amp;M79&amp;"""","")&amp;IF(N79&lt;&gt;"",IF(COUNTA($E79:$M79)&gt;0," OR ","")&amp;'Dashboard Config'!$B$7&amp;"="""&amp;N79&amp;"""","")&amp;IF(O79&lt;&gt;"",IF(COUNTA($E79:$N79)&gt;0," OR ","")&amp;'Dashboard Config'!$B$7&amp;"="""&amp;O79&amp;"""","")&amp;IF(P79&lt;&gt;"",IF(COUNTA($E79:$O79)&gt;0," OR ","")&amp;'Dashboard Config'!$B$7&amp;"="""&amp;P79&amp;"""","")&amp;IF(Q79&lt;&gt;"",IF(COUNTA($E79:$P79)&gt;0," OR ","")&amp;'Dashboard Config'!$B$7&amp;"="""&amp;Q79&amp;"""","")&amp;IF(R79&lt;&gt;"",IF(COUNTA($E79:$Q79)&gt;0," OR ","")&amp;'Dashboard Config'!$B$7&amp;"="""&amp;R79&amp;"""","")&amp;IF(S79&lt;&gt;"",IF(COUNTA($E79:$R79)&gt;0," OR ","")&amp;'Dashboard Config'!$B$7&amp;"="""&amp;S79&amp;"""","")&amp;IF(T79&lt;&gt;"",IF(COUNTA($E79:$S79)&gt;0," OR ","")&amp;'Dashboard Config'!$B$7&amp;"="""&amp;T79&amp;"""","")&amp;IF(U79&lt;&gt;"",IF(COUNTA($E79:$T79)&gt;0," OR ","")&amp;'Dashboard Config'!$B$7&amp;"="""&amp;U79&amp;"""","")&amp;IF(V79&lt;&gt;"",IF(COUNTA($E79:$U79)&gt;0," OR ","")&amp;'Dashboard Config'!$B$7&amp;"="""&amp;V79&amp;"""","")&amp;IF(W79&lt;&gt;"",IF(COUNTA($E79:$V79)&gt;0," OR ","")&amp;'Dashboard Config'!$B$7&amp;"="""&amp;W79&amp;"""","")&amp;IF(X79&lt;&gt;"",IF(COUNTA($E79:$W79)&gt;0," OR ","")&amp;'Dashboard Config'!$B$7&amp;"="""&amp;X79&amp;"""","")&amp;IF(Y79&lt;&gt;"",IF(COUNTA($E79:$X79)&gt;0," OR ","")&amp;'Dashboard Config'!$B$7&amp;"="""&amp;Y79&amp;"""","")&amp;IF(Z79&lt;&gt;"",IF(COUNTA($E79:$Y79)&gt;0," OR ","")&amp;'Dashboard Config'!$B$7&amp;"="""&amp;Z79&amp;"""","")&amp;IF(AA79&lt;&gt;"",IF(COUNTA($E79:$Z79)&gt;0," OR ","")&amp;'Dashboard Config'!$B$7&amp;"="""&amp;AA79&amp;"""","")&amp;IF(AB79&lt;&gt;"",IF(COUNTA($E79:$AA79)&gt;0," OR ","")&amp;'Dashboard Config'!$B$7&amp;"="""&amp;AB79&amp;"""","")&amp;IF(AC79&lt;&gt;"",IF(COUNTA($E79:$AB79)&gt;0," OR ","")&amp;AC79,"")&amp;")")</x:f>
      </x:c>
      <x:c r="AE79" s="48" t="str">
        <x:f>IF($AD79="","",CHAR(123)&amp;CHAR(34)&amp;"label"&amp;CHAR(34)&amp;":"&amp;CHAR(34)&amp;$C79&amp;CHAR(34)&amp;","&amp;CHAR(34)&amp;"value"&amp;CHAR(34)&amp;":"&amp;CHAR(34)&amp;SUBSTITUTE($AD79,CHAR(34),CHAR(92)&amp;CHAR(34))&amp;CHAR(34)&amp;CHAR(125))</x:f>
      </x:c>
      <x:c r="AF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  <x:c r="AA80" s="42"/>
      <x:c r="AB80" s="42"/>
      <x:c r="AC80" s="42"/>
      <x:c r="AD80" s="48" t="str">
        <x:f>IF(OR($A80&lt;&gt;"Yes",$C80="",COUNTA($E80:$AC80)=0),"","("&amp;IF(E80&lt;&gt;"",'Dashboard Config'!$B$6&amp;"="""&amp;E80&amp;"""","")&amp;IF(F80&lt;&gt;"",IF(COUNTA($E80:$E80)&gt;0," OR ","")&amp;'Dashboard Config'!$B$6&amp;"="""&amp;F80&amp;"""","")&amp;IF(G80&lt;&gt;"",IF(COUNTA($E80:$F80)&gt;0," OR ","")&amp;'Dashboard Config'!$B$6&amp;"="""&amp;G80&amp;"""","")&amp;IF(H80&lt;&gt;"",IF(COUNTA($E80:$G80)&gt;0," OR ","")&amp;'Dashboard Config'!$B$6&amp;"="""&amp;H80&amp;"""","")&amp;IF(I80&lt;&gt;"",IF(COUNTA($E80:$H80)&gt;0," OR ","")&amp;'Dashboard Config'!$B$6&amp;"="""&amp;I80&amp;"""","")&amp;IF(J80&lt;&gt;"",IF(COUNTA($E80:$I80)&gt;0," OR ","")&amp;'Dashboard Config'!$B$6&amp;"="""&amp;J80&amp;"""","")&amp;IF(K80&lt;&gt;"",IF(COUNTA($E80:$J80)&gt;0," OR ","")&amp;'Dashboard Config'!$B$6&amp;"="""&amp;K80&amp;"""","")&amp;IF(L80&lt;&gt;"",IF(COUNTA($E80:$K80)&gt;0," OR ","")&amp;'Dashboard Config'!$B$6&amp;"="""&amp;L80&amp;"""","")&amp;IF(M80&lt;&gt;"",IF(COUNTA($E80:$L80)&gt;0," OR ","")&amp;'Dashboard Config'!$B$7&amp;"="""&amp;M80&amp;"""","")&amp;IF(N80&lt;&gt;"",IF(COUNTA($E80:$M80)&gt;0," OR ","")&amp;'Dashboard Config'!$B$7&amp;"="""&amp;N80&amp;"""","")&amp;IF(O80&lt;&gt;"",IF(COUNTA($E80:$N80)&gt;0," OR ","")&amp;'Dashboard Config'!$B$7&amp;"="""&amp;O80&amp;"""","")&amp;IF(P80&lt;&gt;"",IF(COUNTA($E80:$O80)&gt;0," OR ","")&amp;'Dashboard Config'!$B$7&amp;"="""&amp;P80&amp;"""","")&amp;IF(Q80&lt;&gt;"",IF(COUNTA($E80:$P80)&gt;0," OR ","")&amp;'Dashboard Config'!$B$7&amp;"="""&amp;Q80&amp;"""","")&amp;IF(R80&lt;&gt;"",IF(COUNTA($E80:$Q80)&gt;0," OR ","")&amp;'Dashboard Config'!$B$7&amp;"="""&amp;R80&amp;"""","")&amp;IF(S80&lt;&gt;"",IF(COUNTA($E80:$R80)&gt;0," OR ","")&amp;'Dashboard Config'!$B$7&amp;"="""&amp;S80&amp;"""","")&amp;IF(T80&lt;&gt;"",IF(COUNTA($E80:$S80)&gt;0," OR ","")&amp;'Dashboard Config'!$B$7&amp;"="""&amp;T80&amp;"""","")&amp;IF(U80&lt;&gt;"",IF(COUNTA($E80:$T80)&gt;0," OR ","")&amp;'Dashboard Config'!$B$7&amp;"="""&amp;U80&amp;"""","")&amp;IF(V80&lt;&gt;"",IF(COUNTA($E80:$U80)&gt;0," OR ","")&amp;'Dashboard Config'!$B$7&amp;"="""&amp;V80&amp;"""","")&amp;IF(W80&lt;&gt;"",IF(COUNTA($E80:$V80)&gt;0," OR ","")&amp;'Dashboard Config'!$B$7&amp;"="""&amp;W80&amp;"""","")&amp;IF(X80&lt;&gt;"",IF(COUNTA($E80:$W80)&gt;0," OR ","")&amp;'Dashboard Config'!$B$7&amp;"="""&amp;X80&amp;"""","")&amp;IF(Y80&lt;&gt;"",IF(COUNTA($E80:$X80)&gt;0," OR ","")&amp;'Dashboard Config'!$B$7&amp;"="""&amp;Y80&amp;"""","")&amp;IF(Z80&lt;&gt;"",IF(COUNTA($E80:$Y80)&gt;0," OR ","")&amp;'Dashboard Config'!$B$7&amp;"="""&amp;Z80&amp;"""","")&amp;IF(AA80&lt;&gt;"",IF(COUNTA($E80:$Z80)&gt;0," OR ","")&amp;'Dashboard Config'!$B$7&amp;"="""&amp;AA80&amp;"""","")&amp;IF(AB80&lt;&gt;"",IF(COUNTA($E80:$AA80)&gt;0," OR ","")&amp;'Dashboard Config'!$B$7&amp;"="""&amp;AB80&amp;"""","")&amp;IF(AC80&lt;&gt;"",IF(COUNTA($E80:$AB80)&gt;0," OR ","")&amp;AC80,"")&amp;")")</x:f>
      </x:c>
      <x:c r="AE80" s="48" t="str">
        <x:f>IF($AD80="","",CHAR(123)&amp;CHAR(34)&amp;"label"&amp;CHAR(34)&amp;":"&amp;CHAR(34)&amp;$C80&amp;CHAR(34)&amp;","&amp;CHAR(34)&amp;"value"&amp;CHAR(34)&amp;":"&amp;CHAR(34)&amp;SUBSTITUTE($AD80,CHAR(34),CHAR(92)&amp;CHAR(34))&amp;CHAR(34)&amp;CHAR(125))</x:f>
      </x:c>
      <x:c r="AF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  <x:c r="AA81" s="42"/>
      <x:c r="AB81" s="42"/>
      <x:c r="AC81" s="42"/>
      <x:c r="AD81" s="48" t="str">
        <x:f>IF(OR($A81&lt;&gt;"Yes",$C81="",COUNTA($E81:$AC81)=0),"","("&amp;IF(E81&lt;&gt;"",'Dashboard Config'!$B$6&amp;"="""&amp;E81&amp;"""","")&amp;IF(F81&lt;&gt;"",IF(COUNTA($E81:$E81)&gt;0," OR ","")&amp;'Dashboard Config'!$B$6&amp;"="""&amp;F81&amp;"""","")&amp;IF(G81&lt;&gt;"",IF(COUNTA($E81:$F81)&gt;0," OR ","")&amp;'Dashboard Config'!$B$6&amp;"="""&amp;G81&amp;"""","")&amp;IF(H81&lt;&gt;"",IF(COUNTA($E81:$G81)&gt;0," OR ","")&amp;'Dashboard Config'!$B$6&amp;"="""&amp;H81&amp;"""","")&amp;IF(I81&lt;&gt;"",IF(COUNTA($E81:$H81)&gt;0," OR ","")&amp;'Dashboard Config'!$B$6&amp;"="""&amp;I81&amp;"""","")&amp;IF(J81&lt;&gt;"",IF(COUNTA($E81:$I81)&gt;0," OR ","")&amp;'Dashboard Config'!$B$6&amp;"="""&amp;J81&amp;"""","")&amp;IF(K81&lt;&gt;"",IF(COUNTA($E81:$J81)&gt;0," OR ","")&amp;'Dashboard Config'!$B$6&amp;"="""&amp;K81&amp;"""","")&amp;IF(L81&lt;&gt;"",IF(COUNTA($E81:$K81)&gt;0," OR ","")&amp;'Dashboard Config'!$B$6&amp;"="""&amp;L81&amp;"""","")&amp;IF(M81&lt;&gt;"",IF(COUNTA($E81:$L81)&gt;0," OR ","")&amp;'Dashboard Config'!$B$7&amp;"="""&amp;M81&amp;"""","")&amp;IF(N81&lt;&gt;"",IF(COUNTA($E81:$M81)&gt;0," OR ","")&amp;'Dashboard Config'!$B$7&amp;"="""&amp;N81&amp;"""","")&amp;IF(O81&lt;&gt;"",IF(COUNTA($E81:$N81)&gt;0," OR ","")&amp;'Dashboard Config'!$B$7&amp;"="""&amp;O81&amp;"""","")&amp;IF(P81&lt;&gt;"",IF(COUNTA($E81:$O81)&gt;0," OR ","")&amp;'Dashboard Config'!$B$7&amp;"="""&amp;P81&amp;"""","")&amp;IF(Q81&lt;&gt;"",IF(COUNTA($E81:$P81)&gt;0," OR ","")&amp;'Dashboard Config'!$B$7&amp;"="""&amp;Q81&amp;"""","")&amp;IF(R81&lt;&gt;"",IF(COUNTA($E81:$Q81)&gt;0," OR ","")&amp;'Dashboard Config'!$B$7&amp;"="""&amp;R81&amp;"""","")&amp;IF(S81&lt;&gt;"",IF(COUNTA($E81:$R81)&gt;0," OR ","")&amp;'Dashboard Config'!$B$7&amp;"="""&amp;S81&amp;"""","")&amp;IF(T81&lt;&gt;"",IF(COUNTA($E81:$S81)&gt;0," OR ","")&amp;'Dashboard Config'!$B$7&amp;"="""&amp;T81&amp;"""","")&amp;IF(U81&lt;&gt;"",IF(COUNTA($E81:$T81)&gt;0," OR ","")&amp;'Dashboard Config'!$B$7&amp;"="""&amp;U81&amp;"""","")&amp;IF(V81&lt;&gt;"",IF(COUNTA($E81:$U81)&gt;0," OR ","")&amp;'Dashboard Config'!$B$7&amp;"="""&amp;V81&amp;"""","")&amp;IF(W81&lt;&gt;"",IF(COUNTA($E81:$V81)&gt;0," OR ","")&amp;'Dashboard Config'!$B$7&amp;"="""&amp;W81&amp;"""","")&amp;IF(X81&lt;&gt;"",IF(COUNTA($E81:$W81)&gt;0," OR ","")&amp;'Dashboard Config'!$B$7&amp;"="""&amp;X81&amp;"""","")&amp;IF(Y81&lt;&gt;"",IF(COUNTA($E81:$X81)&gt;0," OR ","")&amp;'Dashboard Config'!$B$7&amp;"="""&amp;Y81&amp;"""","")&amp;IF(Z81&lt;&gt;"",IF(COUNTA($E81:$Y81)&gt;0," OR ","")&amp;'Dashboard Config'!$B$7&amp;"="""&amp;Z81&amp;"""","")&amp;IF(AA81&lt;&gt;"",IF(COUNTA($E81:$Z81)&gt;0," OR ","")&amp;'Dashboard Config'!$B$7&amp;"="""&amp;AA81&amp;"""","")&amp;IF(AB81&lt;&gt;"",IF(COUNTA($E81:$AA81)&gt;0," OR ","")&amp;'Dashboard Config'!$B$7&amp;"="""&amp;AB81&amp;"""","")&amp;IF(AC81&lt;&gt;"",IF(COUNTA($E81:$AB81)&gt;0," OR ","")&amp;AC81,"")&amp;")")</x:f>
      </x:c>
      <x:c r="AE81" s="48" t="str">
        <x:f>IF($AD81="","",CHAR(123)&amp;CHAR(34)&amp;"label"&amp;CHAR(34)&amp;":"&amp;CHAR(34)&amp;$C81&amp;CHAR(34)&amp;","&amp;CHAR(34)&amp;"value"&amp;CHAR(34)&amp;":"&amp;CHAR(34)&amp;SUBSTITUTE($AD81,CHAR(34),CHAR(92)&amp;CHAR(34))&amp;CHAR(34)&amp;CHAR(125))</x:f>
      </x:c>
      <x:c r="AF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  <x:c r="AA82" s="42"/>
      <x:c r="AB82" s="42"/>
      <x:c r="AC82" s="42"/>
      <x:c r="AD82" s="48" t="str">
        <x:f>IF(OR($A82&lt;&gt;"Yes",$C82="",COUNTA($E82:$AC82)=0),"","("&amp;IF(E82&lt;&gt;"",'Dashboard Config'!$B$6&amp;"="""&amp;E82&amp;"""","")&amp;IF(F82&lt;&gt;"",IF(COUNTA($E82:$E82)&gt;0," OR ","")&amp;'Dashboard Config'!$B$6&amp;"="""&amp;F82&amp;"""","")&amp;IF(G82&lt;&gt;"",IF(COUNTA($E82:$F82)&gt;0," OR ","")&amp;'Dashboard Config'!$B$6&amp;"="""&amp;G82&amp;"""","")&amp;IF(H82&lt;&gt;"",IF(COUNTA($E82:$G82)&gt;0," OR ","")&amp;'Dashboard Config'!$B$6&amp;"="""&amp;H82&amp;"""","")&amp;IF(I82&lt;&gt;"",IF(COUNTA($E82:$H82)&gt;0," OR ","")&amp;'Dashboard Config'!$B$6&amp;"="""&amp;I82&amp;"""","")&amp;IF(J82&lt;&gt;"",IF(COUNTA($E82:$I82)&gt;0," OR ","")&amp;'Dashboard Config'!$B$6&amp;"="""&amp;J82&amp;"""","")&amp;IF(K82&lt;&gt;"",IF(COUNTA($E82:$J82)&gt;0," OR ","")&amp;'Dashboard Config'!$B$6&amp;"="""&amp;K82&amp;"""","")&amp;IF(L82&lt;&gt;"",IF(COUNTA($E82:$K82)&gt;0," OR ","")&amp;'Dashboard Config'!$B$6&amp;"="""&amp;L82&amp;"""","")&amp;IF(M82&lt;&gt;"",IF(COUNTA($E82:$L82)&gt;0," OR ","")&amp;'Dashboard Config'!$B$7&amp;"="""&amp;M82&amp;"""","")&amp;IF(N82&lt;&gt;"",IF(COUNTA($E82:$M82)&gt;0," OR ","")&amp;'Dashboard Config'!$B$7&amp;"="""&amp;N82&amp;"""","")&amp;IF(O82&lt;&gt;"",IF(COUNTA($E82:$N82)&gt;0," OR ","")&amp;'Dashboard Config'!$B$7&amp;"="""&amp;O82&amp;"""","")&amp;IF(P82&lt;&gt;"",IF(COUNTA($E82:$O82)&gt;0," OR ","")&amp;'Dashboard Config'!$B$7&amp;"="""&amp;P82&amp;"""","")&amp;IF(Q82&lt;&gt;"",IF(COUNTA($E82:$P82)&gt;0," OR ","")&amp;'Dashboard Config'!$B$7&amp;"="""&amp;Q82&amp;"""","")&amp;IF(R82&lt;&gt;"",IF(COUNTA($E82:$Q82)&gt;0," OR ","")&amp;'Dashboard Config'!$B$7&amp;"="""&amp;R82&amp;"""","")&amp;IF(S82&lt;&gt;"",IF(COUNTA($E82:$R82)&gt;0," OR ","")&amp;'Dashboard Config'!$B$7&amp;"="""&amp;S82&amp;"""","")&amp;IF(T82&lt;&gt;"",IF(COUNTA($E82:$S82)&gt;0," OR ","")&amp;'Dashboard Config'!$B$7&amp;"="""&amp;T82&amp;"""","")&amp;IF(U82&lt;&gt;"",IF(COUNTA($E82:$T82)&gt;0," OR ","")&amp;'Dashboard Config'!$B$7&amp;"="""&amp;U82&amp;"""","")&amp;IF(V82&lt;&gt;"",IF(COUNTA($E82:$U82)&gt;0," OR ","")&amp;'Dashboard Config'!$B$7&amp;"="""&amp;V82&amp;"""","")&amp;IF(W82&lt;&gt;"",IF(COUNTA($E82:$V82)&gt;0," OR ","")&amp;'Dashboard Config'!$B$7&amp;"="""&amp;W82&amp;"""","")&amp;IF(X82&lt;&gt;"",IF(COUNTA($E82:$W82)&gt;0," OR ","")&amp;'Dashboard Config'!$B$7&amp;"="""&amp;X82&amp;"""","")&amp;IF(Y82&lt;&gt;"",IF(COUNTA($E82:$X82)&gt;0," OR ","")&amp;'Dashboard Config'!$B$7&amp;"="""&amp;Y82&amp;"""","")&amp;IF(Z82&lt;&gt;"",IF(COUNTA($E82:$Y82)&gt;0," OR ","")&amp;'Dashboard Config'!$B$7&amp;"="""&amp;Z82&amp;"""","")&amp;IF(AA82&lt;&gt;"",IF(COUNTA($E82:$Z82)&gt;0," OR ","")&amp;'Dashboard Config'!$B$7&amp;"="""&amp;AA82&amp;"""","")&amp;IF(AB82&lt;&gt;"",IF(COUNTA($E82:$AA82)&gt;0," OR ","")&amp;'Dashboard Config'!$B$7&amp;"="""&amp;AB82&amp;"""","")&amp;IF(AC82&lt;&gt;"",IF(COUNTA($E82:$AB82)&gt;0," OR ","")&amp;AC82,"")&amp;")")</x:f>
      </x:c>
      <x:c r="AE82" s="48" t="str">
        <x:f>IF($AD82="","",CHAR(123)&amp;CHAR(34)&amp;"label"&amp;CHAR(34)&amp;":"&amp;CHAR(34)&amp;$C82&amp;CHAR(34)&amp;","&amp;CHAR(34)&amp;"value"&amp;CHAR(34)&amp;":"&amp;CHAR(34)&amp;SUBSTITUTE($AD82,CHAR(34),CHAR(92)&amp;CHAR(34))&amp;CHAR(34)&amp;CHAR(125))</x:f>
      </x:c>
      <x:c r="AF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  <x:c r="AA83" s="42"/>
      <x:c r="AB83" s="42"/>
      <x:c r="AC83" s="42"/>
      <x:c r="AD83" s="48" t="str">
        <x:f>IF(OR($A83&lt;&gt;"Yes",$C83="",COUNTA($E83:$AC83)=0),"","("&amp;IF(E83&lt;&gt;"",'Dashboard Config'!$B$6&amp;"="""&amp;E83&amp;"""","")&amp;IF(F83&lt;&gt;"",IF(COUNTA($E83:$E83)&gt;0," OR ","")&amp;'Dashboard Config'!$B$6&amp;"="""&amp;F83&amp;"""","")&amp;IF(G83&lt;&gt;"",IF(COUNTA($E83:$F83)&gt;0," OR ","")&amp;'Dashboard Config'!$B$6&amp;"="""&amp;G83&amp;"""","")&amp;IF(H83&lt;&gt;"",IF(COUNTA($E83:$G83)&gt;0," OR ","")&amp;'Dashboard Config'!$B$6&amp;"="""&amp;H83&amp;"""","")&amp;IF(I83&lt;&gt;"",IF(COUNTA($E83:$H83)&gt;0," OR ","")&amp;'Dashboard Config'!$B$6&amp;"="""&amp;I83&amp;"""","")&amp;IF(J83&lt;&gt;"",IF(COUNTA($E83:$I83)&gt;0," OR ","")&amp;'Dashboard Config'!$B$6&amp;"="""&amp;J83&amp;"""","")&amp;IF(K83&lt;&gt;"",IF(COUNTA($E83:$J83)&gt;0," OR ","")&amp;'Dashboard Config'!$B$6&amp;"="""&amp;K83&amp;"""","")&amp;IF(L83&lt;&gt;"",IF(COUNTA($E83:$K83)&gt;0," OR ","")&amp;'Dashboard Config'!$B$6&amp;"="""&amp;L83&amp;"""","")&amp;IF(M83&lt;&gt;"",IF(COUNTA($E83:$L83)&gt;0," OR ","")&amp;'Dashboard Config'!$B$7&amp;"="""&amp;M83&amp;"""","")&amp;IF(N83&lt;&gt;"",IF(COUNTA($E83:$M83)&gt;0," OR ","")&amp;'Dashboard Config'!$B$7&amp;"="""&amp;N83&amp;"""","")&amp;IF(O83&lt;&gt;"",IF(COUNTA($E83:$N83)&gt;0," OR ","")&amp;'Dashboard Config'!$B$7&amp;"="""&amp;O83&amp;"""","")&amp;IF(P83&lt;&gt;"",IF(COUNTA($E83:$O83)&gt;0," OR ","")&amp;'Dashboard Config'!$B$7&amp;"="""&amp;P83&amp;"""","")&amp;IF(Q83&lt;&gt;"",IF(COUNTA($E83:$P83)&gt;0," OR ","")&amp;'Dashboard Config'!$B$7&amp;"="""&amp;Q83&amp;"""","")&amp;IF(R83&lt;&gt;"",IF(COUNTA($E83:$Q83)&gt;0," OR ","")&amp;'Dashboard Config'!$B$7&amp;"="""&amp;R83&amp;"""","")&amp;IF(S83&lt;&gt;"",IF(COUNTA($E83:$R83)&gt;0," OR ","")&amp;'Dashboard Config'!$B$7&amp;"="""&amp;S83&amp;"""","")&amp;IF(T83&lt;&gt;"",IF(COUNTA($E83:$S83)&gt;0," OR ","")&amp;'Dashboard Config'!$B$7&amp;"="""&amp;T83&amp;"""","")&amp;IF(U83&lt;&gt;"",IF(COUNTA($E83:$T83)&gt;0," OR ","")&amp;'Dashboard Config'!$B$7&amp;"="""&amp;U83&amp;"""","")&amp;IF(V83&lt;&gt;"",IF(COUNTA($E83:$U83)&gt;0," OR ","")&amp;'Dashboard Config'!$B$7&amp;"="""&amp;V83&amp;"""","")&amp;IF(W83&lt;&gt;"",IF(COUNTA($E83:$V83)&gt;0," OR ","")&amp;'Dashboard Config'!$B$7&amp;"="""&amp;W83&amp;"""","")&amp;IF(X83&lt;&gt;"",IF(COUNTA($E83:$W83)&gt;0," OR ","")&amp;'Dashboard Config'!$B$7&amp;"="""&amp;X83&amp;"""","")&amp;IF(Y83&lt;&gt;"",IF(COUNTA($E83:$X83)&gt;0," OR ","")&amp;'Dashboard Config'!$B$7&amp;"="""&amp;Y83&amp;"""","")&amp;IF(Z83&lt;&gt;"",IF(COUNTA($E83:$Y83)&gt;0," OR ","")&amp;'Dashboard Config'!$B$7&amp;"="""&amp;Z83&amp;"""","")&amp;IF(AA83&lt;&gt;"",IF(COUNTA($E83:$Z83)&gt;0," OR ","")&amp;'Dashboard Config'!$B$7&amp;"="""&amp;AA83&amp;"""","")&amp;IF(AB83&lt;&gt;"",IF(COUNTA($E83:$AA83)&gt;0," OR ","")&amp;'Dashboard Config'!$B$7&amp;"="""&amp;AB83&amp;"""","")&amp;IF(AC83&lt;&gt;"",IF(COUNTA($E83:$AB83)&gt;0," OR ","")&amp;AC83,"")&amp;")")</x:f>
      </x:c>
      <x:c r="AE83" s="48" t="str">
        <x:f>IF($AD83="","",CHAR(123)&amp;CHAR(34)&amp;"label"&amp;CHAR(34)&amp;":"&amp;CHAR(34)&amp;$C83&amp;CHAR(34)&amp;","&amp;CHAR(34)&amp;"value"&amp;CHAR(34)&amp;":"&amp;CHAR(34)&amp;SUBSTITUTE($AD83,CHAR(34),CHAR(92)&amp;CHAR(34))&amp;CHAR(34)&amp;CHAR(125))</x:f>
      </x:c>
      <x:c r="AF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  <x:c r="AA84" s="42"/>
      <x:c r="AB84" s="42"/>
      <x:c r="AC84" s="42"/>
      <x:c r="AD84" s="48" t="str">
        <x:f>IF(OR($A84&lt;&gt;"Yes",$C84="",COUNTA($E84:$AC84)=0),"","("&amp;IF(E84&lt;&gt;"",'Dashboard Config'!$B$6&amp;"="""&amp;E84&amp;"""","")&amp;IF(F84&lt;&gt;"",IF(COUNTA($E84:$E84)&gt;0," OR ","")&amp;'Dashboard Config'!$B$6&amp;"="""&amp;F84&amp;"""","")&amp;IF(G84&lt;&gt;"",IF(COUNTA($E84:$F84)&gt;0," OR ","")&amp;'Dashboard Config'!$B$6&amp;"="""&amp;G84&amp;"""","")&amp;IF(H84&lt;&gt;"",IF(COUNTA($E84:$G84)&gt;0," OR ","")&amp;'Dashboard Config'!$B$6&amp;"="""&amp;H84&amp;"""","")&amp;IF(I84&lt;&gt;"",IF(COUNTA($E84:$H84)&gt;0," OR ","")&amp;'Dashboard Config'!$B$6&amp;"="""&amp;I84&amp;"""","")&amp;IF(J84&lt;&gt;"",IF(COUNTA($E84:$I84)&gt;0," OR ","")&amp;'Dashboard Config'!$B$6&amp;"="""&amp;J84&amp;"""","")&amp;IF(K84&lt;&gt;"",IF(COUNTA($E84:$J84)&gt;0," OR ","")&amp;'Dashboard Config'!$B$6&amp;"="""&amp;K84&amp;"""","")&amp;IF(L84&lt;&gt;"",IF(COUNTA($E84:$K84)&gt;0," OR ","")&amp;'Dashboard Config'!$B$6&amp;"="""&amp;L84&amp;"""","")&amp;IF(M84&lt;&gt;"",IF(COUNTA($E84:$L84)&gt;0," OR ","")&amp;'Dashboard Config'!$B$7&amp;"="""&amp;M84&amp;"""","")&amp;IF(N84&lt;&gt;"",IF(COUNTA($E84:$M84)&gt;0," OR ","")&amp;'Dashboard Config'!$B$7&amp;"="""&amp;N84&amp;"""","")&amp;IF(O84&lt;&gt;"",IF(COUNTA($E84:$N84)&gt;0," OR ","")&amp;'Dashboard Config'!$B$7&amp;"="""&amp;O84&amp;"""","")&amp;IF(P84&lt;&gt;"",IF(COUNTA($E84:$O84)&gt;0," OR ","")&amp;'Dashboard Config'!$B$7&amp;"="""&amp;P84&amp;"""","")&amp;IF(Q84&lt;&gt;"",IF(COUNTA($E84:$P84)&gt;0," OR ","")&amp;'Dashboard Config'!$B$7&amp;"="""&amp;Q84&amp;"""","")&amp;IF(R84&lt;&gt;"",IF(COUNTA($E84:$Q84)&gt;0," OR ","")&amp;'Dashboard Config'!$B$7&amp;"="""&amp;R84&amp;"""","")&amp;IF(S84&lt;&gt;"",IF(COUNTA($E84:$R84)&gt;0," OR ","")&amp;'Dashboard Config'!$B$7&amp;"="""&amp;S84&amp;"""","")&amp;IF(T84&lt;&gt;"",IF(COUNTA($E84:$S84)&gt;0," OR ","")&amp;'Dashboard Config'!$B$7&amp;"="""&amp;T84&amp;"""","")&amp;IF(U84&lt;&gt;"",IF(COUNTA($E84:$T84)&gt;0," OR ","")&amp;'Dashboard Config'!$B$7&amp;"="""&amp;U84&amp;"""","")&amp;IF(V84&lt;&gt;"",IF(COUNTA($E84:$U84)&gt;0," OR ","")&amp;'Dashboard Config'!$B$7&amp;"="""&amp;V84&amp;"""","")&amp;IF(W84&lt;&gt;"",IF(COUNTA($E84:$V84)&gt;0," OR ","")&amp;'Dashboard Config'!$B$7&amp;"="""&amp;W84&amp;"""","")&amp;IF(X84&lt;&gt;"",IF(COUNTA($E84:$W84)&gt;0," OR ","")&amp;'Dashboard Config'!$B$7&amp;"="""&amp;X84&amp;"""","")&amp;IF(Y84&lt;&gt;"",IF(COUNTA($E84:$X84)&gt;0," OR ","")&amp;'Dashboard Config'!$B$7&amp;"="""&amp;Y84&amp;"""","")&amp;IF(Z84&lt;&gt;"",IF(COUNTA($E84:$Y84)&gt;0," OR ","")&amp;'Dashboard Config'!$B$7&amp;"="""&amp;Z84&amp;"""","")&amp;IF(AA84&lt;&gt;"",IF(COUNTA($E84:$Z84)&gt;0," OR ","")&amp;'Dashboard Config'!$B$7&amp;"="""&amp;AA84&amp;"""","")&amp;IF(AB84&lt;&gt;"",IF(COUNTA($E84:$AA84)&gt;0," OR ","")&amp;'Dashboard Config'!$B$7&amp;"="""&amp;AB84&amp;"""","")&amp;IF(AC84&lt;&gt;"",IF(COUNTA($E84:$AB84)&gt;0," OR ","")&amp;AC84,"")&amp;")")</x:f>
      </x:c>
      <x:c r="AE84" s="48" t="str">
        <x:f>IF($AD84="","",CHAR(123)&amp;CHAR(34)&amp;"label"&amp;CHAR(34)&amp;":"&amp;CHAR(34)&amp;$C84&amp;CHAR(34)&amp;","&amp;CHAR(34)&amp;"value"&amp;CHAR(34)&amp;":"&amp;CHAR(34)&amp;SUBSTITUTE($AD84,CHAR(34),CHAR(92)&amp;CHAR(34))&amp;CHAR(34)&amp;CHAR(125))</x:f>
      </x:c>
      <x:c r="AF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  <x:c r="AA85" s="42"/>
      <x:c r="AB85" s="42"/>
      <x:c r="AC85" s="42"/>
      <x:c r="AD85" s="48" t="str">
        <x:f>IF(OR($A85&lt;&gt;"Yes",$C85="",COUNTA($E85:$AC85)=0),"","("&amp;IF(E85&lt;&gt;"",'Dashboard Config'!$B$6&amp;"="""&amp;E85&amp;"""","")&amp;IF(F85&lt;&gt;"",IF(COUNTA($E85:$E85)&gt;0," OR ","")&amp;'Dashboard Config'!$B$6&amp;"="""&amp;F85&amp;"""","")&amp;IF(G85&lt;&gt;"",IF(COUNTA($E85:$F85)&gt;0," OR ","")&amp;'Dashboard Config'!$B$6&amp;"="""&amp;G85&amp;"""","")&amp;IF(H85&lt;&gt;"",IF(COUNTA($E85:$G85)&gt;0," OR ","")&amp;'Dashboard Config'!$B$6&amp;"="""&amp;H85&amp;"""","")&amp;IF(I85&lt;&gt;"",IF(COUNTA($E85:$H85)&gt;0," OR ","")&amp;'Dashboard Config'!$B$6&amp;"="""&amp;I85&amp;"""","")&amp;IF(J85&lt;&gt;"",IF(COUNTA($E85:$I85)&gt;0," OR ","")&amp;'Dashboard Config'!$B$6&amp;"="""&amp;J85&amp;"""","")&amp;IF(K85&lt;&gt;"",IF(COUNTA($E85:$J85)&gt;0," OR ","")&amp;'Dashboard Config'!$B$6&amp;"="""&amp;K85&amp;"""","")&amp;IF(L85&lt;&gt;"",IF(COUNTA($E85:$K85)&gt;0," OR ","")&amp;'Dashboard Config'!$B$6&amp;"="""&amp;L85&amp;"""","")&amp;IF(M85&lt;&gt;"",IF(COUNTA($E85:$L85)&gt;0," OR ","")&amp;'Dashboard Config'!$B$7&amp;"="""&amp;M85&amp;"""","")&amp;IF(N85&lt;&gt;"",IF(COUNTA($E85:$M85)&gt;0," OR ","")&amp;'Dashboard Config'!$B$7&amp;"="""&amp;N85&amp;"""","")&amp;IF(O85&lt;&gt;"",IF(COUNTA($E85:$N85)&gt;0," OR ","")&amp;'Dashboard Config'!$B$7&amp;"="""&amp;O85&amp;"""","")&amp;IF(P85&lt;&gt;"",IF(COUNTA($E85:$O85)&gt;0," OR ","")&amp;'Dashboard Config'!$B$7&amp;"="""&amp;P85&amp;"""","")&amp;IF(Q85&lt;&gt;"",IF(COUNTA($E85:$P85)&gt;0," OR ","")&amp;'Dashboard Config'!$B$7&amp;"="""&amp;Q85&amp;"""","")&amp;IF(R85&lt;&gt;"",IF(COUNTA($E85:$Q85)&gt;0," OR ","")&amp;'Dashboard Config'!$B$7&amp;"="""&amp;R85&amp;"""","")&amp;IF(S85&lt;&gt;"",IF(COUNTA($E85:$R85)&gt;0," OR ","")&amp;'Dashboard Config'!$B$7&amp;"="""&amp;S85&amp;"""","")&amp;IF(T85&lt;&gt;"",IF(COUNTA($E85:$S85)&gt;0," OR ","")&amp;'Dashboard Config'!$B$7&amp;"="""&amp;T85&amp;"""","")&amp;IF(U85&lt;&gt;"",IF(COUNTA($E85:$T85)&gt;0," OR ","")&amp;'Dashboard Config'!$B$7&amp;"="""&amp;U85&amp;"""","")&amp;IF(V85&lt;&gt;"",IF(COUNTA($E85:$U85)&gt;0," OR ","")&amp;'Dashboard Config'!$B$7&amp;"="""&amp;V85&amp;"""","")&amp;IF(W85&lt;&gt;"",IF(COUNTA($E85:$V85)&gt;0," OR ","")&amp;'Dashboard Config'!$B$7&amp;"="""&amp;W85&amp;"""","")&amp;IF(X85&lt;&gt;"",IF(COUNTA($E85:$W85)&gt;0," OR ","")&amp;'Dashboard Config'!$B$7&amp;"="""&amp;X85&amp;"""","")&amp;IF(Y85&lt;&gt;"",IF(COUNTA($E85:$X85)&gt;0," OR ","")&amp;'Dashboard Config'!$B$7&amp;"="""&amp;Y85&amp;"""","")&amp;IF(Z85&lt;&gt;"",IF(COUNTA($E85:$Y85)&gt;0," OR ","")&amp;'Dashboard Config'!$B$7&amp;"="""&amp;Z85&amp;"""","")&amp;IF(AA85&lt;&gt;"",IF(COUNTA($E85:$Z85)&gt;0," OR ","")&amp;'Dashboard Config'!$B$7&amp;"="""&amp;AA85&amp;"""","")&amp;IF(AB85&lt;&gt;"",IF(COUNTA($E85:$AA85)&gt;0," OR ","")&amp;'Dashboard Config'!$B$7&amp;"="""&amp;AB85&amp;"""","")&amp;IF(AC85&lt;&gt;"",IF(COUNTA($E85:$AB85)&gt;0," OR ","")&amp;AC85,"")&amp;")")</x:f>
      </x:c>
      <x:c r="AE85" s="48" t="str">
        <x:f>IF($AD85="","",CHAR(123)&amp;CHAR(34)&amp;"label"&amp;CHAR(34)&amp;":"&amp;CHAR(34)&amp;$C85&amp;CHAR(34)&amp;","&amp;CHAR(34)&amp;"value"&amp;CHAR(34)&amp;":"&amp;CHAR(34)&amp;SUBSTITUTE($AD85,CHAR(34),CHAR(92)&amp;CHAR(34))&amp;CHAR(34)&amp;CHAR(125))</x:f>
      </x:c>
      <x:c r="AF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  <x:c r="AA86" s="42"/>
      <x:c r="AB86" s="42"/>
      <x:c r="AC86" s="42"/>
      <x:c r="AD86" s="48" t="str">
        <x:f>IF(OR($A86&lt;&gt;"Yes",$C86="",COUNTA($E86:$AC86)=0),"","("&amp;IF(E86&lt;&gt;"",'Dashboard Config'!$B$6&amp;"="""&amp;E86&amp;"""","")&amp;IF(F86&lt;&gt;"",IF(COUNTA($E86:$E86)&gt;0," OR ","")&amp;'Dashboard Config'!$B$6&amp;"="""&amp;F86&amp;"""","")&amp;IF(G86&lt;&gt;"",IF(COUNTA($E86:$F86)&gt;0," OR ","")&amp;'Dashboard Config'!$B$6&amp;"="""&amp;G86&amp;"""","")&amp;IF(H86&lt;&gt;"",IF(COUNTA($E86:$G86)&gt;0," OR ","")&amp;'Dashboard Config'!$B$6&amp;"="""&amp;H86&amp;"""","")&amp;IF(I86&lt;&gt;"",IF(COUNTA($E86:$H86)&gt;0," OR ","")&amp;'Dashboard Config'!$B$6&amp;"="""&amp;I86&amp;"""","")&amp;IF(J86&lt;&gt;"",IF(COUNTA($E86:$I86)&gt;0," OR ","")&amp;'Dashboard Config'!$B$6&amp;"="""&amp;J86&amp;"""","")&amp;IF(K86&lt;&gt;"",IF(COUNTA($E86:$J86)&gt;0," OR ","")&amp;'Dashboard Config'!$B$6&amp;"="""&amp;K86&amp;"""","")&amp;IF(L86&lt;&gt;"",IF(COUNTA($E86:$K86)&gt;0," OR ","")&amp;'Dashboard Config'!$B$6&amp;"="""&amp;L86&amp;"""","")&amp;IF(M86&lt;&gt;"",IF(COUNTA($E86:$L86)&gt;0," OR ","")&amp;'Dashboard Config'!$B$7&amp;"="""&amp;M86&amp;"""","")&amp;IF(N86&lt;&gt;"",IF(COUNTA($E86:$M86)&gt;0," OR ","")&amp;'Dashboard Config'!$B$7&amp;"="""&amp;N86&amp;"""","")&amp;IF(O86&lt;&gt;"",IF(COUNTA($E86:$N86)&gt;0," OR ","")&amp;'Dashboard Config'!$B$7&amp;"="""&amp;O86&amp;"""","")&amp;IF(P86&lt;&gt;"",IF(COUNTA($E86:$O86)&gt;0," OR ","")&amp;'Dashboard Config'!$B$7&amp;"="""&amp;P86&amp;"""","")&amp;IF(Q86&lt;&gt;"",IF(COUNTA($E86:$P86)&gt;0," OR ","")&amp;'Dashboard Config'!$B$7&amp;"="""&amp;Q86&amp;"""","")&amp;IF(R86&lt;&gt;"",IF(COUNTA($E86:$Q86)&gt;0," OR ","")&amp;'Dashboard Config'!$B$7&amp;"="""&amp;R86&amp;"""","")&amp;IF(S86&lt;&gt;"",IF(COUNTA($E86:$R86)&gt;0," OR ","")&amp;'Dashboard Config'!$B$7&amp;"="""&amp;S86&amp;"""","")&amp;IF(T86&lt;&gt;"",IF(COUNTA($E86:$S86)&gt;0," OR ","")&amp;'Dashboard Config'!$B$7&amp;"="""&amp;T86&amp;"""","")&amp;IF(U86&lt;&gt;"",IF(COUNTA($E86:$T86)&gt;0," OR ","")&amp;'Dashboard Config'!$B$7&amp;"="""&amp;U86&amp;"""","")&amp;IF(V86&lt;&gt;"",IF(COUNTA($E86:$U86)&gt;0," OR ","")&amp;'Dashboard Config'!$B$7&amp;"="""&amp;V86&amp;"""","")&amp;IF(W86&lt;&gt;"",IF(COUNTA($E86:$V86)&gt;0," OR ","")&amp;'Dashboard Config'!$B$7&amp;"="""&amp;W86&amp;"""","")&amp;IF(X86&lt;&gt;"",IF(COUNTA($E86:$W86)&gt;0," OR ","")&amp;'Dashboard Config'!$B$7&amp;"="""&amp;X86&amp;"""","")&amp;IF(Y86&lt;&gt;"",IF(COUNTA($E86:$X86)&gt;0," OR ","")&amp;'Dashboard Config'!$B$7&amp;"="""&amp;Y86&amp;"""","")&amp;IF(Z86&lt;&gt;"",IF(COUNTA($E86:$Y86)&gt;0," OR ","")&amp;'Dashboard Config'!$B$7&amp;"="""&amp;Z86&amp;"""","")&amp;IF(AA86&lt;&gt;"",IF(COUNTA($E86:$Z86)&gt;0," OR ","")&amp;'Dashboard Config'!$B$7&amp;"="""&amp;AA86&amp;"""","")&amp;IF(AB86&lt;&gt;"",IF(COUNTA($E86:$AA86)&gt;0," OR ","")&amp;'Dashboard Config'!$B$7&amp;"="""&amp;AB86&amp;"""","")&amp;IF(AC86&lt;&gt;"",IF(COUNTA($E86:$AB86)&gt;0," OR ","")&amp;AC86,"")&amp;")")</x:f>
      </x:c>
      <x:c r="AE86" s="48" t="str">
        <x:f>IF($AD86="","",CHAR(123)&amp;CHAR(34)&amp;"label"&amp;CHAR(34)&amp;":"&amp;CHAR(34)&amp;$C86&amp;CHAR(34)&amp;","&amp;CHAR(34)&amp;"value"&amp;CHAR(34)&amp;":"&amp;CHAR(34)&amp;SUBSTITUTE($AD86,CHAR(34),CHAR(92)&amp;CHAR(34))&amp;CHAR(34)&amp;CHAR(125))</x:f>
      </x:c>
      <x:c r="AF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  <x:c r="AA87" s="42"/>
      <x:c r="AB87" s="42"/>
      <x:c r="AC87" s="42"/>
      <x:c r="AD87" s="48" t="str">
        <x:f>IF(OR($A87&lt;&gt;"Yes",$C87="",COUNTA($E87:$AC87)=0),"","("&amp;IF(E87&lt;&gt;"",'Dashboard Config'!$B$6&amp;"="""&amp;E87&amp;"""","")&amp;IF(F87&lt;&gt;"",IF(COUNTA($E87:$E87)&gt;0," OR ","")&amp;'Dashboard Config'!$B$6&amp;"="""&amp;F87&amp;"""","")&amp;IF(G87&lt;&gt;"",IF(COUNTA($E87:$F87)&gt;0," OR ","")&amp;'Dashboard Config'!$B$6&amp;"="""&amp;G87&amp;"""","")&amp;IF(H87&lt;&gt;"",IF(COUNTA($E87:$G87)&gt;0," OR ","")&amp;'Dashboard Config'!$B$6&amp;"="""&amp;H87&amp;"""","")&amp;IF(I87&lt;&gt;"",IF(COUNTA($E87:$H87)&gt;0," OR ","")&amp;'Dashboard Config'!$B$6&amp;"="""&amp;I87&amp;"""","")&amp;IF(J87&lt;&gt;"",IF(COUNTA($E87:$I87)&gt;0," OR ","")&amp;'Dashboard Config'!$B$6&amp;"="""&amp;J87&amp;"""","")&amp;IF(K87&lt;&gt;"",IF(COUNTA($E87:$J87)&gt;0," OR ","")&amp;'Dashboard Config'!$B$6&amp;"="""&amp;K87&amp;"""","")&amp;IF(L87&lt;&gt;"",IF(COUNTA($E87:$K87)&gt;0," OR ","")&amp;'Dashboard Config'!$B$6&amp;"="""&amp;L87&amp;"""","")&amp;IF(M87&lt;&gt;"",IF(COUNTA($E87:$L87)&gt;0," OR ","")&amp;'Dashboard Config'!$B$7&amp;"="""&amp;M87&amp;"""","")&amp;IF(N87&lt;&gt;"",IF(COUNTA($E87:$M87)&gt;0," OR ","")&amp;'Dashboard Config'!$B$7&amp;"="""&amp;N87&amp;"""","")&amp;IF(O87&lt;&gt;"",IF(COUNTA($E87:$N87)&gt;0," OR ","")&amp;'Dashboard Config'!$B$7&amp;"="""&amp;O87&amp;"""","")&amp;IF(P87&lt;&gt;"",IF(COUNTA($E87:$O87)&gt;0," OR ","")&amp;'Dashboard Config'!$B$7&amp;"="""&amp;P87&amp;"""","")&amp;IF(Q87&lt;&gt;"",IF(COUNTA($E87:$P87)&gt;0," OR ","")&amp;'Dashboard Config'!$B$7&amp;"="""&amp;Q87&amp;"""","")&amp;IF(R87&lt;&gt;"",IF(COUNTA($E87:$Q87)&gt;0," OR ","")&amp;'Dashboard Config'!$B$7&amp;"="""&amp;R87&amp;"""","")&amp;IF(S87&lt;&gt;"",IF(COUNTA($E87:$R87)&gt;0," OR ","")&amp;'Dashboard Config'!$B$7&amp;"="""&amp;S87&amp;"""","")&amp;IF(T87&lt;&gt;"",IF(COUNTA($E87:$S87)&gt;0," OR ","")&amp;'Dashboard Config'!$B$7&amp;"="""&amp;T87&amp;"""","")&amp;IF(U87&lt;&gt;"",IF(COUNTA($E87:$T87)&gt;0," OR ","")&amp;'Dashboard Config'!$B$7&amp;"="""&amp;U87&amp;"""","")&amp;IF(V87&lt;&gt;"",IF(COUNTA($E87:$U87)&gt;0," OR ","")&amp;'Dashboard Config'!$B$7&amp;"="""&amp;V87&amp;"""","")&amp;IF(W87&lt;&gt;"",IF(COUNTA($E87:$V87)&gt;0," OR ","")&amp;'Dashboard Config'!$B$7&amp;"="""&amp;W87&amp;"""","")&amp;IF(X87&lt;&gt;"",IF(COUNTA($E87:$W87)&gt;0," OR ","")&amp;'Dashboard Config'!$B$7&amp;"="""&amp;X87&amp;"""","")&amp;IF(Y87&lt;&gt;"",IF(COUNTA($E87:$X87)&gt;0," OR ","")&amp;'Dashboard Config'!$B$7&amp;"="""&amp;Y87&amp;"""","")&amp;IF(Z87&lt;&gt;"",IF(COUNTA($E87:$Y87)&gt;0," OR ","")&amp;'Dashboard Config'!$B$7&amp;"="""&amp;Z87&amp;"""","")&amp;IF(AA87&lt;&gt;"",IF(COUNTA($E87:$Z87)&gt;0," OR ","")&amp;'Dashboard Config'!$B$7&amp;"="""&amp;AA87&amp;"""","")&amp;IF(AB87&lt;&gt;"",IF(COUNTA($E87:$AA87)&gt;0," OR ","")&amp;'Dashboard Config'!$B$7&amp;"="""&amp;AB87&amp;"""","")&amp;IF(AC87&lt;&gt;"",IF(COUNTA($E87:$AB87)&gt;0," OR ","")&amp;AC87,"")&amp;")")</x:f>
      </x:c>
      <x:c r="AE87" s="48" t="str">
        <x:f>IF($AD87="","",CHAR(123)&amp;CHAR(34)&amp;"label"&amp;CHAR(34)&amp;":"&amp;CHAR(34)&amp;$C87&amp;CHAR(34)&amp;","&amp;CHAR(34)&amp;"value"&amp;CHAR(34)&amp;":"&amp;CHAR(34)&amp;SUBSTITUTE($AD87,CHAR(34),CHAR(92)&amp;CHAR(34))&amp;CHAR(34)&amp;CHAR(125))</x:f>
      </x:c>
      <x:c r="AF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  <x:c r="AA88" s="42"/>
      <x:c r="AB88" s="42"/>
      <x:c r="AC88" s="42"/>
      <x:c r="AD88" s="48" t="str">
        <x:f>IF(OR($A88&lt;&gt;"Yes",$C88="",COUNTA($E88:$AC88)=0),"","("&amp;IF(E88&lt;&gt;"",'Dashboard Config'!$B$6&amp;"="""&amp;E88&amp;"""","")&amp;IF(F88&lt;&gt;"",IF(COUNTA($E88:$E88)&gt;0," OR ","")&amp;'Dashboard Config'!$B$6&amp;"="""&amp;F88&amp;"""","")&amp;IF(G88&lt;&gt;"",IF(COUNTA($E88:$F88)&gt;0," OR ","")&amp;'Dashboard Config'!$B$6&amp;"="""&amp;G88&amp;"""","")&amp;IF(H88&lt;&gt;"",IF(COUNTA($E88:$G88)&gt;0," OR ","")&amp;'Dashboard Config'!$B$6&amp;"="""&amp;H88&amp;"""","")&amp;IF(I88&lt;&gt;"",IF(COUNTA($E88:$H88)&gt;0," OR ","")&amp;'Dashboard Config'!$B$6&amp;"="""&amp;I88&amp;"""","")&amp;IF(J88&lt;&gt;"",IF(COUNTA($E88:$I88)&gt;0," OR ","")&amp;'Dashboard Config'!$B$6&amp;"="""&amp;J88&amp;"""","")&amp;IF(K88&lt;&gt;"",IF(COUNTA($E88:$J88)&gt;0," OR ","")&amp;'Dashboard Config'!$B$6&amp;"="""&amp;K88&amp;"""","")&amp;IF(L88&lt;&gt;"",IF(COUNTA($E88:$K88)&gt;0," OR ","")&amp;'Dashboard Config'!$B$6&amp;"="""&amp;L88&amp;"""","")&amp;IF(M88&lt;&gt;"",IF(COUNTA($E88:$L88)&gt;0," OR ","")&amp;'Dashboard Config'!$B$7&amp;"="""&amp;M88&amp;"""","")&amp;IF(N88&lt;&gt;"",IF(COUNTA($E88:$M88)&gt;0," OR ","")&amp;'Dashboard Config'!$B$7&amp;"="""&amp;N88&amp;"""","")&amp;IF(O88&lt;&gt;"",IF(COUNTA($E88:$N88)&gt;0," OR ","")&amp;'Dashboard Config'!$B$7&amp;"="""&amp;O88&amp;"""","")&amp;IF(P88&lt;&gt;"",IF(COUNTA($E88:$O88)&gt;0," OR ","")&amp;'Dashboard Config'!$B$7&amp;"="""&amp;P88&amp;"""","")&amp;IF(Q88&lt;&gt;"",IF(COUNTA($E88:$P88)&gt;0," OR ","")&amp;'Dashboard Config'!$B$7&amp;"="""&amp;Q88&amp;"""","")&amp;IF(R88&lt;&gt;"",IF(COUNTA($E88:$Q88)&gt;0," OR ","")&amp;'Dashboard Config'!$B$7&amp;"="""&amp;R88&amp;"""","")&amp;IF(S88&lt;&gt;"",IF(COUNTA($E88:$R88)&gt;0," OR ","")&amp;'Dashboard Config'!$B$7&amp;"="""&amp;S88&amp;"""","")&amp;IF(T88&lt;&gt;"",IF(COUNTA($E88:$S88)&gt;0," OR ","")&amp;'Dashboard Config'!$B$7&amp;"="""&amp;T88&amp;"""","")&amp;IF(U88&lt;&gt;"",IF(COUNTA($E88:$T88)&gt;0," OR ","")&amp;'Dashboard Config'!$B$7&amp;"="""&amp;U88&amp;"""","")&amp;IF(V88&lt;&gt;"",IF(COUNTA($E88:$U88)&gt;0," OR ","")&amp;'Dashboard Config'!$B$7&amp;"="""&amp;V88&amp;"""","")&amp;IF(W88&lt;&gt;"",IF(COUNTA($E88:$V88)&gt;0," OR ","")&amp;'Dashboard Config'!$B$7&amp;"="""&amp;W88&amp;"""","")&amp;IF(X88&lt;&gt;"",IF(COUNTA($E88:$W88)&gt;0," OR ","")&amp;'Dashboard Config'!$B$7&amp;"="""&amp;X88&amp;"""","")&amp;IF(Y88&lt;&gt;"",IF(COUNTA($E88:$X88)&gt;0," OR ","")&amp;'Dashboard Config'!$B$7&amp;"="""&amp;Y88&amp;"""","")&amp;IF(Z88&lt;&gt;"",IF(COUNTA($E88:$Y88)&gt;0," OR ","")&amp;'Dashboard Config'!$B$7&amp;"="""&amp;Z88&amp;"""","")&amp;IF(AA88&lt;&gt;"",IF(COUNTA($E88:$Z88)&gt;0," OR ","")&amp;'Dashboard Config'!$B$7&amp;"="""&amp;AA88&amp;"""","")&amp;IF(AB88&lt;&gt;"",IF(COUNTA($E88:$AA88)&gt;0," OR ","")&amp;'Dashboard Config'!$B$7&amp;"="""&amp;AB88&amp;"""","")&amp;IF(AC88&lt;&gt;"",IF(COUNTA($E88:$AB88)&gt;0," OR ","")&amp;AC88,"")&amp;")")</x:f>
      </x:c>
      <x:c r="AE88" s="48" t="str">
        <x:f>IF($AD88="","",CHAR(123)&amp;CHAR(34)&amp;"label"&amp;CHAR(34)&amp;":"&amp;CHAR(34)&amp;$C88&amp;CHAR(34)&amp;","&amp;CHAR(34)&amp;"value"&amp;CHAR(34)&amp;":"&amp;CHAR(34)&amp;SUBSTITUTE($AD88,CHAR(34),CHAR(92)&amp;CHAR(34))&amp;CHAR(34)&amp;CHAR(125))</x:f>
      </x:c>
      <x:c r="AF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  <x:c r="AA89" s="42"/>
      <x:c r="AB89" s="42"/>
      <x:c r="AC89" s="42"/>
      <x:c r="AD89" s="48" t="str">
        <x:f>IF(OR($A89&lt;&gt;"Yes",$C89="",COUNTA($E89:$AC89)=0),"","("&amp;IF(E89&lt;&gt;"",'Dashboard Config'!$B$6&amp;"="""&amp;E89&amp;"""","")&amp;IF(F89&lt;&gt;"",IF(COUNTA($E89:$E89)&gt;0," OR ","")&amp;'Dashboard Config'!$B$6&amp;"="""&amp;F89&amp;"""","")&amp;IF(G89&lt;&gt;"",IF(COUNTA($E89:$F89)&gt;0," OR ","")&amp;'Dashboard Config'!$B$6&amp;"="""&amp;G89&amp;"""","")&amp;IF(H89&lt;&gt;"",IF(COUNTA($E89:$G89)&gt;0," OR ","")&amp;'Dashboard Config'!$B$6&amp;"="""&amp;H89&amp;"""","")&amp;IF(I89&lt;&gt;"",IF(COUNTA($E89:$H89)&gt;0," OR ","")&amp;'Dashboard Config'!$B$6&amp;"="""&amp;I89&amp;"""","")&amp;IF(J89&lt;&gt;"",IF(COUNTA($E89:$I89)&gt;0," OR ","")&amp;'Dashboard Config'!$B$6&amp;"="""&amp;J89&amp;"""","")&amp;IF(K89&lt;&gt;"",IF(COUNTA($E89:$J89)&gt;0," OR ","")&amp;'Dashboard Config'!$B$6&amp;"="""&amp;K89&amp;"""","")&amp;IF(L89&lt;&gt;"",IF(COUNTA($E89:$K89)&gt;0," OR ","")&amp;'Dashboard Config'!$B$6&amp;"="""&amp;L89&amp;"""","")&amp;IF(M89&lt;&gt;"",IF(COUNTA($E89:$L89)&gt;0," OR ","")&amp;'Dashboard Config'!$B$7&amp;"="""&amp;M89&amp;"""","")&amp;IF(N89&lt;&gt;"",IF(COUNTA($E89:$M89)&gt;0," OR ","")&amp;'Dashboard Config'!$B$7&amp;"="""&amp;N89&amp;"""","")&amp;IF(O89&lt;&gt;"",IF(COUNTA($E89:$N89)&gt;0," OR ","")&amp;'Dashboard Config'!$B$7&amp;"="""&amp;O89&amp;"""","")&amp;IF(P89&lt;&gt;"",IF(COUNTA($E89:$O89)&gt;0," OR ","")&amp;'Dashboard Config'!$B$7&amp;"="""&amp;P89&amp;"""","")&amp;IF(Q89&lt;&gt;"",IF(COUNTA($E89:$P89)&gt;0," OR ","")&amp;'Dashboard Config'!$B$7&amp;"="""&amp;Q89&amp;"""","")&amp;IF(R89&lt;&gt;"",IF(COUNTA($E89:$Q89)&gt;0," OR ","")&amp;'Dashboard Config'!$B$7&amp;"="""&amp;R89&amp;"""","")&amp;IF(S89&lt;&gt;"",IF(COUNTA($E89:$R89)&gt;0," OR ","")&amp;'Dashboard Config'!$B$7&amp;"="""&amp;S89&amp;"""","")&amp;IF(T89&lt;&gt;"",IF(COUNTA($E89:$S89)&gt;0," OR ","")&amp;'Dashboard Config'!$B$7&amp;"="""&amp;T89&amp;"""","")&amp;IF(U89&lt;&gt;"",IF(COUNTA($E89:$T89)&gt;0," OR ","")&amp;'Dashboard Config'!$B$7&amp;"="""&amp;U89&amp;"""","")&amp;IF(V89&lt;&gt;"",IF(COUNTA($E89:$U89)&gt;0," OR ","")&amp;'Dashboard Config'!$B$7&amp;"="""&amp;V89&amp;"""","")&amp;IF(W89&lt;&gt;"",IF(COUNTA($E89:$V89)&gt;0," OR ","")&amp;'Dashboard Config'!$B$7&amp;"="""&amp;W89&amp;"""","")&amp;IF(X89&lt;&gt;"",IF(COUNTA($E89:$W89)&gt;0," OR ","")&amp;'Dashboard Config'!$B$7&amp;"="""&amp;X89&amp;"""","")&amp;IF(Y89&lt;&gt;"",IF(COUNTA($E89:$X89)&gt;0," OR ","")&amp;'Dashboard Config'!$B$7&amp;"="""&amp;Y89&amp;"""","")&amp;IF(Z89&lt;&gt;"",IF(COUNTA($E89:$Y89)&gt;0," OR ","")&amp;'Dashboard Config'!$B$7&amp;"="""&amp;Z89&amp;"""","")&amp;IF(AA89&lt;&gt;"",IF(COUNTA($E89:$Z89)&gt;0," OR ","")&amp;'Dashboard Config'!$B$7&amp;"="""&amp;AA89&amp;"""","")&amp;IF(AB89&lt;&gt;"",IF(COUNTA($E89:$AA89)&gt;0," OR ","")&amp;'Dashboard Config'!$B$7&amp;"="""&amp;AB89&amp;"""","")&amp;IF(AC89&lt;&gt;"",IF(COUNTA($E89:$AB89)&gt;0," OR ","")&amp;AC89,"")&amp;")")</x:f>
      </x:c>
      <x:c r="AE89" s="48" t="str">
        <x:f>IF($AD89="","",CHAR(123)&amp;CHAR(34)&amp;"label"&amp;CHAR(34)&amp;":"&amp;CHAR(34)&amp;$C89&amp;CHAR(34)&amp;","&amp;CHAR(34)&amp;"value"&amp;CHAR(34)&amp;":"&amp;CHAR(34)&amp;SUBSTITUTE($AD89,CHAR(34),CHAR(92)&amp;CHAR(34))&amp;CHAR(34)&amp;CHAR(125))</x:f>
      </x:c>
      <x:c r="AF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  <x:c r="AA90" s="42"/>
      <x:c r="AB90" s="42"/>
      <x:c r="AC90" s="42"/>
      <x:c r="AD90" s="48" t="str">
        <x:f>IF(OR($A90&lt;&gt;"Yes",$C90="",COUNTA($E90:$AC90)=0),"","("&amp;IF(E90&lt;&gt;"",'Dashboard Config'!$B$6&amp;"="""&amp;E90&amp;"""","")&amp;IF(F90&lt;&gt;"",IF(COUNTA($E90:$E90)&gt;0," OR ","")&amp;'Dashboard Config'!$B$6&amp;"="""&amp;F90&amp;"""","")&amp;IF(G90&lt;&gt;"",IF(COUNTA($E90:$F90)&gt;0," OR ","")&amp;'Dashboard Config'!$B$6&amp;"="""&amp;G90&amp;"""","")&amp;IF(H90&lt;&gt;"",IF(COUNTA($E90:$G90)&gt;0," OR ","")&amp;'Dashboard Config'!$B$6&amp;"="""&amp;H90&amp;"""","")&amp;IF(I90&lt;&gt;"",IF(COUNTA($E90:$H90)&gt;0," OR ","")&amp;'Dashboard Config'!$B$6&amp;"="""&amp;I90&amp;"""","")&amp;IF(J90&lt;&gt;"",IF(COUNTA($E90:$I90)&gt;0," OR ","")&amp;'Dashboard Config'!$B$6&amp;"="""&amp;J90&amp;"""","")&amp;IF(K90&lt;&gt;"",IF(COUNTA($E90:$J90)&gt;0," OR ","")&amp;'Dashboard Config'!$B$6&amp;"="""&amp;K90&amp;"""","")&amp;IF(L90&lt;&gt;"",IF(COUNTA($E90:$K90)&gt;0," OR ","")&amp;'Dashboard Config'!$B$6&amp;"="""&amp;L90&amp;"""","")&amp;IF(M90&lt;&gt;"",IF(COUNTA($E90:$L90)&gt;0," OR ","")&amp;'Dashboard Config'!$B$7&amp;"="""&amp;M90&amp;"""","")&amp;IF(N90&lt;&gt;"",IF(COUNTA($E90:$M90)&gt;0," OR ","")&amp;'Dashboard Config'!$B$7&amp;"="""&amp;N90&amp;"""","")&amp;IF(O90&lt;&gt;"",IF(COUNTA($E90:$N90)&gt;0," OR ","")&amp;'Dashboard Config'!$B$7&amp;"="""&amp;O90&amp;"""","")&amp;IF(P90&lt;&gt;"",IF(COUNTA($E90:$O90)&gt;0," OR ","")&amp;'Dashboard Config'!$B$7&amp;"="""&amp;P90&amp;"""","")&amp;IF(Q90&lt;&gt;"",IF(COUNTA($E90:$P90)&gt;0," OR ","")&amp;'Dashboard Config'!$B$7&amp;"="""&amp;Q90&amp;"""","")&amp;IF(R90&lt;&gt;"",IF(COUNTA($E90:$Q90)&gt;0," OR ","")&amp;'Dashboard Config'!$B$7&amp;"="""&amp;R90&amp;"""","")&amp;IF(S90&lt;&gt;"",IF(COUNTA($E90:$R90)&gt;0," OR ","")&amp;'Dashboard Config'!$B$7&amp;"="""&amp;S90&amp;"""","")&amp;IF(T90&lt;&gt;"",IF(COUNTA($E90:$S90)&gt;0," OR ","")&amp;'Dashboard Config'!$B$7&amp;"="""&amp;T90&amp;"""","")&amp;IF(U90&lt;&gt;"",IF(COUNTA($E90:$T90)&gt;0," OR ","")&amp;'Dashboard Config'!$B$7&amp;"="""&amp;U90&amp;"""","")&amp;IF(V90&lt;&gt;"",IF(COUNTA($E90:$U90)&gt;0," OR ","")&amp;'Dashboard Config'!$B$7&amp;"="""&amp;V90&amp;"""","")&amp;IF(W90&lt;&gt;"",IF(COUNTA($E90:$V90)&gt;0," OR ","")&amp;'Dashboard Config'!$B$7&amp;"="""&amp;W90&amp;"""","")&amp;IF(X90&lt;&gt;"",IF(COUNTA($E90:$W90)&gt;0," OR ","")&amp;'Dashboard Config'!$B$7&amp;"="""&amp;X90&amp;"""","")&amp;IF(Y90&lt;&gt;"",IF(COUNTA($E90:$X90)&gt;0," OR ","")&amp;'Dashboard Config'!$B$7&amp;"="""&amp;Y90&amp;"""","")&amp;IF(Z90&lt;&gt;"",IF(COUNTA($E90:$Y90)&gt;0," OR ","")&amp;'Dashboard Config'!$B$7&amp;"="""&amp;Z90&amp;"""","")&amp;IF(AA90&lt;&gt;"",IF(COUNTA($E90:$Z90)&gt;0," OR ","")&amp;'Dashboard Config'!$B$7&amp;"="""&amp;AA90&amp;"""","")&amp;IF(AB90&lt;&gt;"",IF(COUNTA($E90:$AA90)&gt;0," OR ","")&amp;'Dashboard Config'!$B$7&amp;"="""&amp;AB90&amp;"""","")&amp;IF(AC90&lt;&gt;"",IF(COUNTA($E90:$AB90)&gt;0," OR ","")&amp;AC90,"")&amp;")")</x:f>
      </x:c>
      <x:c r="AE90" s="48" t="str">
        <x:f>IF($AD90="","",CHAR(123)&amp;CHAR(34)&amp;"label"&amp;CHAR(34)&amp;":"&amp;CHAR(34)&amp;$C90&amp;CHAR(34)&amp;","&amp;CHAR(34)&amp;"value"&amp;CHAR(34)&amp;":"&amp;CHAR(34)&amp;SUBSTITUTE($AD90,CHAR(34),CHAR(92)&amp;CHAR(34))&amp;CHAR(34)&amp;CHAR(125))</x:f>
      </x:c>
      <x:c r="AF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  <x:c r="AA91" s="42"/>
      <x:c r="AB91" s="42"/>
      <x:c r="AC91" s="42"/>
      <x:c r="AD91" s="48" t="str">
        <x:f>IF(OR($A91&lt;&gt;"Yes",$C91="",COUNTA($E91:$AC91)=0),"","("&amp;IF(E91&lt;&gt;"",'Dashboard Config'!$B$6&amp;"="""&amp;E91&amp;"""","")&amp;IF(F91&lt;&gt;"",IF(COUNTA($E91:$E91)&gt;0," OR ","")&amp;'Dashboard Config'!$B$6&amp;"="""&amp;F91&amp;"""","")&amp;IF(G91&lt;&gt;"",IF(COUNTA($E91:$F91)&gt;0," OR ","")&amp;'Dashboard Config'!$B$6&amp;"="""&amp;G91&amp;"""","")&amp;IF(H91&lt;&gt;"",IF(COUNTA($E91:$G91)&gt;0," OR ","")&amp;'Dashboard Config'!$B$6&amp;"="""&amp;H91&amp;"""","")&amp;IF(I91&lt;&gt;"",IF(COUNTA($E91:$H91)&gt;0," OR ","")&amp;'Dashboard Config'!$B$6&amp;"="""&amp;I91&amp;"""","")&amp;IF(J91&lt;&gt;"",IF(COUNTA($E91:$I91)&gt;0," OR ","")&amp;'Dashboard Config'!$B$6&amp;"="""&amp;J91&amp;"""","")&amp;IF(K91&lt;&gt;"",IF(COUNTA($E91:$J91)&gt;0," OR ","")&amp;'Dashboard Config'!$B$6&amp;"="""&amp;K91&amp;"""","")&amp;IF(L91&lt;&gt;"",IF(COUNTA($E91:$K91)&gt;0," OR ","")&amp;'Dashboard Config'!$B$6&amp;"="""&amp;L91&amp;"""","")&amp;IF(M91&lt;&gt;"",IF(COUNTA($E91:$L91)&gt;0," OR ","")&amp;'Dashboard Config'!$B$7&amp;"="""&amp;M91&amp;"""","")&amp;IF(N91&lt;&gt;"",IF(COUNTA($E91:$M91)&gt;0," OR ","")&amp;'Dashboard Config'!$B$7&amp;"="""&amp;N91&amp;"""","")&amp;IF(O91&lt;&gt;"",IF(COUNTA($E91:$N91)&gt;0," OR ","")&amp;'Dashboard Config'!$B$7&amp;"="""&amp;O91&amp;"""","")&amp;IF(P91&lt;&gt;"",IF(COUNTA($E91:$O91)&gt;0," OR ","")&amp;'Dashboard Config'!$B$7&amp;"="""&amp;P91&amp;"""","")&amp;IF(Q91&lt;&gt;"",IF(COUNTA($E91:$P91)&gt;0," OR ","")&amp;'Dashboard Config'!$B$7&amp;"="""&amp;Q91&amp;"""","")&amp;IF(R91&lt;&gt;"",IF(COUNTA($E91:$Q91)&gt;0," OR ","")&amp;'Dashboard Config'!$B$7&amp;"="""&amp;R91&amp;"""","")&amp;IF(S91&lt;&gt;"",IF(COUNTA($E91:$R91)&gt;0," OR ","")&amp;'Dashboard Config'!$B$7&amp;"="""&amp;S91&amp;"""","")&amp;IF(T91&lt;&gt;"",IF(COUNTA($E91:$S91)&gt;0," OR ","")&amp;'Dashboard Config'!$B$7&amp;"="""&amp;T91&amp;"""","")&amp;IF(U91&lt;&gt;"",IF(COUNTA($E91:$T91)&gt;0," OR ","")&amp;'Dashboard Config'!$B$7&amp;"="""&amp;U91&amp;"""","")&amp;IF(V91&lt;&gt;"",IF(COUNTA($E91:$U91)&gt;0," OR ","")&amp;'Dashboard Config'!$B$7&amp;"="""&amp;V91&amp;"""","")&amp;IF(W91&lt;&gt;"",IF(COUNTA($E91:$V91)&gt;0," OR ","")&amp;'Dashboard Config'!$B$7&amp;"="""&amp;W91&amp;"""","")&amp;IF(X91&lt;&gt;"",IF(COUNTA($E91:$W91)&gt;0," OR ","")&amp;'Dashboard Config'!$B$7&amp;"="""&amp;X91&amp;"""","")&amp;IF(Y91&lt;&gt;"",IF(COUNTA($E91:$X91)&gt;0," OR ","")&amp;'Dashboard Config'!$B$7&amp;"="""&amp;Y91&amp;"""","")&amp;IF(Z91&lt;&gt;"",IF(COUNTA($E91:$Y91)&gt;0," OR ","")&amp;'Dashboard Config'!$B$7&amp;"="""&amp;Z91&amp;"""","")&amp;IF(AA91&lt;&gt;"",IF(COUNTA($E91:$Z91)&gt;0," OR ","")&amp;'Dashboard Config'!$B$7&amp;"="""&amp;AA91&amp;"""","")&amp;IF(AB91&lt;&gt;"",IF(COUNTA($E91:$AA91)&gt;0," OR ","")&amp;'Dashboard Config'!$B$7&amp;"="""&amp;AB91&amp;"""","")&amp;IF(AC91&lt;&gt;"",IF(COUNTA($E91:$AB91)&gt;0," OR ","")&amp;AC91,"")&amp;")")</x:f>
      </x:c>
      <x:c r="AE91" s="48" t="str">
        <x:f>IF($AD91="","",CHAR(123)&amp;CHAR(34)&amp;"label"&amp;CHAR(34)&amp;":"&amp;CHAR(34)&amp;$C91&amp;CHAR(34)&amp;","&amp;CHAR(34)&amp;"value"&amp;CHAR(34)&amp;":"&amp;CHAR(34)&amp;SUBSTITUTE($AD91,CHAR(34),CHAR(92)&amp;CHAR(34))&amp;CHAR(34)&amp;CHAR(125))</x:f>
      </x:c>
      <x:c r="AF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  <x:c r="AA92" s="42"/>
      <x:c r="AB92" s="42"/>
      <x:c r="AC92" s="42"/>
      <x:c r="AD92" s="48" t="str">
        <x:f>IF(OR($A92&lt;&gt;"Yes",$C92="",COUNTA($E92:$AC92)=0),"","("&amp;IF(E92&lt;&gt;"",'Dashboard Config'!$B$6&amp;"="""&amp;E92&amp;"""","")&amp;IF(F92&lt;&gt;"",IF(COUNTA($E92:$E92)&gt;0," OR ","")&amp;'Dashboard Config'!$B$6&amp;"="""&amp;F92&amp;"""","")&amp;IF(G92&lt;&gt;"",IF(COUNTA($E92:$F92)&gt;0," OR ","")&amp;'Dashboard Config'!$B$6&amp;"="""&amp;G92&amp;"""","")&amp;IF(H92&lt;&gt;"",IF(COUNTA($E92:$G92)&gt;0," OR ","")&amp;'Dashboard Config'!$B$6&amp;"="""&amp;H92&amp;"""","")&amp;IF(I92&lt;&gt;"",IF(COUNTA($E92:$H92)&gt;0," OR ","")&amp;'Dashboard Config'!$B$6&amp;"="""&amp;I92&amp;"""","")&amp;IF(J92&lt;&gt;"",IF(COUNTA($E92:$I92)&gt;0," OR ","")&amp;'Dashboard Config'!$B$6&amp;"="""&amp;J92&amp;"""","")&amp;IF(K92&lt;&gt;"",IF(COUNTA($E92:$J92)&gt;0," OR ","")&amp;'Dashboard Config'!$B$6&amp;"="""&amp;K92&amp;"""","")&amp;IF(L92&lt;&gt;"",IF(COUNTA($E92:$K92)&gt;0," OR ","")&amp;'Dashboard Config'!$B$6&amp;"="""&amp;L92&amp;"""","")&amp;IF(M92&lt;&gt;"",IF(COUNTA($E92:$L92)&gt;0," OR ","")&amp;'Dashboard Config'!$B$7&amp;"="""&amp;M92&amp;"""","")&amp;IF(N92&lt;&gt;"",IF(COUNTA($E92:$M92)&gt;0," OR ","")&amp;'Dashboard Config'!$B$7&amp;"="""&amp;N92&amp;"""","")&amp;IF(O92&lt;&gt;"",IF(COUNTA($E92:$N92)&gt;0," OR ","")&amp;'Dashboard Config'!$B$7&amp;"="""&amp;O92&amp;"""","")&amp;IF(P92&lt;&gt;"",IF(COUNTA($E92:$O92)&gt;0," OR ","")&amp;'Dashboard Config'!$B$7&amp;"="""&amp;P92&amp;"""","")&amp;IF(Q92&lt;&gt;"",IF(COUNTA($E92:$P92)&gt;0," OR ","")&amp;'Dashboard Config'!$B$7&amp;"="""&amp;Q92&amp;"""","")&amp;IF(R92&lt;&gt;"",IF(COUNTA($E92:$Q92)&gt;0," OR ","")&amp;'Dashboard Config'!$B$7&amp;"="""&amp;R92&amp;"""","")&amp;IF(S92&lt;&gt;"",IF(COUNTA($E92:$R92)&gt;0," OR ","")&amp;'Dashboard Config'!$B$7&amp;"="""&amp;S92&amp;"""","")&amp;IF(T92&lt;&gt;"",IF(COUNTA($E92:$S92)&gt;0," OR ","")&amp;'Dashboard Config'!$B$7&amp;"="""&amp;T92&amp;"""","")&amp;IF(U92&lt;&gt;"",IF(COUNTA($E92:$T92)&gt;0," OR ","")&amp;'Dashboard Config'!$B$7&amp;"="""&amp;U92&amp;"""","")&amp;IF(V92&lt;&gt;"",IF(COUNTA($E92:$U92)&gt;0," OR ","")&amp;'Dashboard Config'!$B$7&amp;"="""&amp;V92&amp;"""","")&amp;IF(W92&lt;&gt;"",IF(COUNTA($E92:$V92)&gt;0," OR ","")&amp;'Dashboard Config'!$B$7&amp;"="""&amp;W92&amp;"""","")&amp;IF(X92&lt;&gt;"",IF(COUNTA($E92:$W92)&gt;0," OR ","")&amp;'Dashboard Config'!$B$7&amp;"="""&amp;X92&amp;"""","")&amp;IF(Y92&lt;&gt;"",IF(COUNTA($E92:$X92)&gt;0," OR ","")&amp;'Dashboard Config'!$B$7&amp;"="""&amp;Y92&amp;"""","")&amp;IF(Z92&lt;&gt;"",IF(COUNTA($E92:$Y92)&gt;0," OR ","")&amp;'Dashboard Config'!$B$7&amp;"="""&amp;Z92&amp;"""","")&amp;IF(AA92&lt;&gt;"",IF(COUNTA($E92:$Z92)&gt;0," OR ","")&amp;'Dashboard Config'!$B$7&amp;"="""&amp;AA92&amp;"""","")&amp;IF(AB92&lt;&gt;"",IF(COUNTA($E92:$AA92)&gt;0," OR ","")&amp;'Dashboard Config'!$B$7&amp;"="""&amp;AB92&amp;"""","")&amp;IF(AC92&lt;&gt;"",IF(COUNTA($E92:$AB92)&gt;0," OR ","")&amp;AC92,"")&amp;")")</x:f>
      </x:c>
      <x:c r="AE92" s="48" t="str">
        <x:f>IF($AD92="","",CHAR(123)&amp;CHAR(34)&amp;"label"&amp;CHAR(34)&amp;":"&amp;CHAR(34)&amp;$C92&amp;CHAR(34)&amp;","&amp;CHAR(34)&amp;"value"&amp;CHAR(34)&amp;":"&amp;CHAR(34)&amp;SUBSTITUTE($AD92,CHAR(34),CHAR(92)&amp;CHAR(34))&amp;CHAR(34)&amp;CHAR(125))</x:f>
      </x:c>
      <x:c r="AF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  <x:c r="AA93" s="42"/>
      <x:c r="AB93" s="42"/>
      <x:c r="AC93" s="42"/>
      <x:c r="AD93" s="48" t="str">
        <x:f>IF(OR($A93&lt;&gt;"Yes",$C93="",COUNTA($E93:$AC93)=0),"","("&amp;IF(E93&lt;&gt;"",'Dashboard Config'!$B$6&amp;"="""&amp;E93&amp;"""","")&amp;IF(F93&lt;&gt;"",IF(COUNTA($E93:$E93)&gt;0," OR ","")&amp;'Dashboard Config'!$B$6&amp;"="""&amp;F93&amp;"""","")&amp;IF(G93&lt;&gt;"",IF(COUNTA($E93:$F93)&gt;0," OR ","")&amp;'Dashboard Config'!$B$6&amp;"="""&amp;G93&amp;"""","")&amp;IF(H93&lt;&gt;"",IF(COUNTA($E93:$G93)&gt;0," OR ","")&amp;'Dashboard Config'!$B$6&amp;"="""&amp;H93&amp;"""","")&amp;IF(I93&lt;&gt;"",IF(COUNTA($E93:$H93)&gt;0," OR ","")&amp;'Dashboard Config'!$B$6&amp;"="""&amp;I93&amp;"""","")&amp;IF(J93&lt;&gt;"",IF(COUNTA($E93:$I93)&gt;0," OR ","")&amp;'Dashboard Config'!$B$6&amp;"="""&amp;J93&amp;"""","")&amp;IF(K93&lt;&gt;"",IF(COUNTA($E93:$J93)&gt;0," OR ","")&amp;'Dashboard Config'!$B$6&amp;"="""&amp;K93&amp;"""","")&amp;IF(L93&lt;&gt;"",IF(COUNTA($E93:$K93)&gt;0," OR ","")&amp;'Dashboard Config'!$B$6&amp;"="""&amp;L93&amp;"""","")&amp;IF(M93&lt;&gt;"",IF(COUNTA($E93:$L93)&gt;0," OR ","")&amp;'Dashboard Config'!$B$7&amp;"="""&amp;M93&amp;"""","")&amp;IF(N93&lt;&gt;"",IF(COUNTA($E93:$M93)&gt;0," OR ","")&amp;'Dashboard Config'!$B$7&amp;"="""&amp;N93&amp;"""","")&amp;IF(O93&lt;&gt;"",IF(COUNTA($E93:$N93)&gt;0," OR ","")&amp;'Dashboard Config'!$B$7&amp;"="""&amp;O93&amp;"""","")&amp;IF(P93&lt;&gt;"",IF(COUNTA($E93:$O93)&gt;0," OR ","")&amp;'Dashboard Config'!$B$7&amp;"="""&amp;P93&amp;"""","")&amp;IF(Q93&lt;&gt;"",IF(COUNTA($E93:$P93)&gt;0," OR ","")&amp;'Dashboard Config'!$B$7&amp;"="""&amp;Q93&amp;"""","")&amp;IF(R93&lt;&gt;"",IF(COUNTA($E93:$Q93)&gt;0," OR ","")&amp;'Dashboard Config'!$B$7&amp;"="""&amp;R93&amp;"""","")&amp;IF(S93&lt;&gt;"",IF(COUNTA($E93:$R93)&gt;0," OR ","")&amp;'Dashboard Config'!$B$7&amp;"="""&amp;S93&amp;"""","")&amp;IF(T93&lt;&gt;"",IF(COUNTA($E93:$S93)&gt;0," OR ","")&amp;'Dashboard Config'!$B$7&amp;"="""&amp;T93&amp;"""","")&amp;IF(U93&lt;&gt;"",IF(COUNTA($E93:$T93)&gt;0," OR ","")&amp;'Dashboard Config'!$B$7&amp;"="""&amp;U93&amp;"""","")&amp;IF(V93&lt;&gt;"",IF(COUNTA($E93:$U93)&gt;0," OR ","")&amp;'Dashboard Config'!$B$7&amp;"="""&amp;V93&amp;"""","")&amp;IF(W93&lt;&gt;"",IF(COUNTA($E93:$V93)&gt;0," OR ","")&amp;'Dashboard Config'!$B$7&amp;"="""&amp;W93&amp;"""","")&amp;IF(X93&lt;&gt;"",IF(COUNTA($E93:$W93)&gt;0," OR ","")&amp;'Dashboard Config'!$B$7&amp;"="""&amp;X93&amp;"""","")&amp;IF(Y93&lt;&gt;"",IF(COUNTA($E93:$X93)&gt;0," OR ","")&amp;'Dashboard Config'!$B$7&amp;"="""&amp;Y93&amp;"""","")&amp;IF(Z93&lt;&gt;"",IF(COUNTA($E93:$Y93)&gt;0," OR ","")&amp;'Dashboard Config'!$B$7&amp;"="""&amp;Z93&amp;"""","")&amp;IF(AA93&lt;&gt;"",IF(COUNTA($E93:$Z93)&gt;0," OR ","")&amp;'Dashboard Config'!$B$7&amp;"="""&amp;AA93&amp;"""","")&amp;IF(AB93&lt;&gt;"",IF(COUNTA($E93:$AA93)&gt;0," OR ","")&amp;'Dashboard Config'!$B$7&amp;"="""&amp;AB93&amp;"""","")&amp;IF(AC93&lt;&gt;"",IF(COUNTA($E93:$AB93)&gt;0," OR ","")&amp;AC93,"")&amp;")")</x:f>
      </x:c>
      <x:c r="AE93" s="48" t="str">
        <x:f>IF($AD93="","",CHAR(123)&amp;CHAR(34)&amp;"label"&amp;CHAR(34)&amp;":"&amp;CHAR(34)&amp;$C93&amp;CHAR(34)&amp;","&amp;CHAR(34)&amp;"value"&amp;CHAR(34)&amp;":"&amp;CHAR(34)&amp;SUBSTITUTE($AD93,CHAR(34),CHAR(92)&amp;CHAR(34))&amp;CHAR(34)&amp;CHAR(125))</x:f>
      </x:c>
      <x:c r="AF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  <x:c r="AA94" s="42"/>
      <x:c r="AB94" s="42"/>
      <x:c r="AC94" s="42"/>
      <x:c r="AD94" s="48" t="str">
        <x:f>IF(OR($A94&lt;&gt;"Yes",$C94="",COUNTA($E94:$AC94)=0),"","("&amp;IF(E94&lt;&gt;"",'Dashboard Config'!$B$6&amp;"="""&amp;E94&amp;"""","")&amp;IF(F94&lt;&gt;"",IF(COUNTA($E94:$E94)&gt;0," OR ","")&amp;'Dashboard Config'!$B$6&amp;"="""&amp;F94&amp;"""","")&amp;IF(G94&lt;&gt;"",IF(COUNTA($E94:$F94)&gt;0," OR ","")&amp;'Dashboard Config'!$B$6&amp;"="""&amp;G94&amp;"""","")&amp;IF(H94&lt;&gt;"",IF(COUNTA($E94:$G94)&gt;0," OR ","")&amp;'Dashboard Config'!$B$6&amp;"="""&amp;H94&amp;"""","")&amp;IF(I94&lt;&gt;"",IF(COUNTA($E94:$H94)&gt;0," OR ","")&amp;'Dashboard Config'!$B$6&amp;"="""&amp;I94&amp;"""","")&amp;IF(J94&lt;&gt;"",IF(COUNTA($E94:$I94)&gt;0," OR ","")&amp;'Dashboard Config'!$B$6&amp;"="""&amp;J94&amp;"""","")&amp;IF(K94&lt;&gt;"",IF(COUNTA($E94:$J94)&gt;0," OR ","")&amp;'Dashboard Config'!$B$6&amp;"="""&amp;K94&amp;"""","")&amp;IF(L94&lt;&gt;"",IF(COUNTA($E94:$K94)&gt;0," OR ","")&amp;'Dashboard Config'!$B$6&amp;"="""&amp;L94&amp;"""","")&amp;IF(M94&lt;&gt;"",IF(COUNTA($E94:$L94)&gt;0," OR ","")&amp;'Dashboard Config'!$B$7&amp;"="""&amp;M94&amp;"""","")&amp;IF(N94&lt;&gt;"",IF(COUNTA($E94:$M94)&gt;0," OR ","")&amp;'Dashboard Config'!$B$7&amp;"="""&amp;N94&amp;"""","")&amp;IF(O94&lt;&gt;"",IF(COUNTA($E94:$N94)&gt;0," OR ","")&amp;'Dashboard Config'!$B$7&amp;"="""&amp;O94&amp;"""","")&amp;IF(P94&lt;&gt;"",IF(COUNTA($E94:$O94)&gt;0," OR ","")&amp;'Dashboard Config'!$B$7&amp;"="""&amp;P94&amp;"""","")&amp;IF(Q94&lt;&gt;"",IF(COUNTA($E94:$P94)&gt;0," OR ","")&amp;'Dashboard Config'!$B$7&amp;"="""&amp;Q94&amp;"""","")&amp;IF(R94&lt;&gt;"",IF(COUNTA($E94:$Q94)&gt;0," OR ","")&amp;'Dashboard Config'!$B$7&amp;"="""&amp;R94&amp;"""","")&amp;IF(S94&lt;&gt;"",IF(COUNTA($E94:$R94)&gt;0," OR ","")&amp;'Dashboard Config'!$B$7&amp;"="""&amp;S94&amp;"""","")&amp;IF(T94&lt;&gt;"",IF(COUNTA($E94:$S94)&gt;0," OR ","")&amp;'Dashboard Config'!$B$7&amp;"="""&amp;T94&amp;"""","")&amp;IF(U94&lt;&gt;"",IF(COUNTA($E94:$T94)&gt;0," OR ","")&amp;'Dashboard Config'!$B$7&amp;"="""&amp;U94&amp;"""","")&amp;IF(V94&lt;&gt;"",IF(COUNTA($E94:$U94)&gt;0," OR ","")&amp;'Dashboard Config'!$B$7&amp;"="""&amp;V94&amp;"""","")&amp;IF(W94&lt;&gt;"",IF(COUNTA($E94:$V94)&gt;0," OR ","")&amp;'Dashboard Config'!$B$7&amp;"="""&amp;W94&amp;"""","")&amp;IF(X94&lt;&gt;"",IF(COUNTA($E94:$W94)&gt;0," OR ","")&amp;'Dashboard Config'!$B$7&amp;"="""&amp;X94&amp;"""","")&amp;IF(Y94&lt;&gt;"",IF(COUNTA($E94:$X94)&gt;0," OR ","")&amp;'Dashboard Config'!$B$7&amp;"="""&amp;Y94&amp;"""","")&amp;IF(Z94&lt;&gt;"",IF(COUNTA($E94:$Y94)&gt;0," OR ","")&amp;'Dashboard Config'!$B$7&amp;"="""&amp;Z94&amp;"""","")&amp;IF(AA94&lt;&gt;"",IF(COUNTA($E94:$Z94)&gt;0," OR ","")&amp;'Dashboard Config'!$B$7&amp;"="""&amp;AA94&amp;"""","")&amp;IF(AB94&lt;&gt;"",IF(COUNTA($E94:$AA94)&gt;0," OR ","")&amp;'Dashboard Config'!$B$7&amp;"="""&amp;AB94&amp;"""","")&amp;IF(AC94&lt;&gt;"",IF(COUNTA($E94:$AB94)&gt;0," OR ","")&amp;AC94,"")&amp;")")</x:f>
      </x:c>
      <x:c r="AE94" s="48" t="str">
        <x:f>IF($AD94="","",CHAR(123)&amp;CHAR(34)&amp;"label"&amp;CHAR(34)&amp;":"&amp;CHAR(34)&amp;$C94&amp;CHAR(34)&amp;","&amp;CHAR(34)&amp;"value"&amp;CHAR(34)&amp;":"&amp;CHAR(34)&amp;SUBSTITUTE($AD94,CHAR(34),CHAR(92)&amp;CHAR(34))&amp;CHAR(34)&amp;CHAR(125))</x:f>
      </x:c>
      <x:c r="AF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  <x:c r="AA95" s="42"/>
      <x:c r="AB95" s="42"/>
      <x:c r="AC95" s="42"/>
      <x:c r="AD95" s="48" t="str">
        <x:f>IF(OR($A95&lt;&gt;"Yes",$C95="",COUNTA($E95:$AC95)=0),"","("&amp;IF(E95&lt;&gt;"",'Dashboard Config'!$B$6&amp;"="""&amp;E95&amp;"""","")&amp;IF(F95&lt;&gt;"",IF(COUNTA($E95:$E95)&gt;0," OR ","")&amp;'Dashboard Config'!$B$6&amp;"="""&amp;F95&amp;"""","")&amp;IF(G95&lt;&gt;"",IF(COUNTA($E95:$F95)&gt;0," OR ","")&amp;'Dashboard Config'!$B$6&amp;"="""&amp;G95&amp;"""","")&amp;IF(H95&lt;&gt;"",IF(COUNTA($E95:$G95)&gt;0," OR ","")&amp;'Dashboard Config'!$B$6&amp;"="""&amp;H95&amp;"""","")&amp;IF(I95&lt;&gt;"",IF(COUNTA($E95:$H95)&gt;0," OR ","")&amp;'Dashboard Config'!$B$6&amp;"="""&amp;I95&amp;"""","")&amp;IF(J95&lt;&gt;"",IF(COUNTA($E95:$I95)&gt;0," OR ","")&amp;'Dashboard Config'!$B$6&amp;"="""&amp;J95&amp;"""","")&amp;IF(K95&lt;&gt;"",IF(COUNTA($E95:$J95)&gt;0," OR ","")&amp;'Dashboard Config'!$B$6&amp;"="""&amp;K95&amp;"""","")&amp;IF(L95&lt;&gt;"",IF(COUNTA($E95:$K95)&gt;0," OR ","")&amp;'Dashboard Config'!$B$6&amp;"="""&amp;L95&amp;"""","")&amp;IF(M95&lt;&gt;"",IF(COUNTA($E95:$L95)&gt;0," OR ","")&amp;'Dashboard Config'!$B$7&amp;"="""&amp;M95&amp;"""","")&amp;IF(N95&lt;&gt;"",IF(COUNTA($E95:$M95)&gt;0," OR ","")&amp;'Dashboard Config'!$B$7&amp;"="""&amp;N95&amp;"""","")&amp;IF(O95&lt;&gt;"",IF(COUNTA($E95:$N95)&gt;0," OR ","")&amp;'Dashboard Config'!$B$7&amp;"="""&amp;O95&amp;"""","")&amp;IF(P95&lt;&gt;"",IF(COUNTA($E95:$O95)&gt;0," OR ","")&amp;'Dashboard Config'!$B$7&amp;"="""&amp;P95&amp;"""","")&amp;IF(Q95&lt;&gt;"",IF(COUNTA($E95:$P95)&gt;0," OR ","")&amp;'Dashboard Config'!$B$7&amp;"="""&amp;Q95&amp;"""","")&amp;IF(R95&lt;&gt;"",IF(COUNTA($E95:$Q95)&gt;0," OR ","")&amp;'Dashboard Config'!$B$7&amp;"="""&amp;R95&amp;"""","")&amp;IF(S95&lt;&gt;"",IF(COUNTA($E95:$R95)&gt;0," OR ","")&amp;'Dashboard Config'!$B$7&amp;"="""&amp;S95&amp;"""","")&amp;IF(T95&lt;&gt;"",IF(COUNTA($E95:$S95)&gt;0," OR ","")&amp;'Dashboard Config'!$B$7&amp;"="""&amp;T95&amp;"""","")&amp;IF(U95&lt;&gt;"",IF(COUNTA($E95:$T95)&gt;0," OR ","")&amp;'Dashboard Config'!$B$7&amp;"="""&amp;U95&amp;"""","")&amp;IF(V95&lt;&gt;"",IF(COUNTA($E95:$U95)&gt;0," OR ","")&amp;'Dashboard Config'!$B$7&amp;"="""&amp;V95&amp;"""","")&amp;IF(W95&lt;&gt;"",IF(COUNTA($E95:$V95)&gt;0," OR ","")&amp;'Dashboard Config'!$B$7&amp;"="""&amp;W95&amp;"""","")&amp;IF(X95&lt;&gt;"",IF(COUNTA($E95:$W95)&gt;0," OR ","")&amp;'Dashboard Config'!$B$7&amp;"="""&amp;X95&amp;"""","")&amp;IF(Y95&lt;&gt;"",IF(COUNTA($E95:$X95)&gt;0," OR ","")&amp;'Dashboard Config'!$B$7&amp;"="""&amp;Y95&amp;"""","")&amp;IF(Z95&lt;&gt;"",IF(COUNTA($E95:$Y95)&gt;0," OR ","")&amp;'Dashboard Config'!$B$7&amp;"="""&amp;Z95&amp;"""","")&amp;IF(AA95&lt;&gt;"",IF(COUNTA($E95:$Z95)&gt;0," OR ","")&amp;'Dashboard Config'!$B$7&amp;"="""&amp;AA95&amp;"""","")&amp;IF(AB95&lt;&gt;"",IF(COUNTA($E95:$AA95)&gt;0," OR ","")&amp;'Dashboard Config'!$B$7&amp;"="""&amp;AB95&amp;"""","")&amp;IF(AC95&lt;&gt;"",IF(COUNTA($E95:$AB95)&gt;0," OR ","")&amp;AC95,"")&amp;")")</x:f>
      </x:c>
      <x:c r="AE95" s="48" t="str">
        <x:f>IF($AD95="","",CHAR(123)&amp;CHAR(34)&amp;"label"&amp;CHAR(34)&amp;":"&amp;CHAR(34)&amp;$C95&amp;CHAR(34)&amp;","&amp;CHAR(34)&amp;"value"&amp;CHAR(34)&amp;":"&amp;CHAR(34)&amp;SUBSTITUTE($AD95,CHAR(34),CHAR(92)&amp;CHAR(34))&amp;CHAR(34)&amp;CHAR(125))</x:f>
      </x:c>
      <x:c r="AF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  <x:c r="AA96" s="42"/>
      <x:c r="AB96" s="42"/>
      <x:c r="AC96" s="42"/>
      <x:c r="AD96" s="48" t="str">
        <x:f>IF(OR($A96&lt;&gt;"Yes",$C96="",COUNTA($E96:$AC96)=0),"","("&amp;IF(E96&lt;&gt;"",'Dashboard Config'!$B$6&amp;"="""&amp;E96&amp;"""","")&amp;IF(F96&lt;&gt;"",IF(COUNTA($E96:$E96)&gt;0," OR ","")&amp;'Dashboard Config'!$B$6&amp;"="""&amp;F96&amp;"""","")&amp;IF(G96&lt;&gt;"",IF(COUNTA($E96:$F96)&gt;0," OR ","")&amp;'Dashboard Config'!$B$6&amp;"="""&amp;G96&amp;"""","")&amp;IF(H96&lt;&gt;"",IF(COUNTA($E96:$G96)&gt;0," OR ","")&amp;'Dashboard Config'!$B$6&amp;"="""&amp;H96&amp;"""","")&amp;IF(I96&lt;&gt;"",IF(COUNTA($E96:$H96)&gt;0," OR ","")&amp;'Dashboard Config'!$B$6&amp;"="""&amp;I96&amp;"""","")&amp;IF(J96&lt;&gt;"",IF(COUNTA($E96:$I96)&gt;0," OR ","")&amp;'Dashboard Config'!$B$6&amp;"="""&amp;J96&amp;"""","")&amp;IF(K96&lt;&gt;"",IF(COUNTA($E96:$J96)&gt;0," OR ","")&amp;'Dashboard Config'!$B$6&amp;"="""&amp;K96&amp;"""","")&amp;IF(L96&lt;&gt;"",IF(COUNTA($E96:$K96)&gt;0," OR ","")&amp;'Dashboard Config'!$B$6&amp;"="""&amp;L96&amp;"""","")&amp;IF(M96&lt;&gt;"",IF(COUNTA($E96:$L96)&gt;0," OR ","")&amp;'Dashboard Config'!$B$7&amp;"="""&amp;M96&amp;"""","")&amp;IF(N96&lt;&gt;"",IF(COUNTA($E96:$M96)&gt;0," OR ","")&amp;'Dashboard Config'!$B$7&amp;"="""&amp;N96&amp;"""","")&amp;IF(O96&lt;&gt;"",IF(COUNTA($E96:$N96)&gt;0," OR ","")&amp;'Dashboard Config'!$B$7&amp;"="""&amp;O96&amp;"""","")&amp;IF(P96&lt;&gt;"",IF(COUNTA($E96:$O96)&gt;0," OR ","")&amp;'Dashboard Config'!$B$7&amp;"="""&amp;P96&amp;"""","")&amp;IF(Q96&lt;&gt;"",IF(COUNTA($E96:$P96)&gt;0," OR ","")&amp;'Dashboard Config'!$B$7&amp;"="""&amp;Q96&amp;"""","")&amp;IF(R96&lt;&gt;"",IF(COUNTA($E96:$Q96)&gt;0," OR ","")&amp;'Dashboard Config'!$B$7&amp;"="""&amp;R96&amp;"""","")&amp;IF(S96&lt;&gt;"",IF(COUNTA($E96:$R96)&gt;0," OR ","")&amp;'Dashboard Config'!$B$7&amp;"="""&amp;S96&amp;"""","")&amp;IF(T96&lt;&gt;"",IF(COUNTA($E96:$S96)&gt;0," OR ","")&amp;'Dashboard Config'!$B$7&amp;"="""&amp;T96&amp;"""","")&amp;IF(U96&lt;&gt;"",IF(COUNTA($E96:$T96)&gt;0," OR ","")&amp;'Dashboard Config'!$B$7&amp;"="""&amp;U96&amp;"""","")&amp;IF(V96&lt;&gt;"",IF(COUNTA($E96:$U96)&gt;0," OR ","")&amp;'Dashboard Config'!$B$7&amp;"="""&amp;V96&amp;"""","")&amp;IF(W96&lt;&gt;"",IF(COUNTA($E96:$V96)&gt;0," OR ","")&amp;'Dashboard Config'!$B$7&amp;"="""&amp;W96&amp;"""","")&amp;IF(X96&lt;&gt;"",IF(COUNTA($E96:$W96)&gt;0," OR ","")&amp;'Dashboard Config'!$B$7&amp;"="""&amp;X96&amp;"""","")&amp;IF(Y96&lt;&gt;"",IF(COUNTA($E96:$X96)&gt;0," OR ","")&amp;'Dashboard Config'!$B$7&amp;"="""&amp;Y96&amp;"""","")&amp;IF(Z96&lt;&gt;"",IF(COUNTA($E96:$Y96)&gt;0," OR ","")&amp;'Dashboard Config'!$B$7&amp;"="""&amp;Z96&amp;"""","")&amp;IF(AA96&lt;&gt;"",IF(COUNTA($E96:$Z96)&gt;0," OR ","")&amp;'Dashboard Config'!$B$7&amp;"="""&amp;AA96&amp;"""","")&amp;IF(AB96&lt;&gt;"",IF(COUNTA($E96:$AA96)&gt;0," OR ","")&amp;'Dashboard Config'!$B$7&amp;"="""&amp;AB96&amp;"""","")&amp;IF(AC96&lt;&gt;"",IF(COUNTA($E96:$AB96)&gt;0," OR ","")&amp;AC96,"")&amp;")")</x:f>
      </x:c>
      <x:c r="AE96" s="48" t="str">
        <x:f>IF($AD96="","",CHAR(123)&amp;CHAR(34)&amp;"label"&amp;CHAR(34)&amp;":"&amp;CHAR(34)&amp;$C96&amp;CHAR(34)&amp;","&amp;CHAR(34)&amp;"value"&amp;CHAR(34)&amp;":"&amp;CHAR(34)&amp;SUBSTITUTE($AD96,CHAR(34),CHAR(92)&amp;CHAR(34))&amp;CHAR(34)&amp;CHAR(125))</x:f>
      </x:c>
      <x:c r="AF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  <x:c r="AA97" s="42"/>
      <x:c r="AB97" s="42"/>
      <x:c r="AC97" s="42"/>
      <x:c r="AD97" s="48" t="str">
        <x:f>IF(OR($A97&lt;&gt;"Yes",$C97="",COUNTA($E97:$AC97)=0),"","("&amp;IF(E97&lt;&gt;"",'Dashboard Config'!$B$6&amp;"="""&amp;E97&amp;"""","")&amp;IF(F97&lt;&gt;"",IF(COUNTA($E97:$E97)&gt;0," OR ","")&amp;'Dashboard Config'!$B$6&amp;"="""&amp;F97&amp;"""","")&amp;IF(G97&lt;&gt;"",IF(COUNTA($E97:$F97)&gt;0," OR ","")&amp;'Dashboard Config'!$B$6&amp;"="""&amp;G97&amp;"""","")&amp;IF(H97&lt;&gt;"",IF(COUNTA($E97:$G97)&gt;0," OR ","")&amp;'Dashboard Config'!$B$6&amp;"="""&amp;H97&amp;"""","")&amp;IF(I97&lt;&gt;"",IF(COUNTA($E97:$H97)&gt;0," OR ","")&amp;'Dashboard Config'!$B$6&amp;"="""&amp;I97&amp;"""","")&amp;IF(J97&lt;&gt;"",IF(COUNTA($E97:$I97)&gt;0," OR ","")&amp;'Dashboard Config'!$B$6&amp;"="""&amp;J97&amp;"""","")&amp;IF(K97&lt;&gt;"",IF(COUNTA($E97:$J97)&gt;0," OR ","")&amp;'Dashboard Config'!$B$6&amp;"="""&amp;K97&amp;"""","")&amp;IF(L97&lt;&gt;"",IF(COUNTA($E97:$K97)&gt;0," OR ","")&amp;'Dashboard Config'!$B$6&amp;"="""&amp;L97&amp;"""","")&amp;IF(M97&lt;&gt;"",IF(COUNTA($E97:$L97)&gt;0," OR ","")&amp;'Dashboard Config'!$B$7&amp;"="""&amp;M97&amp;"""","")&amp;IF(N97&lt;&gt;"",IF(COUNTA($E97:$M97)&gt;0," OR ","")&amp;'Dashboard Config'!$B$7&amp;"="""&amp;N97&amp;"""","")&amp;IF(O97&lt;&gt;"",IF(COUNTA($E97:$N97)&gt;0," OR ","")&amp;'Dashboard Config'!$B$7&amp;"="""&amp;O97&amp;"""","")&amp;IF(P97&lt;&gt;"",IF(COUNTA($E97:$O97)&gt;0," OR ","")&amp;'Dashboard Config'!$B$7&amp;"="""&amp;P97&amp;"""","")&amp;IF(Q97&lt;&gt;"",IF(COUNTA($E97:$P97)&gt;0," OR ","")&amp;'Dashboard Config'!$B$7&amp;"="""&amp;Q97&amp;"""","")&amp;IF(R97&lt;&gt;"",IF(COUNTA($E97:$Q97)&gt;0," OR ","")&amp;'Dashboard Config'!$B$7&amp;"="""&amp;R97&amp;"""","")&amp;IF(S97&lt;&gt;"",IF(COUNTA($E97:$R97)&gt;0," OR ","")&amp;'Dashboard Config'!$B$7&amp;"="""&amp;S97&amp;"""","")&amp;IF(T97&lt;&gt;"",IF(COUNTA($E97:$S97)&gt;0," OR ","")&amp;'Dashboard Config'!$B$7&amp;"="""&amp;T97&amp;"""","")&amp;IF(U97&lt;&gt;"",IF(COUNTA($E97:$T97)&gt;0," OR ","")&amp;'Dashboard Config'!$B$7&amp;"="""&amp;U97&amp;"""","")&amp;IF(V97&lt;&gt;"",IF(COUNTA($E97:$U97)&gt;0," OR ","")&amp;'Dashboard Config'!$B$7&amp;"="""&amp;V97&amp;"""","")&amp;IF(W97&lt;&gt;"",IF(COUNTA($E97:$V97)&gt;0," OR ","")&amp;'Dashboard Config'!$B$7&amp;"="""&amp;W97&amp;"""","")&amp;IF(X97&lt;&gt;"",IF(COUNTA($E97:$W97)&gt;0," OR ","")&amp;'Dashboard Config'!$B$7&amp;"="""&amp;X97&amp;"""","")&amp;IF(Y97&lt;&gt;"",IF(COUNTA($E97:$X97)&gt;0," OR ","")&amp;'Dashboard Config'!$B$7&amp;"="""&amp;Y97&amp;"""","")&amp;IF(Z97&lt;&gt;"",IF(COUNTA($E97:$Y97)&gt;0," OR ","")&amp;'Dashboard Config'!$B$7&amp;"="""&amp;Z97&amp;"""","")&amp;IF(AA97&lt;&gt;"",IF(COUNTA($E97:$Z97)&gt;0," OR ","")&amp;'Dashboard Config'!$B$7&amp;"="""&amp;AA97&amp;"""","")&amp;IF(AB97&lt;&gt;"",IF(COUNTA($E97:$AA97)&gt;0," OR ","")&amp;'Dashboard Config'!$B$7&amp;"="""&amp;AB97&amp;"""","")&amp;IF(AC97&lt;&gt;"",IF(COUNTA($E97:$AB97)&gt;0," OR ","")&amp;AC97,"")&amp;")")</x:f>
      </x:c>
      <x:c r="AE97" s="48" t="str">
        <x:f>IF($AD97="","",CHAR(123)&amp;CHAR(34)&amp;"label"&amp;CHAR(34)&amp;":"&amp;CHAR(34)&amp;$C97&amp;CHAR(34)&amp;","&amp;CHAR(34)&amp;"value"&amp;CHAR(34)&amp;":"&amp;CHAR(34)&amp;SUBSTITUTE($AD97,CHAR(34),CHAR(92)&amp;CHAR(34))&amp;CHAR(34)&amp;CHAR(125))</x:f>
      </x:c>
      <x:c r="AF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  <x:c r="AA98" s="42"/>
      <x:c r="AB98" s="42"/>
      <x:c r="AC98" s="42"/>
      <x:c r="AD98" s="48" t="str">
        <x:f>IF(OR($A98&lt;&gt;"Yes",$C98="",COUNTA($E98:$AC98)=0),"","("&amp;IF(E98&lt;&gt;"",'Dashboard Config'!$B$6&amp;"="""&amp;E98&amp;"""","")&amp;IF(F98&lt;&gt;"",IF(COUNTA($E98:$E98)&gt;0," OR ","")&amp;'Dashboard Config'!$B$6&amp;"="""&amp;F98&amp;"""","")&amp;IF(G98&lt;&gt;"",IF(COUNTA($E98:$F98)&gt;0," OR ","")&amp;'Dashboard Config'!$B$6&amp;"="""&amp;G98&amp;"""","")&amp;IF(H98&lt;&gt;"",IF(COUNTA($E98:$G98)&gt;0," OR ","")&amp;'Dashboard Config'!$B$6&amp;"="""&amp;H98&amp;"""","")&amp;IF(I98&lt;&gt;"",IF(COUNTA($E98:$H98)&gt;0," OR ","")&amp;'Dashboard Config'!$B$6&amp;"="""&amp;I98&amp;"""","")&amp;IF(J98&lt;&gt;"",IF(COUNTA($E98:$I98)&gt;0," OR ","")&amp;'Dashboard Config'!$B$6&amp;"="""&amp;J98&amp;"""","")&amp;IF(K98&lt;&gt;"",IF(COUNTA($E98:$J98)&gt;0," OR ","")&amp;'Dashboard Config'!$B$6&amp;"="""&amp;K98&amp;"""","")&amp;IF(L98&lt;&gt;"",IF(COUNTA($E98:$K98)&gt;0," OR ","")&amp;'Dashboard Config'!$B$6&amp;"="""&amp;L98&amp;"""","")&amp;IF(M98&lt;&gt;"",IF(COUNTA($E98:$L98)&gt;0," OR ","")&amp;'Dashboard Config'!$B$7&amp;"="""&amp;M98&amp;"""","")&amp;IF(N98&lt;&gt;"",IF(COUNTA($E98:$M98)&gt;0," OR ","")&amp;'Dashboard Config'!$B$7&amp;"="""&amp;N98&amp;"""","")&amp;IF(O98&lt;&gt;"",IF(COUNTA($E98:$N98)&gt;0," OR ","")&amp;'Dashboard Config'!$B$7&amp;"="""&amp;O98&amp;"""","")&amp;IF(P98&lt;&gt;"",IF(COUNTA($E98:$O98)&gt;0," OR ","")&amp;'Dashboard Config'!$B$7&amp;"="""&amp;P98&amp;"""","")&amp;IF(Q98&lt;&gt;"",IF(COUNTA($E98:$P98)&gt;0," OR ","")&amp;'Dashboard Config'!$B$7&amp;"="""&amp;Q98&amp;"""","")&amp;IF(R98&lt;&gt;"",IF(COUNTA($E98:$Q98)&gt;0," OR ","")&amp;'Dashboard Config'!$B$7&amp;"="""&amp;R98&amp;"""","")&amp;IF(S98&lt;&gt;"",IF(COUNTA($E98:$R98)&gt;0," OR ","")&amp;'Dashboard Config'!$B$7&amp;"="""&amp;S98&amp;"""","")&amp;IF(T98&lt;&gt;"",IF(COUNTA($E98:$S98)&gt;0," OR ","")&amp;'Dashboard Config'!$B$7&amp;"="""&amp;T98&amp;"""","")&amp;IF(U98&lt;&gt;"",IF(COUNTA($E98:$T98)&gt;0," OR ","")&amp;'Dashboard Config'!$B$7&amp;"="""&amp;U98&amp;"""","")&amp;IF(V98&lt;&gt;"",IF(COUNTA($E98:$U98)&gt;0," OR ","")&amp;'Dashboard Config'!$B$7&amp;"="""&amp;V98&amp;"""","")&amp;IF(W98&lt;&gt;"",IF(COUNTA($E98:$V98)&gt;0," OR ","")&amp;'Dashboard Config'!$B$7&amp;"="""&amp;W98&amp;"""","")&amp;IF(X98&lt;&gt;"",IF(COUNTA($E98:$W98)&gt;0," OR ","")&amp;'Dashboard Config'!$B$7&amp;"="""&amp;X98&amp;"""","")&amp;IF(Y98&lt;&gt;"",IF(COUNTA($E98:$X98)&gt;0," OR ","")&amp;'Dashboard Config'!$B$7&amp;"="""&amp;Y98&amp;"""","")&amp;IF(Z98&lt;&gt;"",IF(COUNTA($E98:$Y98)&gt;0," OR ","")&amp;'Dashboard Config'!$B$7&amp;"="""&amp;Z98&amp;"""","")&amp;IF(AA98&lt;&gt;"",IF(COUNTA($E98:$Z98)&gt;0," OR ","")&amp;'Dashboard Config'!$B$7&amp;"="""&amp;AA98&amp;"""","")&amp;IF(AB98&lt;&gt;"",IF(COUNTA($E98:$AA98)&gt;0," OR ","")&amp;'Dashboard Config'!$B$7&amp;"="""&amp;AB98&amp;"""","")&amp;IF(AC98&lt;&gt;"",IF(COUNTA($E98:$AB98)&gt;0," OR ","")&amp;AC98,"")&amp;")")</x:f>
      </x:c>
      <x:c r="AE98" s="48" t="str">
        <x:f>IF($AD98="","",CHAR(123)&amp;CHAR(34)&amp;"label"&amp;CHAR(34)&amp;":"&amp;CHAR(34)&amp;$C98&amp;CHAR(34)&amp;","&amp;CHAR(34)&amp;"value"&amp;CHAR(34)&amp;":"&amp;CHAR(34)&amp;SUBSTITUTE($AD98,CHAR(34),CHAR(92)&amp;CHAR(34))&amp;CHAR(34)&amp;CHAR(125))</x:f>
      </x:c>
      <x:c r="AF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  <x:c r="AA99" s="42"/>
      <x:c r="AB99" s="42"/>
      <x:c r="AC99" s="42"/>
      <x:c r="AD99" s="48" t="str">
        <x:f>IF(OR($A99&lt;&gt;"Yes",$C99="",COUNTA($E99:$AC99)=0),"","("&amp;IF(E99&lt;&gt;"",'Dashboard Config'!$B$6&amp;"="""&amp;E99&amp;"""","")&amp;IF(F99&lt;&gt;"",IF(COUNTA($E99:$E99)&gt;0," OR ","")&amp;'Dashboard Config'!$B$6&amp;"="""&amp;F99&amp;"""","")&amp;IF(G99&lt;&gt;"",IF(COUNTA($E99:$F99)&gt;0," OR ","")&amp;'Dashboard Config'!$B$6&amp;"="""&amp;G99&amp;"""","")&amp;IF(H99&lt;&gt;"",IF(COUNTA($E99:$G99)&gt;0," OR ","")&amp;'Dashboard Config'!$B$6&amp;"="""&amp;H99&amp;"""","")&amp;IF(I99&lt;&gt;"",IF(COUNTA($E99:$H99)&gt;0," OR ","")&amp;'Dashboard Config'!$B$6&amp;"="""&amp;I99&amp;"""","")&amp;IF(J99&lt;&gt;"",IF(COUNTA($E99:$I99)&gt;0," OR ","")&amp;'Dashboard Config'!$B$6&amp;"="""&amp;J99&amp;"""","")&amp;IF(K99&lt;&gt;"",IF(COUNTA($E99:$J99)&gt;0," OR ","")&amp;'Dashboard Config'!$B$6&amp;"="""&amp;K99&amp;"""","")&amp;IF(L99&lt;&gt;"",IF(COUNTA($E99:$K99)&gt;0," OR ","")&amp;'Dashboard Config'!$B$6&amp;"="""&amp;L99&amp;"""","")&amp;IF(M99&lt;&gt;"",IF(COUNTA($E99:$L99)&gt;0," OR ","")&amp;'Dashboard Config'!$B$7&amp;"="""&amp;M99&amp;"""","")&amp;IF(N99&lt;&gt;"",IF(COUNTA($E99:$M99)&gt;0," OR ","")&amp;'Dashboard Config'!$B$7&amp;"="""&amp;N99&amp;"""","")&amp;IF(O99&lt;&gt;"",IF(COUNTA($E99:$N99)&gt;0," OR ","")&amp;'Dashboard Config'!$B$7&amp;"="""&amp;O99&amp;"""","")&amp;IF(P99&lt;&gt;"",IF(COUNTA($E99:$O99)&gt;0," OR ","")&amp;'Dashboard Config'!$B$7&amp;"="""&amp;P99&amp;"""","")&amp;IF(Q99&lt;&gt;"",IF(COUNTA($E99:$P99)&gt;0," OR ","")&amp;'Dashboard Config'!$B$7&amp;"="""&amp;Q99&amp;"""","")&amp;IF(R99&lt;&gt;"",IF(COUNTA($E99:$Q99)&gt;0," OR ","")&amp;'Dashboard Config'!$B$7&amp;"="""&amp;R99&amp;"""","")&amp;IF(S99&lt;&gt;"",IF(COUNTA($E99:$R99)&gt;0," OR ","")&amp;'Dashboard Config'!$B$7&amp;"="""&amp;S99&amp;"""","")&amp;IF(T99&lt;&gt;"",IF(COUNTA($E99:$S99)&gt;0," OR ","")&amp;'Dashboard Config'!$B$7&amp;"="""&amp;T99&amp;"""","")&amp;IF(U99&lt;&gt;"",IF(COUNTA($E99:$T99)&gt;0," OR ","")&amp;'Dashboard Config'!$B$7&amp;"="""&amp;U99&amp;"""","")&amp;IF(V99&lt;&gt;"",IF(COUNTA($E99:$U99)&gt;0," OR ","")&amp;'Dashboard Config'!$B$7&amp;"="""&amp;V99&amp;"""","")&amp;IF(W99&lt;&gt;"",IF(COUNTA($E99:$V99)&gt;0," OR ","")&amp;'Dashboard Config'!$B$7&amp;"="""&amp;W99&amp;"""","")&amp;IF(X99&lt;&gt;"",IF(COUNTA($E99:$W99)&gt;0," OR ","")&amp;'Dashboard Config'!$B$7&amp;"="""&amp;X99&amp;"""","")&amp;IF(Y99&lt;&gt;"",IF(COUNTA($E99:$X99)&gt;0," OR ","")&amp;'Dashboard Config'!$B$7&amp;"="""&amp;Y99&amp;"""","")&amp;IF(Z99&lt;&gt;"",IF(COUNTA($E99:$Y99)&gt;0," OR ","")&amp;'Dashboard Config'!$B$7&amp;"="""&amp;Z99&amp;"""","")&amp;IF(AA99&lt;&gt;"",IF(COUNTA($E99:$Z99)&gt;0," OR ","")&amp;'Dashboard Config'!$B$7&amp;"="""&amp;AA99&amp;"""","")&amp;IF(AB99&lt;&gt;"",IF(COUNTA($E99:$AA99)&gt;0," OR ","")&amp;'Dashboard Config'!$B$7&amp;"="""&amp;AB99&amp;"""","")&amp;IF(AC99&lt;&gt;"",IF(COUNTA($E99:$AB99)&gt;0," OR ","")&amp;AC99,"")&amp;")")</x:f>
      </x:c>
      <x:c r="AE99" s="48" t="str">
        <x:f>IF($AD99="","",CHAR(123)&amp;CHAR(34)&amp;"label"&amp;CHAR(34)&amp;":"&amp;CHAR(34)&amp;$C99&amp;CHAR(34)&amp;","&amp;CHAR(34)&amp;"value"&amp;CHAR(34)&amp;":"&amp;CHAR(34)&amp;SUBSTITUTE($AD99,CHAR(34),CHAR(92)&amp;CHAR(34))&amp;CHAR(34)&amp;CHAR(125))</x:f>
      </x:c>
      <x:c r="AF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  <x:c r="AA100" s="42"/>
      <x:c r="AB100" s="42"/>
      <x:c r="AC100" s="42"/>
      <x:c r="AD100" s="48" t="str">
        <x:f>IF(OR($A100&lt;&gt;"Yes",$C100="",COUNTA($E100:$AC100)=0),"","("&amp;IF(E100&lt;&gt;"",'Dashboard Config'!$B$6&amp;"="""&amp;E100&amp;"""","")&amp;IF(F100&lt;&gt;"",IF(COUNTA($E100:$E100)&gt;0," OR ","")&amp;'Dashboard Config'!$B$6&amp;"="""&amp;F100&amp;"""","")&amp;IF(G100&lt;&gt;"",IF(COUNTA($E100:$F100)&gt;0," OR ","")&amp;'Dashboard Config'!$B$6&amp;"="""&amp;G100&amp;"""","")&amp;IF(H100&lt;&gt;"",IF(COUNTA($E100:$G100)&gt;0," OR ","")&amp;'Dashboard Config'!$B$6&amp;"="""&amp;H100&amp;"""","")&amp;IF(I100&lt;&gt;"",IF(COUNTA($E100:$H100)&gt;0," OR ","")&amp;'Dashboard Config'!$B$6&amp;"="""&amp;I100&amp;"""","")&amp;IF(J100&lt;&gt;"",IF(COUNTA($E100:$I100)&gt;0," OR ","")&amp;'Dashboard Config'!$B$6&amp;"="""&amp;J100&amp;"""","")&amp;IF(K100&lt;&gt;"",IF(COUNTA($E100:$J100)&gt;0," OR ","")&amp;'Dashboard Config'!$B$6&amp;"="""&amp;K100&amp;"""","")&amp;IF(L100&lt;&gt;"",IF(COUNTA($E100:$K100)&gt;0," OR ","")&amp;'Dashboard Config'!$B$6&amp;"="""&amp;L100&amp;"""","")&amp;IF(M100&lt;&gt;"",IF(COUNTA($E100:$L100)&gt;0," OR ","")&amp;'Dashboard Config'!$B$7&amp;"="""&amp;M100&amp;"""","")&amp;IF(N100&lt;&gt;"",IF(COUNTA($E100:$M100)&gt;0," OR ","")&amp;'Dashboard Config'!$B$7&amp;"="""&amp;N100&amp;"""","")&amp;IF(O100&lt;&gt;"",IF(COUNTA($E100:$N100)&gt;0," OR ","")&amp;'Dashboard Config'!$B$7&amp;"="""&amp;O100&amp;"""","")&amp;IF(P100&lt;&gt;"",IF(COUNTA($E100:$O100)&gt;0," OR ","")&amp;'Dashboard Config'!$B$7&amp;"="""&amp;P100&amp;"""","")&amp;IF(Q100&lt;&gt;"",IF(COUNTA($E100:$P100)&gt;0," OR ","")&amp;'Dashboard Config'!$B$7&amp;"="""&amp;Q100&amp;"""","")&amp;IF(R100&lt;&gt;"",IF(COUNTA($E100:$Q100)&gt;0," OR ","")&amp;'Dashboard Config'!$B$7&amp;"="""&amp;R100&amp;"""","")&amp;IF(S100&lt;&gt;"",IF(COUNTA($E100:$R100)&gt;0," OR ","")&amp;'Dashboard Config'!$B$7&amp;"="""&amp;S100&amp;"""","")&amp;IF(T100&lt;&gt;"",IF(COUNTA($E100:$S100)&gt;0," OR ","")&amp;'Dashboard Config'!$B$7&amp;"="""&amp;T100&amp;"""","")&amp;IF(U100&lt;&gt;"",IF(COUNTA($E100:$T100)&gt;0," OR ","")&amp;'Dashboard Config'!$B$7&amp;"="""&amp;U100&amp;"""","")&amp;IF(V100&lt;&gt;"",IF(COUNTA($E100:$U100)&gt;0," OR ","")&amp;'Dashboard Config'!$B$7&amp;"="""&amp;V100&amp;"""","")&amp;IF(W100&lt;&gt;"",IF(COUNTA($E100:$V100)&gt;0," OR ","")&amp;'Dashboard Config'!$B$7&amp;"="""&amp;W100&amp;"""","")&amp;IF(X100&lt;&gt;"",IF(COUNTA($E100:$W100)&gt;0," OR ","")&amp;'Dashboard Config'!$B$7&amp;"="""&amp;X100&amp;"""","")&amp;IF(Y100&lt;&gt;"",IF(COUNTA($E100:$X100)&gt;0," OR ","")&amp;'Dashboard Config'!$B$7&amp;"="""&amp;Y100&amp;"""","")&amp;IF(Z100&lt;&gt;"",IF(COUNTA($E100:$Y100)&gt;0," OR ","")&amp;'Dashboard Config'!$B$7&amp;"="""&amp;Z100&amp;"""","")&amp;IF(AA100&lt;&gt;"",IF(COUNTA($E100:$Z100)&gt;0," OR ","")&amp;'Dashboard Config'!$B$7&amp;"="""&amp;AA100&amp;"""","")&amp;IF(AB100&lt;&gt;"",IF(COUNTA($E100:$AA100)&gt;0," OR ","")&amp;'Dashboard Config'!$B$7&amp;"="""&amp;AB100&amp;"""","")&amp;IF(AC100&lt;&gt;"",IF(COUNTA($E100:$AB100)&gt;0," OR ","")&amp;AC100,"")&amp;")")</x:f>
      </x:c>
      <x:c r="AE100" s="48" t="str">
        <x:f>IF($AD100="","",CHAR(123)&amp;CHAR(34)&amp;"label"&amp;CHAR(34)&amp;":"&amp;CHAR(34)&amp;$C100&amp;CHAR(34)&amp;","&amp;CHAR(34)&amp;"value"&amp;CHAR(34)&amp;":"&amp;CHAR(34)&amp;SUBSTITUTE($AD100,CHAR(34),CHAR(92)&amp;CHAR(34))&amp;CHAR(34)&amp;CHAR(125))</x:f>
      </x:c>
      <x:c r="AF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  <x:c r="AA101" s="42"/>
      <x:c r="AB101" s="42"/>
      <x:c r="AC101" s="42"/>
      <x:c r="AD101" s="48" t="str">
        <x:f>IF(OR($A101&lt;&gt;"Yes",$C101="",COUNTA($E101:$AC101)=0),"","("&amp;IF(E101&lt;&gt;"",'Dashboard Config'!$B$6&amp;"="""&amp;E101&amp;"""","")&amp;IF(F101&lt;&gt;"",IF(COUNTA($E101:$E101)&gt;0," OR ","")&amp;'Dashboard Config'!$B$6&amp;"="""&amp;F101&amp;"""","")&amp;IF(G101&lt;&gt;"",IF(COUNTA($E101:$F101)&gt;0," OR ","")&amp;'Dashboard Config'!$B$6&amp;"="""&amp;G101&amp;"""","")&amp;IF(H101&lt;&gt;"",IF(COUNTA($E101:$G101)&gt;0," OR ","")&amp;'Dashboard Config'!$B$6&amp;"="""&amp;H101&amp;"""","")&amp;IF(I101&lt;&gt;"",IF(COUNTA($E101:$H101)&gt;0," OR ","")&amp;'Dashboard Config'!$B$6&amp;"="""&amp;I101&amp;"""","")&amp;IF(J101&lt;&gt;"",IF(COUNTA($E101:$I101)&gt;0," OR ","")&amp;'Dashboard Config'!$B$6&amp;"="""&amp;J101&amp;"""","")&amp;IF(K101&lt;&gt;"",IF(COUNTA($E101:$J101)&gt;0," OR ","")&amp;'Dashboard Config'!$B$6&amp;"="""&amp;K101&amp;"""","")&amp;IF(L101&lt;&gt;"",IF(COUNTA($E101:$K101)&gt;0," OR ","")&amp;'Dashboard Config'!$B$6&amp;"="""&amp;L101&amp;"""","")&amp;IF(M101&lt;&gt;"",IF(COUNTA($E101:$L101)&gt;0," OR ","")&amp;'Dashboard Config'!$B$7&amp;"="""&amp;M101&amp;"""","")&amp;IF(N101&lt;&gt;"",IF(COUNTA($E101:$M101)&gt;0," OR ","")&amp;'Dashboard Config'!$B$7&amp;"="""&amp;N101&amp;"""","")&amp;IF(O101&lt;&gt;"",IF(COUNTA($E101:$N101)&gt;0," OR ","")&amp;'Dashboard Config'!$B$7&amp;"="""&amp;O101&amp;"""","")&amp;IF(P101&lt;&gt;"",IF(COUNTA($E101:$O101)&gt;0," OR ","")&amp;'Dashboard Config'!$B$7&amp;"="""&amp;P101&amp;"""","")&amp;IF(Q101&lt;&gt;"",IF(COUNTA($E101:$P101)&gt;0," OR ","")&amp;'Dashboard Config'!$B$7&amp;"="""&amp;Q101&amp;"""","")&amp;IF(R101&lt;&gt;"",IF(COUNTA($E101:$Q101)&gt;0," OR ","")&amp;'Dashboard Config'!$B$7&amp;"="""&amp;R101&amp;"""","")&amp;IF(S101&lt;&gt;"",IF(COUNTA($E101:$R101)&gt;0," OR ","")&amp;'Dashboard Config'!$B$7&amp;"="""&amp;S101&amp;"""","")&amp;IF(T101&lt;&gt;"",IF(COUNTA($E101:$S101)&gt;0," OR ","")&amp;'Dashboard Config'!$B$7&amp;"="""&amp;T101&amp;"""","")&amp;IF(U101&lt;&gt;"",IF(COUNTA($E101:$T101)&gt;0," OR ","")&amp;'Dashboard Config'!$B$7&amp;"="""&amp;U101&amp;"""","")&amp;IF(V101&lt;&gt;"",IF(COUNTA($E101:$U101)&gt;0," OR ","")&amp;'Dashboard Config'!$B$7&amp;"="""&amp;V101&amp;"""","")&amp;IF(W101&lt;&gt;"",IF(COUNTA($E101:$V101)&gt;0," OR ","")&amp;'Dashboard Config'!$B$7&amp;"="""&amp;W101&amp;"""","")&amp;IF(X101&lt;&gt;"",IF(COUNTA($E101:$W101)&gt;0," OR ","")&amp;'Dashboard Config'!$B$7&amp;"="""&amp;X101&amp;"""","")&amp;IF(Y101&lt;&gt;"",IF(COUNTA($E101:$X101)&gt;0," OR ","")&amp;'Dashboard Config'!$B$7&amp;"="""&amp;Y101&amp;"""","")&amp;IF(Z101&lt;&gt;"",IF(COUNTA($E101:$Y101)&gt;0," OR ","")&amp;'Dashboard Config'!$B$7&amp;"="""&amp;Z101&amp;"""","")&amp;IF(AA101&lt;&gt;"",IF(COUNTA($E101:$Z101)&gt;0," OR ","")&amp;'Dashboard Config'!$B$7&amp;"="""&amp;AA101&amp;"""","")&amp;IF(AB101&lt;&gt;"",IF(COUNTA($E101:$AA101)&gt;0," OR ","")&amp;'Dashboard Config'!$B$7&amp;"="""&amp;AB101&amp;"""","")&amp;IF(AC101&lt;&gt;"",IF(COUNTA($E101:$AB101)&gt;0," OR ","")&amp;AC101,"")&amp;")")</x:f>
      </x:c>
      <x:c r="AE101" s="48" t="str">
        <x:f>IF($AD101="","",CHAR(123)&amp;CHAR(34)&amp;"label"&amp;CHAR(34)&amp;":"&amp;CHAR(34)&amp;$C101&amp;CHAR(34)&amp;","&amp;CHAR(34)&amp;"value"&amp;CHAR(34)&amp;":"&amp;CHAR(34)&amp;SUBSTITUTE($AD101,CHAR(34),CHAR(92)&amp;CHAR(34))&amp;CHAR(34)&amp;CHAR(125))</x:f>
      </x:c>
      <x:c r="AF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  <x:c r="AA102" s="42"/>
      <x:c r="AB102" s="42"/>
      <x:c r="AC102" s="42"/>
      <x:c r="AD102" s="48" t="str">
        <x:f>IF(OR($A102&lt;&gt;"Yes",$C102="",COUNTA($E102:$AC102)=0),"","("&amp;IF(E102&lt;&gt;"",'Dashboard Config'!$B$6&amp;"="""&amp;E102&amp;"""","")&amp;IF(F102&lt;&gt;"",IF(COUNTA($E102:$E102)&gt;0," OR ","")&amp;'Dashboard Config'!$B$6&amp;"="""&amp;F102&amp;"""","")&amp;IF(G102&lt;&gt;"",IF(COUNTA($E102:$F102)&gt;0," OR ","")&amp;'Dashboard Config'!$B$6&amp;"="""&amp;G102&amp;"""","")&amp;IF(H102&lt;&gt;"",IF(COUNTA($E102:$G102)&gt;0," OR ","")&amp;'Dashboard Config'!$B$6&amp;"="""&amp;H102&amp;"""","")&amp;IF(I102&lt;&gt;"",IF(COUNTA($E102:$H102)&gt;0," OR ","")&amp;'Dashboard Config'!$B$6&amp;"="""&amp;I102&amp;"""","")&amp;IF(J102&lt;&gt;"",IF(COUNTA($E102:$I102)&gt;0," OR ","")&amp;'Dashboard Config'!$B$6&amp;"="""&amp;J102&amp;"""","")&amp;IF(K102&lt;&gt;"",IF(COUNTA($E102:$J102)&gt;0," OR ","")&amp;'Dashboard Config'!$B$6&amp;"="""&amp;K102&amp;"""","")&amp;IF(L102&lt;&gt;"",IF(COUNTA($E102:$K102)&gt;0," OR ","")&amp;'Dashboard Config'!$B$6&amp;"="""&amp;L102&amp;"""","")&amp;IF(M102&lt;&gt;"",IF(COUNTA($E102:$L102)&gt;0," OR ","")&amp;'Dashboard Config'!$B$7&amp;"="""&amp;M102&amp;"""","")&amp;IF(N102&lt;&gt;"",IF(COUNTA($E102:$M102)&gt;0," OR ","")&amp;'Dashboard Config'!$B$7&amp;"="""&amp;N102&amp;"""","")&amp;IF(O102&lt;&gt;"",IF(COUNTA($E102:$N102)&gt;0," OR ","")&amp;'Dashboard Config'!$B$7&amp;"="""&amp;O102&amp;"""","")&amp;IF(P102&lt;&gt;"",IF(COUNTA($E102:$O102)&gt;0," OR ","")&amp;'Dashboard Config'!$B$7&amp;"="""&amp;P102&amp;"""","")&amp;IF(Q102&lt;&gt;"",IF(COUNTA($E102:$P102)&gt;0," OR ","")&amp;'Dashboard Config'!$B$7&amp;"="""&amp;Q102&amp;"""","")&amp;IF(R102&lt;&gt;"",IF(COUNTA($E102:$Q102)&gt;0," OR ","")&amp;'Dashboard Config'!$B$7&amp;"="""&amp;R102&amp;"""","")&amp;IF(S102&lt;&gt;"",IF(COUNTA($E102:$R102)&gt;0," OR ","")&amp;'Dashboard Config'!$B$7&amp;"="""&amp;S102&amp;"""","")&amp;IF(T102&lt;&gt;"",IF(COUNTA($E102:$S102)&gt;0," OR ","")&amp;'Dashboard Config'!$B$7&amp;"="""&amp;T102&amp;"""","")&amp;IF(U102&lt;&gt;"",IF(COUNTA($E102:$T102)&gt;0," OR ","")&amp;'Dashboard Config'!$B$7&amp;"="""&amp;U102&amp;"""","")&amp;IF(V102&lt;&gt;"",IF(COUNTA($E102:$U102)&gt;0," OR ","")&amp;'Dashboard Config'!$B$7&amp;"="""&amp;V102&amp;"""","")&amp;IF(W102&lt;&gt;"",IF(COUNTA($E102:$V102)&gt;0," OR ","")&amp;'Dashboard Config'!$B$7&amp;"="""&amp;W102&amp;"""","")&amp;IF(X102&lt;&gt;"",IF(COUNTA($E102:$W102)&gt;0," OR ","")&amp;'Dashboard Config'!$B$7&amp;"="""&amp;X102&amp;"""","")&amp;IF(Y102&lt;&gt;"",IF(COUNTA($E102:$X102)&gt;0," OR ","")&amp;'Dashboard Config'!$B$7&amp;"="""&amp;Y102&amp;"""","")&amp;IF(Z102&lt;&gt;"",IF(COUNTA($E102:$Y102)&gt;0," OR ","")&amp;'Dashboard Config'!$B$7&amp;"="""&amp;Z102&amp;"""","")&amp;IF(AA102&lt;&gt;"",IF(COUNTA($E102:$Z102)&gt;0," OR ","")&amp;'Dashboard Config'!$B$7&amp;"="""&amp;AA102&amp;"""","")&amp;IF(AB102&lt;&gt;"",IF(COUNTA($E102:$AA102)&gt;0," OR ","")&amp;'Dashboard Config'!$B$7&amp;"="""&amp;AB102&amp;"""","")&amp;IF(AC102&lt;&gt;"",IF(COUNTA($E102:$AB102)&gt;0," OR ","")&amp;AC102,"")&amp;")")</x:f>
      </x:c>
      <x:c r="AE102" s="48" t="str">
        <x:f>IF($AD102="","",CHAR(123)&amp;CHAR(34)&amp;"label"&amp;CHAR(34)&amp;":"&amp;CHAR(34)&amp;$C102&amp;CHAR(34)&amp;","&amp;CHAR(34)&amp;"value"&amp;CHAR(34)&amp;":"&amp;CHAR(34)&amp;SUBSTITUTE($AD102,CHAR(34),CHAR(92)&amp;CHAR(34))&amp;CHAR(34)&amp;CHAR(125))</x:f>
      </x:c>
      <x:c r="AF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  <x:c r="AA103" s="42"/>
      <x:c r="AB103" s="42"/>
      <x:c r="AC103" s="42"/>
      <x:c r="AD103" s="48" t="str">
        <x:f>IF(OR($A103&lt;&gt;"Yes",$C103="",COUNTA($E103:$AC103)=0),"","("&amp;IF(E103&lt;&gt;"",'Dashboard Config'!$B$6&amp;"="""&amp;E103&amp;"""","")&amp;IF(F103&lt;&gt;"",IF(COUNTA($E103:$E103)&gt;0," OR ","")&amp;'Dashboard Config'!$B$6&amp;"="""&amp;F103&amp;"""","")&amp;IF(G103&lt;&gt;"",IF(COUNTA($E103:$F103)&gt;0," OR ","")&amp;'Dashboard Config'!$B$6&amp;"="""&amp;G103&amp;"""","")&amp;IF(H103&lt;&gt;"",IF(COUNTA($E103:$G103)&gt;0," OR ","")&amp;'Dashboard Config'!$B$6&amp;"="""&amp;H103&amp;"""","")&amp;IF(I103&lt;&gt;"",IF(COUNTA($E103:$H103)&gt;0," OR ","")&amp;'Dashboard Config'!$B$6&amp;"="""&amp;I103&amp;"""","")&amp;IF(J103&lt;&gt;"",IF(COUNTA($E103:$I103)&gt;0," OR ","")&amp;'Dashboard Config'!$B$6&amp;"="""&amp;J103&amp;"""","")&amp;IF(K103&lt;&gt;"",IF(COUNTA($E103:$J103)&gt;0," OR ","")&amp;'Dashboard Config'!$B$6&amp;"="""&amp;K103&amp;"""","")&amp;IF(L103&lt;&gt;"",IF(COUNTA($E103:$K103)&gt;0," OR ","")&amp;'Dashboard Config'!$B$6&amp;"="""&amp;L103&amp;"""","")&amp;IF(M103&lt;&gt;"",IF(COUNTA($E103:$L103)&gt;0," OR ","")&amp;'Dashboard Config'!$B$7&amp;"="""&amp;M103&amp;"""","")&amp;IF(N103&lt;&gt;"",IF(COUNTA($E103:$M103)&gt;0," OR ","")&amp;'Dashboard Config'!$B$7&amp;"="""&amp;N103&amp;"""","")&amp;IF(O103&lt;&gt;"",IF(COUNTA($E103:$N103)&gt;0," OR ","")&amp;'Dashboard Config'!$B$7&amp;"="""&amp;O103&amp;"""","")&amp;IF(P103&lt;&gt;"",IF(COUNTA($E103:$O103)&gt;0," OR ","")&amp;'Dashboard Config'!$B$7&amp;"="""&amp;P103&amp;"""","")&amp;IF(Q103&lt;&gt;"",IF(COUNTA($E103:$P103)&gt;0," OR ","")&amp;'Dashboard Config'!$B$7&amp;"="""&amp;Q103&amp;"""","")&amp;IF(R103&lt;&gt;"",IF(COUNTA($E103:$Q103)&gt;0," OR ","")&amp;'Dashboard Config'!$B$7&amp;"="""&amp;R103&amp;"""","")&amp;IF(S103&lt;&gt;"",IF(COUNTA($E103:$R103)&gt;0," OR ","")&amp;'Dashboard Config'!$B$7&amp;"="""&amp;S103&amp;"""","")&amp;IF(T103&lt;&gt;"",IF(COUNTA($E103:$S103)&gt;0," OR ","")&amp;'Dashboard Config'!$B$7&amp;"="""&amp;T103&amp;"""","")&amp;IF(U103&lt;&gt;"",IF(COUNTA($E103:$T103)&gt;0," OR ","")&amp;'Dashboard Config'!$B$7&amp;"="""&amp;U103&amp;"""","")&amp;IF(V103&lt;&gt;"",IF(COUNTA($E103:$U103)&gt;0," OR ","")&amp;'Dashboard Config'!$B$7&amp;"="""&amp;V103&amp;"""","")&amp;IF(W103&lt;&gt;"",IF(COUNTA($E103:$V103)&gt;0," OR ","")&amp;'Dashboard Config'!$B$7&amp;"="""&amp;W103&amp;"""","")&amp;IF(X103&lt;&gt;"",IF(COUNTA($E103:$W103)&gt;0," OR ","")&amp;'Dashboard Config'!$B$7&amp;"="""&amp;X103&amp;"""","")&amp;IF(Y103&lt;&gt;"",IF(COUNTA($E103:$X103)&gt;0," OR ","")&amp;'Dashboard Config'!$B$7&amp;"="""&amp;Y103&amp;"""","")&amp;IF(Z103&lt;&gt;"",IF(COUNTA($E103:$Y103)&gt;0," OR ","")&amp;'Dashboard Config'!$B$7&amp;"="""&amp;Z103&amp;"""","")&amp;IF(AA103&lt;&gt;"",IF(COUNTA($E103:$Z103)&gt;0," OR ","")&amp;'Dashboard Config'!$B$7&amp;"="""&amp;AA103&amp;"""","")&amp;IF(AB103&lt;&gt;"",IF(COUNTA($E103:$AA103)&gt;0," OR ","")&amp;'Dashboard Config'!$B$7&amp;"="""&amp;AB103&amp;"""","")&amp;IF(AC103&lt;&gt;"",IF(COUNTA($E103:$AB103)&gt;0," OR ","")&amp;AC103,"")&amp;")")</x:f>
      </x:c>
      <x:c r="AE103" s="48" t="str">
        <x:f>IF($AD103="","",CHAR(123)&amp;CHAR(34)&amp;"label"&amp;CHAR(34)&amp;":"&amp;CHAR(34)&amp;$C103&amp;CHAR(34)&amp;","&amp;CHAR(34)&amp;"value"&amp;CHAR(34)&amp;":"&amp;CHAR(34)&amp;SUBSTITUTE($AD103,CHAR(34),CHAR(92)&amp;CHAR(34))&amp;CHAR(34)&amp;CHAR(125))</x:f>
      </x:c>
      <x:c r="AF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  <x:c r="AA104" s="42"/>
      <x:c r="AB104" s="42"/>
      <x:c r="AC104" s="42"/>
      <x:c r="AD104" s="48" t="str">
        <x:f>IF(OR($A104&lt;&gt;"Yes",$C104="",COUNTA($E104:$AC104)=0),"","("&amp;IF(E104&lt;&gt;"",'Dashboard Config'!$B$6&amp;"="""&amp;E104&amp;"""","")&amp;IF(F104&lt;&gt;"",IF(COUNTA($E104:$E104)&gt;0," OR ","")&amp;'Dashboard Config'!$B$6&amp;"="""&amp;F104&amp;"""","")&amp;IF(G104&lt;&gt;"",IF(COUNTA($E104:$F104)&gt;0," OR ","")&amp;'Dashboard Config'!$B$6&amp;"="""&amp;G104&amp;"""","")&amp;IF(H104&lt;&gt;"",IF(COUNTA($E104:$G104)&gt;0," OR ","")&amp;'Dashboard Config'!$B$6&amp;"="""&amp;H104&amp;"""","")&amp;IF(I104&lt;&gt;"",IF(COUNTA($E104:$H104)&gt;0," OR ","")&amp;'Dashboard Config'!$B$6&amp;"="""&amp;I104&amp;"""","")&amp;IF(J104&lt;&gt;"",IF(COUNTA($E104:$I104)&gt;0," OR ","")&amp;'Dashboard Config'!$B$6&amp;"="""&amp;J104&amp;"""","")&amp;IF(K104&lt;&gt;"",IF(COUNTA($E104:$J104)&gt;0," OR ","")&amp;'Dashboard Config'!$B$6&amp;"="""&amp;K104&amp;"""","")&amp;IF(L104&lt;&gt;"",IF(COUNTA($E104:$K104)&gt;0," OR ","")&amp;'Dashboard Config'!$B$6&amp;"="""&amp;L104&amp;"""","")&amp;IF(M104&lt;&gt;"",IF(COUNTA($E104:$L104)&gt;0," OR ","")&amp;'Dashboard Config'!$B$7&amp;"="""&amp;M104&amp;"""","")&amp;IF(N104&lt;&gt;"",IF(COUNTA($E104:$M104)&gt;0," OR ","")&amp;'Dashboard Config'!$B$7&amp;"="""&amp;N104&amp;"""","")&amp;IF(O104&lt;&gt;"",IF(COUNTA($E104:$N104)&gt;0," OR ","")&amp;'Dashboard Config'!$B$7&amp;"="""&amp;O104&amp;"""","")&amp;IF(P104&lt;&gt;"",IF(COUNTA($E104:$O104)&gt;0," OR ","")&amp;'Dashboard Config'!$B$7&amp;"="""&amp;P104&amp;"""","")&amp;IF(Q104&lt;&gt;"",IF(COUNTA($E104:$P104)&gt;0," OR ","")&amp;'Dashboard Config'!$B$7&amp;"="""&amp;Q104&amp;"""","")&amp;IF(R104&lt;&gt;"",IF(COUNTA($E104:$Q104)&gt;0," OR ","")&amp;'Dashboard Config'!$B$7&amp;"="""&amp;R104&amp;"""","")&amp;IF(S104&lt;&gt;"",IF(COUNTA($E104:$R104)&gt;0," OR ","")&amp;'Dashboard Config'!$B$7&amp;"="""&amp;S104&amp;"""","")&amp;IF(T104&lt;&gt;"",IF(COUNTA($E104:$S104)&gt;0," OR ","")&amp;'Dashboard Config'!$B$7&amp;"="""&amp;T104&amp;"""","")&amp;IF(U104&lt;&gt;"",IF(COUNTA($E104:$T104)&gt;0," OR ","")&amp;'Dashboard Config'!$B$7&amp;"="""&amp;U104&amp;"""","")&amp;IF(V104&lt;&gt;"",IF(COUNTA($E104:$U104)&gt;0," OR ","")&amp;'Dashboard Config'!$B$7&amp;"="""&amp;V104&amp;"""","")&amp;IF(W104&lt;&gt;"",IF(COUNTA($E104:$V104)&gt;0," OR ","")&amp;'Dashboard Config'!$B$7&amp;"="""&amp;W104&amp;"""","")&amp;IF(X104&lt;&gt;"",IF(COUNTA($E104:$W104)&gt;0," OR ","")&amp;'Dashboard Config'!$B$7&amp;"="""&amp;X104&amp;"""","")&amp;IF(Y104&lt;&gt;"",IF(COUNTA($E104:$X104)&gt;0," OR ","")&amp;'Dashboard Config'!$B$7&amp;"="""&amp;Y104&amp;"""","")&amp;IF(Z104&lt;&gt;"",IF(COUNTA($E104:$Y104)&gt;0," OR ","")&amp;'Dashboard Config'!$B$7&amp;"="""&amp;Z104&amp;"""","")&amp;IF(AA104&lt;&gt;"",IF(COUNTA($E104:$Z104)&gt;0," OR ","")&amp;'Dashboard Config'!$B$7&amp;"="""&amp;AA104&amp;"""","")&amp;IF(AB104&lt;&gt;"",IF(COUNTA($E104:$AA104)&gt;0," OR ","")&amp;'Dashboard Config'!$B$7&amp;"="""&amp;AB104&amp;"""","")&amp;IF(AC104&lt;&gt;"",IF(COUNTA($E104:$AB104)&gt;0," OR ","")&amp;AC104,"")&amp;")")</x:f>
      </x:c>
      <x:c r="AE104" s="48" t="str">
        <x:f>IF($AD104="","",CHAR(123)&amp;CHAR(34)&amp;"label"&amp;CHAR(34)&amp;":"&amp;CHAR(34)&amp;$C104&amp;CHAR(34)&amp;","&amp;CHAR(34)&amp;"value"&amp;CHAR(34)&amp;":"&amp;CHAR(34)&amp;SUBSTITUTE($AD104,CHAR(34),CHAR(92)&amp;CHAR(34))&amp;CHAR(34)&amp;CHAR(125))</x:f>
      </x:c>
      <x:c r="AF104" s="42"/>
    </x:row>
  </x:sheetData>
  <x:mergeCells>
    <x:mergeCell ref="A1:AF1"/>
    <x:mergeCell ref="A2:AF2"/>
    <x:mergeCell ref="A1:F1"/>
    <x:mergeCell ref="A2:F2"/>
  </x:mergeCells>
  <x:conditionalFormatting sqref="A5:A104">
    <x:cfRule type="expression" dxfId="0" priority="1">
      <x:formula>A5="Yes"</x:formula>
    </x:cfRule>
  </x:conditionalFormatting>
  <x:dataValidations count="1">
    <x:dataValidation type="list" sqref="A5:A10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NOC dropdown choices — static fallback / validation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network_dashboard_scope.csv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Label</x:v>
      </x:c>
      <x:c r="B6" s="76" t="str">
        <x:v>Value passed to $noc$</x:v>
      </x:c>
      <x:c r="C6" s="76" t="str">
        <x:v>NOC ID</x:v>
      </x:c>
      <x:c r="D6" s="76" t="str">
        <x:v>Static item snippet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ds_input_noc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f>IF(NOCs!$A$5&lt;&gt;"Yes","",NOCs!$C$5)</x:f>
        <x:v>Current / Sample NOC</x:v>
      </x:c>
      <x:c r="B7" s="48" t="str">
        <x:f>IF(NOCs!$A$5&lt;&gt;"Yes","",NOCs!$B$5)</x:f>
        <x:v>NOC_CURRENT</x:v>
      </x:c>
      <x:c r="C7" s="48" t="str">
        <x:f>IF(NOCs!$A$5&lt;&gt;"Yes","",NOCs!$B$5)</x:f>
        <x:v>NOC_CURRENT</x:v>
      </x:c>
      <x:c r="D7" s="48" t="str">
        <x:f>IF(NOCs!$A$5&lt;&gt;"Yes","",NOCs!$F$5)</x:f>
        <x:v>{"label":"Current / Sample NOC","value":"NOC_CURRENT"}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network_dashboard_scope.csv
| where len(noc_id)&gt;0
| stats first(noc_label) as label by noc_id
| rename noc_id as value
| sort 0 label
| table label value</x:v>
      </x:c>
      <x:c r="N7" s="24" t="str">
        <x:f>"$"&amp;'Dashboard Config'!$B$10&amp;"$"</x:f>
        <x:v>$noc$</x:v>
      </x:c>
      <x:c r="O7" s="24" t="str">
        <x:f>'Dashboard Config'!$E$5</x:f>
        <x:v>ds_input_noc</x:v>
      </x:c>
      <x:c r="P7" s="24"/>
      <x:c r="Q7" s="24" t="str">
        <x:v>Returns label/value pairs for enabled NOCs.</x:v>
      </x:c>
    </x:row>
    <x:row r="8">
      <x:c r="A8" s="48" t="str">
        <x:f>IF(NOCs!$A$6&lt;&gt;"Yes","",NOCs!$C$6)</x:f>
      </x:c>
      <x:c r="B8" s="48" t="str">
        <x:f>IF(NOCs!$A$6&lt;&gt;"Yes","",NOCs!$B$6)</x:f>
      </x:c>
      <x:c r="C8" s="48" t="str">
        <x:f>IF(NOCs!$A$6&lt;&gt;"Yes","",NOCs!$B$6)</x:f>
      </x:c>
      <x:c r="D8" s="48" t="str">
        <x:f>IF(NOCs!$A$6&lt;&gt;"Yes","",NOCs!$F$6)</x:f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ds_input_location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f>IF(NOCs!$A$7&lt;&gt;"Yes","",NOCs!$C$7)</x:f>
      </x:c>
      <x:c r="B9" s="48" t="str">
        <x:f>IF(NOCs!$A$7&lt;&gt;"Yes","",NOCs!$B$7)</x:f>
      </x:c>
      <x:c r="C9" s="48" t="str">
        <x:f>IF(NOCs!$A$7&lt;&gt;"Yes","",NOCs!$B$7)</x:f>
      </x:c>
      <x:c r="D9" s="48" t="str">
        <x:f>IF(NOCs!$A$7&lt;&gt;"Yes","",NOCs!$F$7)</x:f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v>| inputlookup network_dashboard_scope.csv
| search noc_id="$noc$" record_type="LOCATION"
| sort 0 scope_sort scope_label
| rename scope_label as label scope_value as value
| table label value location_id</x:v>
      </x:c>
      <x:c r="N9" s="24" t="str">
        <x:v>$scope$</x:v>
      </x:c>
      <x:c r="O9" s="24" t="str">
        <x:v>ds_input_location</x:v>
      </x:c>
      <x:c r="P9" s="24" t="str">
        <x:v>isCascadingInput=true</x:v>
      </x:c>
      <x:c r="Q9" s="24" t="str">
        <x:v>Filters to child Locations owned by the selected NOC.</x:v>
      </x:c>
    </x:row>
    <x:row r="10">
      <x:c r="A10" s="48" t="str">
        <x:f>IF(NOCs!$A$8&lt;&gt;"Yes","",NOCs!$C$8)</x:f>
      </x:c>
      <x:c r="B10" s="48" t="str">
        <x:f>IF(NOCs!$A$8&lt;&gt;"Yes","",NOCs!$B$8)</x:f>
      </x:c>
      <x:c r="C10" s="48" t="str">
        <x:f>IF(NOCs!$A$8&lt;&gt;"Yes","",NOCs!$B$8)</x:f>
      </x:c>
      <x:c r="D10" s="48" t="str">
        <x:f>IF(NOCs!$A$8&lt;&gt;"Yes","",NOCs!$F$8)</x:f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 t="str">
        <x:f>IF(NOCs!$A$9&lt;&gt;"Yes","",NOCs!$C$9)</x:f>
      </x:c>
      <x:c r="B11" s="48" t="str">
        <x:f>IF(NOCs!$A$9&lt;&gt;"Yes","",NOCs!$B$9)</x:f>
      </x:c>
      <x:c r="C11" s="48" t="str">
        <x:f>IF(NOCs!$A$9&lt;&gt;"Yes","",NOCs!$B$9)</x:f>
      </x:c>
      <x:c r="D11" s="48" t="str">
        <x:f>IF(NOCs!$A$9&lt;&gt;"Yes","",NOCs!$F$9)</x:f>
      </x:c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 t="str">
        <x:f>IF(NOCs!$A$10&lt;&gt;"Yes","",NOCs!$C$10)</x:f>
      </x:c>
      <x:c r="B12" s="48" t="str">
        <x:f>IF(NOCs!$A$10&lt;&gt;"Yes","",NOCs!$B$10)</x:f>
      </x:c>
      <x:c r="C12" s="48" t="str">
        <x:f>IF(NOCs!$A$10&lt;&gt;"Yes","",NOCs!$B$10)</x:f>
      </x:c>
      <x:c r="D12" s="48" t="str">
        <x:f>IF(NOCs!$A$10&lt;&gt;"Yes","",NOCs!$F$10)</x:f>
      </x:c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 t="str">
        <x:f>IF(NOCs!$A$11&lt;&gt;"Yes","",NOCs!$C$11)</x:f>
      </x:c>
      <x:c r="B13" s="48" t="str">
        <x:f>IF(NOCs!$A$11&lt;&gt;"Yes","",NOCs!$B$11)</x:f>
      </x:c>
      <x:c r="C13" s="48" t="str">
        <x:f>IF(NOCs!$A$11&lt;&gt;"Yes","",NOCs!$B$11)</x:f>
      </x:c>
      <x:c r="D13" s="48" t="str">
        <x:f>IF(NOCs!$A$11&lt;&gt;"Yes","",NOCs!$F$11)</x:f>
      </x:c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 t="str">
        <x:f>IF(NOCs!$A$12&lt;&gt;"Yes","",NOCs!$C$12)</x:f>
      </x:c>
      <x:c r="B14" s="48" t="str">
        <x:f>IF(NOCs!$A$12&lt;&gt;"Yes","",NOCs!$B$12)</x:f>
      </x:c>
      <x:c r="C14" s="48" t="str">
        <x:f>IF(NOCs!$A$12&lt;&gt;"Yes","",NOCs!$B$12)</x:f>
      </x:c>
      <x:c r="D14" s="48" t="str">
        <x:f>IF(NOCs!$A$12&lt;&gt;"Yes","",NOCs!$F$12)</x:f>
      </x:c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 t="str">
        <x:f>IF(NOCs!$A$13&lt;&gt;"Yes","",NOCs!$C$13)</x:f>
      </x:c>
      <x:c r="B15" s="48" t="str">
        <x:f>IF(NOCs!$A$13&lt;&gt;"Yes","",NOCs!$B$13)</x:f>
      </x:c>
      <x:c r="C15" s="48" t="str">
        <x:f>IF(NOCs!$A$13&lt;&gt;"Yes","",NOCs!$B$13)</x:f>
      </x:c>
      <x:c r="D15" s="48" t="str">
        <x:f>IF(NOCs!$A$13&lt;&gt;"Yes","",NOCs!$F$13)</x:f>
      </x:c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IF(OR($E$6="",$B$7=""),"",IFERROR(INDEX(Locations!$C$5:$C$64,MATCH($E$6&amp;"|"&amp;$B$7,Locations!$N$5:$N$64,0)),""))</x:f>
        <x:v>LOC_CURRENT</x:v>
      </x:c>
      <x:c r="F7" s="147" t="str">
        <x:v>The second dropdown only lists enabled Locations assigned to the selected NOC.</x:v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IF(OR($E$6="",$B$7=""),"",IFERROR(INDEX(Locations!$F$5:$F$64,MATCH($E$6&amp;"|"&amp;$B$7,Locations!$N$5:$N$64,0)),""))</x:f>
        <x:v>(host="syr*" OR host="salep*" OR host="144.219.*" OR host="144.221.*")</x:v>
      </x:c>
      <x:c r="F8" s="147" t="str">
        <x:v>Actual SPL scope used in standalone tests.</x:v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Location",IF($E$7="","RESELECT SITE — it is not managed by this NOC",IFERROR(IF(INDEX(Locations!$I$5:$I$64,MATCH($E$7,Locations!$C$5:$C$64,0))="OK","OK","WARNING — "&amp;INDEX(Locations!$I$5:$I$64,MATCH($E$7,Locations!$C$5:$C$64,0))),"LOCATION NOT FOUND"))))</x:f>
        <x:v>OK</x:v>
      </x:c>
      <x:c r="F9" s="147" t="str">
        <x:v>Confirms the Location belongs to the selected NOC.</x:v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</x:row>
    <x:row r="14">
      <x:c r="A14" s="48"/>
      <x:c r="B14" s="48"/>
      <x:c r="C14" s="48"/>
      <x:c r="D14" s="48"/>
      <x:c r="E14" s="48"/>
      <x:c r="F14" s="48"/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</x:row>
    <x:row r="17">
      <x:c r="A17" s="134"/>
      <x:c r="B17" s="134"/>
      <x:c r="C17" s="134"/>
      <x:c r="D17" s="134"/>
      <x:c r="E17" s="134"/>
      <x:c r="F17" s="134"/>
    </x:row>
    <x:row r="18">
      <x:c r="A18" s="134"/>
      <x:c r="B18" s="134"/>
      <x:c r="C18" s="134"/>
      <x:c r="D18" s="134"/>
      <x:c r="E18" s="134"/>
      <x:c r="F18" s="134"/>
    </x:row>
    <x:row r="19">
      <x:c r="A19" s="48"/>
      <x:c r="B19" s="48"/>
      <x:c r="C19" s="48"/>
      <x:c r="D19" s="48"/>
      <x:c r="E19" s="48"/>
      <x:c r="F19" s="48"/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</x:row>
    <x:row r="22">
      <x:c r="A22" s="133"/>
      <x:c r="B22" s="133"/>
      <x:c r="C22" s="133"/>
      <x:c r="D22" s="133"/>
      <x:c r="E22" s="133"/>
      <x:c r="F22" s="133"/>
    </x:row>
    <x:row r="23">
      <x:c r="A23" s="134"/>
      <x:c r="B23" s="134"/>
      <x:c r="C23" s="134"/>
      <x:c r="D23" s="134"/>
      <x:c r="E23" s="134"/>
      <x:c r="F23" s="134"/>
    </x:row>
    <x:row r="24">
      <x:c r="A24" s="134"/>
      <x:c r="B24" s="134"/>
      <x:c r="C24" s="134"/>
      <x:c r="D24" s="134"/>
      <x:c r="E24" s="134"/>
      <x:c r="F24" s="134"/>
    </x:row>
    <x:row r="25">
      <x:c r="A25" s="134"/>
      <x:c r="B25" s="134"/>
      <x:c r="C25" s="134"/>
      <x:c r="D25" s="134"/>
      <x:c r="E25" s="134"/>
      <x:c r="F25" s="134"/>
    </x:row>
    <x:row r="26">
      <x:c r="A26" s="48"/>
      <x:c r="B26" s="48"/>
      <x:c r="C26" s="48"/>
      <x:c r="D26" s="48"/>
      <x:c r="E26" s="48"/>
      <x:c r="F26" s="48"/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</x:row>
    <x:row r="29">
      <x:c r="A29" s="134"/>
      <x:c r="B29" s="134"/>
      <x:c r="C29" s="134"/>
      <x:c r="D29" s="134"/>
      <x:c r="E29" s="134"/>
      <x:c r="F29" s="134"/>
    </x:row>
    <x:row r="30">
      <x:c r="A30" s="134"/>
      <x:c r="B30" s="134"/>
      <x:c r="C30" s="134"/>
      <x:c r="D30" s="134"/>
      <x:c r="E30" s="134"/>
      <x:c r="F30" s="134"/>
    </x:row>
    <x:row r="31">
      <x:c r="A31" s="134"/>
      <x:c r="B31" s="134"/>
      <x:c r="C31" s="134"/>
      <x:c r="D31" s="134"/>
      <x:c r="E31" s="134"/>
      <x:c r="F31" s="134"/>
    </x:row>
    <x:row r="32">
      <x:c r="A32" s="48"/>
      <x:c r="B32" s="48"/>
      <x:c r="C32" s="48"/>
      <x:c r="D32" s="48"/>
      <x:c r="E32" s="48"/>
      <x:c r="F32" s="48"/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</x:row>
    <x:row r="35">
      <x:c r="A35" s="134"/>
      <x:c r="B35" s="134"/>
      <x:c r="C35" s="134"/>
      <x:c r="D35" s="134"/>
      <x:c r="E35" s="134"/>
      <x:c r="F35" s="134"/>
    </x:row>
    <x:row r="36">
      <x:c r="A36" s="134"/>
      <x:c r="B36" s="134"/>
      <x:c r="C36" s="134"/>
      <x:c r="D36" s="134"/>
      <x:c r="E36" s="134"/>
      <x:c r="F36" s="134"/>
    </x:row>
    <x:row r="37">
      <x:c r="A37" s="134"/>
      <x:c r="B37" s="134"/>
      <x:c r="C37" s="134"/>
      <x:c r="D37" s="134"/>
      <x:c r="E37" s="134"/>
      <x:c r="F37" s="134"/>
    </x:row>
    <x:row r="38">
      <x:c r="A38" s="48"/>
      <x:c r="B38" s="48"/>
      <x:c r="C38" s="48"/>
      <x:c r="D38" s="48"/>
      <x:c r="E38" s="48"/>
      <x:c r="F38" s="48"/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</x:row>
    <x:row r="41">
      <x:c r="A41" s="134"/>
      <x:c r="B41" s="134"/>
      <x:c r="C41" s="134"/>
      <x:c r="D41" s="134"/>
      <x:c r="E41" s="134"/>
      <x:c r="F41" s="134"/>
    </x:row>
    <x:row r="42">
      <x:c r="A42" s="133"/>
      <x:c r="B42" s="133"/>
      <x:c r="C42" s="133"/>
      <x:c r="D42" s="133"/>
      <x:c r="E42" s="133"/>
      <x:c r="F42" s="133"/>
    </x:row>
    <x:row r="43">
      <x:c r="A43" s="134"/>
      <x:c r="B43" s="134"/>
      <x:c r="C43" s="134"/>
      <x:c r="D43" s="134"/>
      <x:c r="E43" s="134"/>
      <x:c r="F43" s="134"/>
    </x:row>
    <x:row r="44">
      <x:c r="A44" s="134"/>
      <x:c r="B44" s="134"/>
      <x:c r="C44" s="134"/>
      <x:c r="D44" s="134"/>
      <x:c r="E44" s="134"/>
      <x:c r="F44" s="134"/>
    </x:row>
    <x:row r="45">
      <x:c r="A45" s="134"/>
      <x:c r="B45" s="134"/>
      <x:c r="C45" s="134"/>
      <x:c r="D45" s="134"/>
      <x:c r="E45" s="134"/>
      <x:c r="F45" s="134"/>
    </x:row>
    <x:row r="46">
      <x:c r="A46" s="134"/>
      <x:c r="B46" s="134"/>
      <x:c r="C46" s="134"/>
      <x:c r="D46" s="134"/>
      <x:c r="E46" s="134"/>
      <x:c r="F46" s="134"/>
    </x:row>
    <x:row r="47">
      <x:c r="A47" s="48"/>
      <x:c r="B47" s="48"/>
      <x:c r="C47" s="48"/>
      <x:c r="D47" s="48"/>
      <x:c r="E47" s="48"/>
      <x:c r="F47" s="48"/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</x:row>
    <x:row r="50">
      <x:c r="A50" s="137"/>
      <x:c r="B50" s="137"/>
      <x:c r="C50" s="137"/>
      <x:c r="D50" s="137"/>
      <x:c r="E50" s="137"/>
      <x:c r="F50" s="137"/>
    </x:row>
    <x:row r="51">
      <x:c r="A51" s="138"/>
      <x:c r="B51" s="138"/>
      <x:c r="C51" s="138"/>
      <x:c r="D51" s="138"/>
      <x:c r="E51" s="138"/>
      <x:c r="F51" s="138"/>
    </x:row>
    <x:row r="52">
      <x:c r="A52" s="138"/>
      <x:c r="B52" s="138"/>
      <x:c r="C52" s="138"/>
      <x:c r="D52" s="138"/>
      <x:c r="E52" s="138"/>
      <x:c r="F52" s="138"/>
    </x:row>
    <x:row r="53">
      <x:c r="A53" s="134"/>
      <x:c r="B53" s="134"/>
      <x:c r="C53" s="134"/>
      <x:c r="D53" s="134"/>
      <x:c r="E53" s="134"/>
      <x:c r="F53" s="134"/>
    </x:row>
    <x:row r="54">
      <x:c r="A54" s="134"/>
      <x:c r="B54" s="134"/>
      <x:c r="C54" s="134"/>
      <x:c r="D54" s="134"/>
      <x:c r="E54" s="134"/>
      <x:c r="F54" s="134"/>
    </x:row>
    <x:row r="55">
      <x:c r="A55" s="134"/>
      <x:c r="B55" s="134"/>
      <x:c r="C55" s="134"/>
      <x:c r="D55" s="134"/>
      <x:c r="E55" s="134"/>
      <x:c r="F55" s="134"/>
    </x:row>
    <x:row r="56">
      <x:c r="A56" s="24"/>
      <x:c r="B56" s="24"/>
      <x:c r="C56" s="24"/>
      <x:c r="D56" s="24"/>
      <x:c r="E56" s="24"/>
      <x:c r="F56" s="24"/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</x:row>
    <x:row r="59">
      <x:c r="A59" s="138"/>
      <x:c r="B59" s="138"/>
      <x:c r="C59" s="138"/>
      <x:c r="D59" s="138"/>
      <x:c r="E59" s="138"/>
      <x:c r="F59" s="138"/>
    </x:row>
    <x:row r="60">
      <x:c r="A60" s="134"/>
      <x:c r="B60" s="134"/>
      <x:c r="C60" s="134"/>
      <x:c r="D60" s="134"/>
      <x:c r="E60" s="134"/>
      <x:c r="F60" s="134"/>
    </x:row>
    <x:row r="61">
      <x:c r="A61" s="134"/>
      <x:c r="B61" s="134"/>
      <x:c r="C61" s="134"/>
      <x:c r="D61" s="134"/>
      <x:c r="E61" s="134"/>
      <x:c r="F61" s="134"/>
    </x:row>
    <x:row r="62">
      <x:c r="A62" s="134"/>
      <x:c r="B62" s="134"/>
      <x:c r="C62" s="134"/>
      <x:c r="D62" s="134"/>
      <x:c r="E62" s="134"/>
      <x:c r="F62" s="134"/>
    </x:row>
    <x:row r="63">
      <x:c r="A63" s="134"/>
      <x:c r="B63" s="134"/>
      <x:c r="C63" s="134"/>
      <x:c r="D63" s="134"/>
      <x:c r="E63" s="134"/>
      <x:c r="F63" s="134"/>
    </x:row>
    <x:row r="64">
      <x:c r="A64" s="24"/>
      <x:c r="B64" s="24"/>
      <x:c r="C64" s="24"/>
      <x:c r="D64" s="24"/>
      <x:c r="E64" s="24"/>
      <x:c r="F64" s="24"/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0" showDropDown="0" sqref="B6">
      <x:formula1>NOCs!$M$5:$M$44</x:formula1>
    </x:dataValidation>
    <x:dataValidation type="list" allowBlank="0" showDropDown="0" sqref="B7">
      <x:formula1>Locations!$P$5:$P$64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24" hidden="0" customWidth="1"/>
    <x:col min="5" max="5" width="52" hidden="0" customWidth="1"/>
    <x:col min="6" max="6" width="40" hidden="0" customWidth="1"/>
    <x:col min="7" max="7" width="48" hidden="0" customWidth="1"/>
    <x:col min="8" max="8" width="14" hidden="0" customWidth="1"/>
    <x:col min="9" max="9" width="22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7" t="str">
        <x:v>NOCs — one row per NOC / dashboard parent scope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71" t="str">
        <x:v>A NOC owns any number of Locations. Adding a location adds a row, not a new dashboard column. Auto Scope remains an aggregate/reference scope, while the live cascading dropdown selects one managed child Location.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>
      <x:c r="A4" s="76" t="str">
        <x:v>Use?</x:v>
      </x:c>
      <x:c r="B4" s="76" t="str">
        <x:v>NOC ID</x:v>
      </x:c>
      <x:c r="C4" s="76" t="str">
        <x:v>Display Name</x:v>
      </x:c>
      <x:c r="D4" s="76" t="str">
        <x:v>Default Location ID (optional)</x:v>
      </x:c>
      <x:c r="E4" s="76" t="str">
        <x:v>Auto Scope</x:v>
      </x:c>
      <x:c r="F4" s="76" t="str">
        <x:v>NOC Input Item</x:v>
      </x:c>
      <x:c r="G4" s="76" t="str">
        <x:v>All Locations Scope Item</x:v>
      </x:c>
      <x:c r="H4" s="76" t="str">
        <x:v>Location Count</x:v>
      </x:c>
      <x:c r="I4" s="76" t="str">
        <x:v>Status</x:v>
      </x:c>
      <x:c r="J4" s="76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List (helper)</x:v>
      </x:c>
    </x:row>
    <x:row r="5">
      <x:c r="A5" s="79" t="str">
        <x:v>Yes</x:v>
      </x:c>
      <x:c r="B5" s="79" t="str">
        <x:v>NOC_CURRENT</x:v>
      </x:c>
      <x:c r="C5" s="79" t="str">
        <x:v>Current / Sample NOC</x:v>
      </x:c>
      <x:c r="D5" s="79" t="str">
        <x:v>LOC_CURRENT</x:v>
      </x:c>
      <x:c r="E5" s="80" t="str">
        <x:f>IF(A5&lt;&gt;"Yes","",IF(H5=0,"","("&amp;XLOOKUP(B5,LocationsTbl[NOC Key (helper)],LocationsTbl[NOC Scope Accumulator (helper)],"",0,-1)&amp;")"))</x:f>
        <x:v>((host="syr*" OR host="salep*" OR host="144.219.*" OR host="144.221.*"))</x:v>
      </x:c>
      <x:c r="F5" s="80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80" t="str">
        <x:f>IF(OR(A5&lt;&gt;"Yes",E5=""),"","{""label"":""All Locations"",""value"":"""&amp;SUBSTITUTE(E5,CHAR(34),"\"&amp;CHAR(34))&amp;"""}")</x:f>
        <x:v>{"label":"All Locations","value":"((host=\"syr*\" OR host=\"salep*\" OR host=\"144.219.*\" OR host=\"144.221.*\"))"}</x:v>
      </x:c>
      <x:c r="H5" s="80" t="n">
        <x:f>IF($B5="","",COUNTIFS(LocationsTbl[Use?],"Yes",LocationsTbl[NOC ID],$B5))</x:f>
        <x:v>1</x:v>
      </x:c>
      <x:c r="I5" s="80" t="str">
        <x:f>IF($A5&lt;&gt;"Yes","Disabled",IF($B5="","Missing NOC ID",IF($C5="","Missing display name",IF(COUNTIF(NOCsTbl[NOC ID],$B5)&gt;1,"Duplicate NOC ID",IF($H5=0,"No enabled locations",IF($E5="","No usable scope","OK"))))))</x:f>
        <x:v>OK</x:v>
      </x:c>
      <x:c r="J5" s="79" t="str">
        <x:v>Seeded from the prior V3 sample. Replace with your real NOC/site naming.</x:v>
      </x:c>
      <x:c r="K5" t="n">
        <x:f>IF($A5="Yes",COUNTIF($A$5:$A5,"Yes"),"")</x:f>
        <x:v>1</x:v>
      </x:c>
      <x:c r="L5" t="str">
        <x:f>IF($K5="","","NOC|"&amp;TEXT($K5,"000"))</x:f>
        <x:v>NOC|001</x:v>
      </x:c>
      <x:c r="M5" t="str">
        <x:f>IFERROR(INDEX($C$5:$C$44,MATCH("NOC|001",$L$5:$L$44,0)),"")</x:f>
        <x:v>Current / Sample NOC</x:v>
      </x:c>
    </x:row>
    <x:row r="6">
      <x:c r="A6" s="79" t="str">
        <x:v>No</x:v>
      </x:c>
      <x:c r="B6" s="79" t="str">
        <x:v>NOC_002</x:v>
      </x:c>
      <x:c r="C6" s="79" t="str">
        <x:v>NOC 002</x:v>
      </x:c>
      <x:c r="D6" s="79"/>
      <x:c r="E6" s="80" t="str">
        <x:f>IF(A6&lt;&gt;"Yes","",IF(H6=0,"","("&amp;XLOOKUP(B6,LocationsTbl[NOC Key (helper)],LocationsTbl[NOC Scope Accumulator (helper)],"",0,-1)&amp;")"))</x:f>
      </x:c>
      <x:c r="F6" s="80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80" t="str">
        <x:f>IF(OR(A6&lt;&gt;"Yes",E6=""),"","{""label"":""All Locations"",""value"":"""&amp;SUBSTITUTE(E6,CHAR(34),"\"&amp;CHAR(34))&amp;"""}")</x:f>
      </x:c>
      <x:c r="H6" s="80" t="n">
        <x:f>IF($B6="","",COUNTIFS(LocationsTbl[Use?],"Yes",LocationsTbl[NOC ID],$B6))</x:f>
        <x:v>0</x:v>
      </x:c>
      <x:c r="I6" s="80" t="str">
        <x:f>IF($A6&lt;&gt;"Yes","Disabled",IF($B6="","Missing NOC ID",IF($C6="","Missing display name",IF(COUNTIF(NOCsTbl[NOC ID],$B6)&gt;1,"Duplicate NOC ID",IF($H6=0,"No enabled locations",IF($E6="","No usable scope","OK"))))))</x:f>
        <x:v>Disabled</x:v>
      </x:c>
      <x:c r="J6" s="79" t="str"/>
      <x:c r="K6" t="str">
        <x:f>IF($A6="Yes",COUNTIF($A$5:$A6,"Yes"),"")</x:f>
      </x:c>
      <x:c r="L6" t="str">
        <x:f>IF($K6="","","NOC|"&amp;TEXT($K6,"000"))</x:f>
      </x:c>
      <x:c r="M6" t="str">
        <x:f>IFERROR(INDEX($C$5:$C$44,MATCH("NOC|002",$L$5:$L$44,0)),"")</x:f>
        <x:v>Current / Sample NOC</x:v>
      </x:c>
    </x:row>
    <x:row r="7">
      <x:c r="A7" s="79" t="str">
        <x:v>No</x:v>
      </x:c>
      <x:c r="B7" s="79" t="str">
        <x:v>NOC_003</x:v>
      </x:c>
      <x:c r="C7" s="79" t="str">
        <x:v>NOC 003</x:v>
      </x:c>
      <x:c r="D7" s="79"/>
      <x:c r="E7" s="80" t="str">
        <x:f>IF(A7&lt;&gt;"Yes","",IF(H7=0,"","("&amp;XLOOKUP(B7,LocationsTbl[NOC Key (helper)],LocationsTbl[NOC Scope Accumulator (helper)],"",0,-1)&amp;")"))</x:f>
      </x:c>
      <x:c r="F7" s="80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80" t="str">
        <x:f>IF(OR(A7&lt;&gt;"Yes",E7=""),"","{""label"":""All Locations"",""value"":"""&amp;SUBSTITUTE(E7,CHAR(34),"\"&amp;CHAR(34))&amp;"""}")</x:f>
      </x:c>
      <x:c r="H7" s="80" t="n">
        <x:f>IF($B7="","",COUNTIFS(LocationsTbl[Use?],"Yes",LocationsTbl[NOC ID],$B7))</x:f>
        <x:v>0</x:v>
      </x:c>
      <x:c r="I7" s="80" t="str">
        <x:f>IF($A7&lt;&gt;"Yes","Disabled",IF($B7="","Missing NOC ID",IF($C7="","Missing display name",IF(COUNTIF(NOCsTbl[NOC ID],$B7)&gt;1,"Duplicate NOC ID",IF($H7=0,"No enabled locations",IF($E7="","No usable scope","OK"))))))</x:f>
        <x:v>Disabled</x:v>
      </x:c>
      <x:c r="J7" s="79" t="str"/>
      <x:c r="K7" t="str">
        <x:f>IF($A7="Yes",COUNTIF($A$5:$A7,"Yes"),"")</x:f>
      </x:c>
      <x:c r="L7" t="str">
        <x:f>IF($K7="","","NOC|"&amp;TEXT($K7,"000"))</x:f>
      </x:c>
      <x:c r="M7" t="str">
        <x:f>IFERROR(INDEX($C$5:$C$44,MATCH("NOC|003",$L$5:$L$44,0)),"")</x:f>
        <x:v>Current / Sample NOC</x:v>
      </x:c>
    </x:row>
    <x:row r="8">
      <x:c r="A8" s="79" t="str">
        <x:v>No</x:v>
      </x:c>
      <x:c r="B8" s="79" t="str">
        <x:v>NOC_004</x:v>
      </x:c>
      <x:c r="C8" s="79" t="str">
        <x:v>NOC 004</x:v>
      </x:c>
      <x:c r="D8" s="79"/>
      <x:c r="E8" s="80" t="str">
        <x:f>IF(A8&lt;&gt;"Yes","",IF(H8=0,"","("&amp;XLOOKUP(B8,LocationsTbl[NOC Key (helper)],LocationsTbl[NOC Scope Accumulator (helper)],"",0,-1)&amp;")"))</x:f>
      </x:c>
      <x:c r="F8" s="80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80" t="str">
        <x:f>IF(OR(A8&lt;&gt;"Yes",E8=""),"","{""label"":""All Locations"",""value"":"""&amp;SUBSTITUTE(E8,CHAR(34),"\"&amp;CHAR(34))&amp;"""}")</x:f>
      </x:c>
      <x:c r="H8" s="80" t="n">
        <x:f>IF($B8="","",COUNTIFS(LocationsTbl[Use?],"Yes",LocationsTbl[NOC ID],$B8))</x:f>
        <x:v>0</x:v>
      </x:c>
      <x:c r="I8" s="80" t="str">
        <x:f>IF($A8&lt;&gt;"Yes","Disabled",IF($B8="","Missing NOC ID",IF($C8="","Missing display name",IF(COUNTIF(NOCsTbl[NOC ID],$B8)&gt;1,"Duplicate NOC ID",IF($H8=0,"No enabled locations",IF($E8="","No usable scope","OK"))))))</x:f>
        <x:v>Disabled</x:v>
      </x:c>
      <x:c r="J8" s="79" t="str"/>
      <x:c r="K8" t="str">
        <x:f>IF($A8="Yes",COUNTIF($A$5:$A8,"Yes"),"")</x:f>
      </x:c>
      <x:c r="L8" t="str">
        <x:f>IF($K8="","","NOC|"&amp;TEXT($K8,"000"))</x:f>
      </x:c>
      <x:c r="M8" t="str">
        <x:f>IFERROR(INDEX($C$5:$C$44,MATCH("NOC|004",$L$5:$L$44,0)),"")</x:f>
        <x:v>Current / Sample NOC</x:v>
      </x:c>
    </x:row>
    <x:row r="9">
      <x:c r="A9" s="79" t="str">
        <x:v>No</x:v>
      </x:c>
      <x:c r="B9" s="79" t="str">
        <x:v>NOC_005</x:v>
      </x:c>
      <x:c r="C9" s="79" t="str">
        <x:v>NOC 005</x:v>
      </x:c>
      <x:c r="D9" s="79"/>
      <x:c r="E9" s="80" t="str">
        <x:f>IF(A9&lt;&gt;"Yes","",IF(H9=0,"","("&amp;XLOOKUP(B9,LocationsTbl[NOC Key (helper)],LocationsTbl[NOC Scope Accumulator (helper)],"",0,-1)&amp;")"))</x:f>
      </x:c>
      <x:c r="F9" s="80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80" t="str">
        <x:f>IF(OR(A9&lt;&gt;"Yes",E9=""),"","{""label"":""All Locations"",""value"":"""&amp;SUBSTITUTE(E9,CHAR(34),"\"&amp;CHAR(34))&amp;"""}")</x:f>
      </x:c>
      <x:c r="H9" s="80" t="n">
        <x:f>IF($B9="","",COUNTIFS(LocationsTbl[Use?],"Yes",LocationsTbl[NOC ID],$B9))</x:f>
        <x:v>0</x:v>
      </x:c>
      <x:c r="I9" s="80" t="str">
        <x:f>IF($A9&lt;&gt;"Yes","Disabled",IF($B9="","Missing NOC ID",IF($C9="","Missing display name",IF(COUNTIF(NOCsTbl[NOC ID],$B9)&gt;1,"Duplicate NOC ID",IF($H9=0,"No enabled locations",IF($E9="","No usable scope","OK"))))))</x:f>
        <x:v>Disabled</x:v>
      </x:c>
      <x:c r="J9" s="79" t="str"/>
      <x:c r="K9" t="str">
        <x:f>IF($A9="Yes",COUNTIF($A$5:$A9,"Yes"),"")</x:f>
      </x:c>
      <x:c r="L9" t="str">
        <x:f>IF($K9="","","NOC|"&amp;TEXT($K9,"000"))</x:f>
      </x:c>
      <x:c r="M9" t="str">
        <x:f>IFERROR(INDEX($C$5:$C$44,MATCH("NOC|005",$L$5:$L$44,0)),"")</x:f>
        <x:v>Current / Sample NOC</x:v>
      </x:c>
    </x:row>
    <x:row r="10">
      <x:c r="A10" s="79" t="str">
        <x:v>No</x:v>
      </x:c>
      <x:c r="B10" s="79" t="str">
        <x:v>NOC_006</x:v>
      </x:c>
      <x:c r="C10" s="79" t="str">
        <x:v>NOC 006</x:v>
      </x:c>
      <x:c r="D10" s="79"/>
      <x:c r="E10" s="80" t="str">
        <x:f>IF(A10&lt;&gt;"Yes","",IF(H10=0,"","("&amp;XLOOKUP(B10,LocationsTbl[NOC Key (helper)],LocationsTbl[NOC Scope Accumulator (helper)],"",0,-1)&amp;")"))</x:f>
      </x:c>
      <x:c r="F10" s="80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80" t="str">
        <x:f>IF(OR(A10&lt;&gt;"Yes",E10=""),"","{""label"":""All Locations"",""value"":"""&amp;SUBSTITUTE(E10,CHAR(34),"\"&amp;CHAR(34))&amp;"""}")</x:f>
      </x:c>
      <x:c r="H10" s="80" t="n">
        <x:f>IF($B10="","",COUNTIFS(LocationsTbl[Use?],"Yes",LocationsTbl[NOC ID],$B10))</x:f>
        <x:v>0</x:v>
      </x:c>
      <x:c r="I10" s="80" t="str">
        <x:f>IF($A10&lt;&gt;"Yes","Disabled",IF($B10="","Missing NOC ID",IF($C10="","Missing display name",IF(COUNTIF(NOCsTbl[NOC ID],$B10)&gt;1,"Duplicate NOC ID",IF($H10=0,"No enabled locations",IF($E10="","No usable scope","OK"))))))</x:f>
        <x:v>Disabled</x:v>
      </x:c>
      <x:c r="J10" s="79" t="str"/>
      <x:c r="K10" t="str">
        <x:f>IF($A10="Yes",COUNTIF($A$5:$A10,"Yes"),"")</x:f>
      </x:c>
      <x:c r="L10" t="str">
        <x:f>IF($K10="","","NOC|"&amp;TEXT($K10,"000"))</x:f>
      </x:c>
      <x:c r="M10" t="str">
        <x:f>IFERROR(INDEX($C$5:$C$44,MATCH("NOC|006",$L$5:$L$44,0)),"")</x:f>
        <x:v>Current / Sample NOC</x:v>
      </x:c>
    </x:row>
    <x:row r="11">
      <x:c r="A11" s="79" t="str">
        <x:v>No</x:v>
      </x:c>
      <x:c r="B11" s="79" t="str">
        <x:v>NOC_007</x:v>
      </x:c>
      <x:c r="C11" s="79" t="str">
        <x:v>NOC 007</x:v>
      </x:c>
      <x:c r="D11" s="79"/>
      <x:c r="E11" s="80" t="str">
        <x:f>IF(A11&lt;&gt;"Yes","",IF(H11=0,"","("&amp;XLOOKUP(B11,LocationsTbl[NOC Key (helper)],LocationsTbl[NOC Scope Accumulator (helper)],"",0,-1)&amp;")"))</x:f>
      </x:c>
      <x:c r="F11" s="80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80" t="str">
        <x:f>IF(OR(A11&lt;&gt;"Yes",E11=""),"","{""label"":""All Locations"",""value"":"""&amp;SUBSTITUTE(E11,CHAR(34),"\"&amp;CHAR(34))&amp;"""}")</x:f>
      </x:c>
      <x:c r="H11" s="80" t="n">
        <x:f>IF($B11="","",COUNTIFS(LocationsTbl[Use?],"Yes",LocationsTbl[NOC ID],$B11))</x:f>
        <x:v>0</x:v>
      </x:c>
      <x:c r="I11" s="80" t="str">
        <x:f>IF($A11&lt;&gt;"Yes","Disabled",IF($B11="","Missing NOC ID",IF($C11="","Missing display name",IF(COUNTIF(NOCsTbl[NOC ID],$B11)&gt;1,"Duplicate NOC ID",IF($H11=0,"No enabled locations",IF($E11="","No usable scope","OK"))))))</x:f>
        <x:v>Disabled</x:v>
      </x:c>
      <x:c r="J11" s="79" t="str"/>
      <x:c r="K11" t="str">
        <x:f>IF($A11="Yes",COUNTIF($A$5:$A11,"Yes"),"")</x:f>
      </x:c>
      <x:c r="L11" t="str">
        <x:f>IF($K11="","","NOC|"&amp;TEXT($K11,"000"))</x:f>
      </x:c>
      <x:c r="M11" t="str">
        <x:f>IFERROR(INDEX($C$5:$C$44,MATCH("NOC|007",$L$5:$L$44,0)),"")</x:f>
        <x:v>Current / Sample NOC</x:v>
      </x:c>
    </x:row>
    <x:row r="12">
      <x:c r="A12" s="79" t="str">
        <x:v>No</x:v>
      </x:c>
      <x:c r="B12" s="79" t="str">
        <x:v>NOC_008</x:v>
      </x:c>
      <x:c r="C12" s="79" t="str">
        <x:v>NOC 008</x:v>
      </x:c>
      <x:c r="D12" s="79"/>
      <x:c r="E12" s="80" t="str">
        <x:f>IF(A12&lt;&gt;"Yes","",IF(H12=0,"","("&amp;XLOOKUP(B12,LocationsTbl[NOC Key (helper)],LocationsTbl[NOC Scope Accumulator (helper)],"",0,-1)&amp;")"))</x:f>
      </x:c>
      <x:c r="F12" s="80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80" t="str">
        <x:f>IF(OR(A12&lt;&gt;"Yes",E12=""),"","{""label"":""All Locations"",""value"":"""&amp;SUBSTITUTE(E12,CHAR(34),"\"&amp;CHAR(34))&amp;"""}")</x:f>
      </x:c>
      <x:c r="H12" s="80" t="n">
        <x:f>IF($B12="","",COUNTIFS(LocationsTbl[Use?],"Yes",LocationsTbl[NOC ID],$B12))</x:f>
        <x:v>0</x:v>
      </x:c>
      <x:c r="I12" s="80" t="str">
        <x:f>IF($A12&lt;&gt;"Yes","Disabled",IF($B12="","Missing NOC ID",IF($C12="","Missing display name",IF(COUNTIF(NOCsTbl[NOC ID],$B12)&gt;1,"Duplicate NOC ID",IF($H12=0,"No enabled locations",IF($E12="","No usable scope","OK"))))))</x:f>
        <x:v>Disabled</x:v>
      </x:c>
      <x:c r="J12" s="79" t="str"/>
      <x:c r="K12" t="str">
        <x:f>IF($A12="Yes",COUNTIF($A$5:$A12,"Yes"),"")</x:f>
      </x:c>
      <x:c r="L12" t="str">
        <x:f>IF($K12="","","NOC|"&amp;TEXT($K12,"000"))</x:f>
      </x:c>
      <x:c r="M12" t="str">
        <x:f>IFERROR(INDEX($C$5:$C$44,MATCH("NOC|008",$L$5:$L$44,0)),"")</x:f>
        <x:v>Current / Sample NOC</x:v>
      </x:c>
    </x:row>
    <x:row r="13">
      <x:c r="A13" s="79" t="str">
        <x:v>No</x:v>
      </x:c>
      <x:c r="B13" s="79" t="str">
        <x:v>NOC_009</x:v>
      </x:c>
      <x:c r="C13" s="79" t="str">
        <x:v>NOC 009</x:v>
      </x:c>
      <x:c r="D13" s="79"/>
      <x:c r="E13" s="80" t="str">
        <x:f>IF(A13&lt;&gt;"Yes","",IF(H13=0,"","("&amp;XLOOKUP(B13,LocationsTbl[NOC Key (helper)],LocationsTbl[NOC Scope Accumulator (helper)],"",0,-1)&amp;")"))</x:f>
      </x:c>
      <x:c r="F13" s="80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80" t="str">
        <x:f>IF(OR(A13&lt;&gt;"Yes",E13=""),"","{""label"":""All Locations"",""value"":"""&amp;SUBSTITUTE(E13,CHAR(34),"\"&amp;CHAR(34))&amp;"""}")</x:f>
      </x:c>
      <x:c r="H13" s="80" t="n">
        <x:f>IF($B13="","",COUNTIFS(LocationsTbl[Use?],"Yes",LocationsTbl[NOC ID],$B13))</x:f>
        <x:v>0</x:v>
      </x:c>
      <x:c r="I13" s="80" t="str">
        <x:f>IF($A13&lt;&gt;"Yes","Disabled",IF($B13="","Missing NOC ID",IF($C13="","Missing display name",IF(COUNTIF(NOCsTbl[NOC ID],$B13)&gt;1,"Duplicate NOC ID",IF($H13=0,"No enabled locations",IF($E13="","No usable scope","OK"))))))</x:f>
        <x:v>Disabled</x:v>
      </x:c>
      <x:c r="J13" s="79" t="str"/>
      <x:c r="K13" t="str">
        <x:f>IF($A13="Yes",COUNTIF($A$5:$A13,"Yes"),"")</x:f>
      </x:c>
      <x:c r="L13" t="str">
        <x:f>IF($K13="","","NOC|"&amp;TEXT($K13,"000"))</x:f>
      </x:c>
      <x:c r="M13" t="str">
        <x:f>IFERROR(INDEX($C$5:$C$44,MATCH("NOC|009",$L$5:$L$44,0)),"")</x:f>
        <x:v>Current / Sample NOC</x:v>
      </x:c>
    </x:row>
    <x:row r="14">
      <x:c r="A14" s="79" t="str">
        <x:v>No</x:v>
      </x:c>
      <x:c r="B14" s="79" t="str">
        <x:v>NOC_010</x:v>
      </x:c>
      <x:c r="C14" s="79" t="str">
        <x:v>NOC 010</x:v>
      </x:c>
      <x:c r="D14" s="79"/>
      <x:c r="E14" s="80" t="str">
        <x:f>IF(A14&lt;&gt;"Yes","",IF(H14=0,"","("&amp;XLOOKUP(B14,LocationsTbl[NOC Key (helper)],LocationsTbl[NOC Scope Accumulator (helper)],"",0,-1)&amp;")"))</x:f>
      </x:c>
      <x:c r="F14" s="80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80" t="str">
        <x:f>IF(OR(A14&lt;&gt;"Yes",E14=""),"","{""label"":""All Locations"",""value"":"""&amp;SUBSTITUTE(E14,CHAR(34),"\"&amp;CHAR(34))&amp;"""}")</x:f>
      </x:c>
      <x:c r="H14" s="80" t="n">
        <x:f>IF($B14="","",COUNTIFS(LocationsTbl[Use?],"Yes",LocationsTbl[NOC ID],$B14))</x:f>
        <x:v>0</x:v>
      </x:c>
      <x:c r="I14" s="80" t="str">
        <x:f>IF($A14&lt;&gt;"Yes","Disabled",IF($B14="","Missing NOC ID",IF($C14="","Missing display name",IF(COUNTIF(NOCsTbl[NOC ID],$B14)&gt;1,"Duplicate NOC ID",IF($H14=0,"No enabled locations",IF($E14="","No usable scope","OK"))))))</x:f>
        <x:v>Disabled</x:v>
      </x:c>
      <x:c r="J14" s="79" t="str"/>
      <x:c r="K14" t="str">
        <x:f>IF($A14="Yes",COUNTIF($A$5:$A14,"Yes"),"")</x:f>
      </x:c>
      <x:c r="L14" t="str">
        <x:f>IF($K14="","","NOC|"&amp;TEXT($K14,"000"))</x:f>
      </x:c>
      <x:c r="M14" t="str">
        <x:f>IFERROR(INDEX($C$5:$C$44,MATCH("NOC|010",$L$5:$L$44,0)),"")</x:f>
        <x:v>Current / Sample NOC</x:v>
      </x:c>
    </x:row>
    <x:row r="15">
      <x:c r="A15" s="79" t="str">
        <x:v>No</x:v>
      </x:c>
      <x:c r="B15" s="79" t="str">
        <x:v>NOC_011</x:v>
      </x:c>
      <x:c r="C15" s="79" t="str">
        <x:v>NOC 011</x:v>
      </x:c>
      <x:c r="D15" s="79"/>
      <x:c r="E15" s="80" t="str">
        <x:f>IF(A15&lt;&gt;"Yes","",IF(H15=0,"","("&amp;XLOOKUP(B15,LocationsTbl[NOC Key (helper)],LocationsTbl[NOC Scope Accumulator (helper)],"",0,-1)&amp;")"))</x:f>
      </x:c>
      <x:c r="F15" s="80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80" t="str">
        <x:f>IF(OR(A15&lt;&gt;"Yes",E15=""),"","{""label"":""All Locations"",""value"":"""&amp;SUBSTITUTE(E15,CHAR(34),"\"&amp;CHAR(34))&amp;"""}")</x:f>
      </x:c>
      <x:c r="H15" s="80" t="n">
        <x:f>IF($B15="","",COUNTIFS(LocationsTbl[Use?],"Yes",LocationsTbl[NOC ID],$B15))</x:f>
        <x:v>0</x:v>
      </x:c>
      <x:c r="I15" s="80" t="str">
        <x:f>IF($A15&lt;&gt;"Yes","Disabled",IF($B15="","Missing NOC ID",IF($C15="","Missing display name",IF(COUNTIF(NOCsTbl[NOC ID],$B15)&gt;1,"Duplicate NOC ID",IF($H15=0,"No enabled locations",IF($E15="","No usable scope","OK"))))))</x:f>
        <x:v>Disabled</x:v>
      </x:c>
      <x:c r="J15" s="79" t="str"/>
      <x:c r="K15" t="str">
        <x:f>IF($A15="Yes",COUNTIF($A$5:$A15,"Yes"),"")</x:f>
      </x:c>
      <x:c r="L15" t="str">
        <x:f>IF($K15="","","NOC|"&amp;TEXT($K15,"000"))</x:f>
      </x:c>
      <x:c r="M15" t="str">
        <x:f>IFERROR(INDEX($C$5:$C$44,MATCH("NOC|011",$L$5:$L$44,0)),"")</x:f>
        <x:v>Current / Sample NOC</x:v>
      </x:c>
    </x:row>
    <x:row r="16">
      <x:c r="A16" s="79" t="str">
        <x:v>No</x:v>
      </x:c>
      <x:c r="B16" s="79" t="str">
        <x:v>NOC_012</x:v>
      </x:c>
      <x:c r="C16" s="79" t="str">
        <x:v>NOC 012</x:v>
      </x:c>
      <x:c r="D16" s="79"/>
      <x:c r="E16" s="80" t="str">
        <x:f>IF(A16&lt;&gt;"Yes","",IF(H16=0,"","("&amp;XLOOKUP(B16,LocationsTbl[NOC Key (helper)],LocationsTbl[NOC Scope Accumulator (helper)],"",0,-1)&amp;")"))</x:f>
      </x:c>
      <x:c r="F16" s="80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80" t="str">
        <x:f>IF(OR(A16&lt;&gt;"Yes",E16=""),"","{""label"":""All Locations"",""value"":"""&amp;SUBSTITUTE(E16,CHAR(34),"\"&amp;CHAR(34))&amp;"""}")</x:f>
      </x:c>
      <x:c r="H16" s="80" t="n">
        <x:f>IF($B16="","",COUNTIFS(LocationsTbl[Use?],"Yes",LocationsTbl[NOC ID],$B16))</x:f>
        <x:v>0</x:v>
      </x:c>
      <x:c r="I16" s="80" t="str">
        <x:f>IF($A16&lt;&gt;"Yes","Disabled",IF($B16="","Missing NOC ID",IF($C16="","Missing display name",IF(COUNTIF(NOCsTbl[NOC ID],$B16)&gt;1,"Duplicate NOC ID",IF($H16=0,"No enabled locations",IF($E16="","No usable scope","OK"))))))</x:f>
        <x:v>Disabled</x:v>
      </x:c>
      <x:c r="J16" s="79" t="str"/>
      <x:c r="K16" t="str">
        <x:f>IF($A16="Yes",COUNTIF($A$5:$A16,"Yes"),"")</x:f>
      </x:c>
      <x:c r="L16" t="str">
        <x:f>IF($K16="","","NOC|"&amp;TEXT($K16,"000"))</x:f>
      </x:c>
      <x:c r="M16" t="str">
        <x:f>IFERROR(INDEX($C$5:$C$44,MATCH("NOC|012",$L$5:$L$44,0)),"")</x:f>
        <x:v>Current / Sample NOC</x:v>
      </x:c>
    </x:row>
    <x:row r="17">
      <x:c r="A17" s="79" t="str">
        <x:v>No</x:v>
      </x:c>
      <x:c r="B17" s="79" t="str">
        <x:v>NOC_013</x:v>
      </x:c>
      <x:c r="C17" s="79" t="str">
        <x:v>NOC 013</x:v>
      </x:c>
      <x:c r="D17" s="79"/>
      <x:c r="E17" s="80" t="str">
        <x:f>IF(A17&lt;&gt;"Yes","",IF(H17=0,"","("&amp;XLOOKUP(B17,LocationsTbl[NOC Key (helper)],LocationsTbl[NOC Scope Accumulator (helper)],"",0,-1)&amp;")"))</x:f>
      </x:c>
      <x:c r="F17" s="80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80" t="str">
        <x:f>IF(OR(A17&lt;&gt;"Yes",E17=""),"","{""label"":""All Locations"",""value"":"""&amp;SUBSTITUTE(E17,CHAR(34),"\"&amp;CHAR(34))&amp;"""}")</x:f>
      </x:c>
      <x:c r="H17" s="80" t="n">
        <x:f>IF($B17="","",COUNTIFS(LocationsTbl[Use?],"Yes",LocationsTbl[NOC ID],$B17))</x:f>
        <x:v>0</x:v>
      </x:c>
      <x:c r="I17" s="80" t="str">
        <x:f>IF($A17&lt;&gt;"Yes","Disabled",IF($B17="","Missing NOC ID",IF($C17="","Missing display name",IF(COUNTIF(NOCsTbl[NOC ID],$B17)&gt;1,"Duplicate NOC ID",IF($H17=0,"No enabled locations",IF($E17="","No usable scope","OK"))))))</x:f>
        <x:v>Disabled</x:v>
      </x:c>
      <x:c r="J17" s="79" t="str"/>
      <x:c r="K17" t="str">
        <x:f>IF($A17="Yes",COUNTIF($A$5:$A17,"Yes"),"")</x:f>
      </x:c>
      <x:c r="L17" t="str">
        <x:f>IF($K17="","","NOC|"&amp;TEXT($K17,"000"))</x:f>
      </x:c>
      <x:c r="M17" t="str">
        <x:f>IFERROR(INDEX($C$5:$C$44,MATCH("NOC|013",$L$5:$L$44,0)),"")</x:f>
        <x:v>Current / Sample NOC</x:v>
      </x:c>
    </x:row>
    <x:row r="18">
      <x:c r="A18" s="79" t="str">
        <x:v>No</x:v>
      </x:c>
      <x:c r="B18" s="79" t="str">
        <x:v>NOC_014</x:v>
      </x:c>
      <x:c r="C18" s="79" t="str">
        <x:v>NOC 014</x:v>
      </x:c>
      <x:c r="D18" s="79"/>
      <x:c r="E18" s="80" t="str">
        <x:f>IF(A18&lt;&gt;"Yes","",IF(H18=0,"","("&amp;XLOOKUP(B18,LocationsTbl[NOC Key (helper)],LocationsTbl[NOC Scope Accumulator (helper)],"",0,-1)&amp;")"))</x:f>
      </x:c>
      <x:c r="F18" s="80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80" t="str">
        <x:f>IF(OR(A18&lt;&gt;"Yes",E18=""),"","{""label"":""All Locations"",""value"":"""&amp;SUBSTITUTE(E18,CHAR(34),"\"&amp;CHAR(34))&amp;"""}")</x:f>
      </x:c>
      <x:c r="H18" s="80" t="n">
        <x:f>IF($B18="","",COUNTIFS(LocationsTbl[Use?],"Yes",LocationsTbl[NOC ID],$B18))</x:f>
        <x:v>0</x:v>
      </x:c>
      <x:c r="I18" s="80" t="str">
        <x:f>IF($A18&lt;&gt;"Yes","Disabled",IF($B18="","Missing NOC ID",IF($C18="","Missing display name",IF(COUNTIF(NOCsTbl[NOC ID],$B18)&gt;1,"Duplicate NOC ID",IF($H18=0,"No enabled locations",IF($E18="","No usable scope","OK"))))))</x:f>
        <x:v>Disabled</x:v>
      </x:c>
      <x:c r="J18" s="79" t="str"/>
      <x:c r="K18" t="str">
        <x:f>IF($A18="Yes",COUNTIF($A$5:$A18,"Yes"),"")</x:f>
      </x:c>
      <x:c r="L18" t="str">
        <x:f>IF($K18="","","NOC|"&amp;TEXT($K18,"000"))</x:f>
      </x:c>
      <x:c r="M18" t="str">
        <x:f>IFERROR(INDEX($C$5:$C$44,MATCH("NOC|014",$L$5:$L$44,0)),"")</x:f>
        <x:v>Current / Sample NOC</x:v>
      </x:c>
    </x:row>
    <x:row r="19">
      <x:c r="A19" s="79" t="str">
        <x:v>No</x:v>
      </x:c>
      <x:c r="B19" s="79" t="str">
        <x:v>NOC_015</x:v>
      </x:c>
      <x:c r="C19" s="79" t="str">
        <x:v>NOC 015</x:v>
      </x:c>
      <x:c r="D19" s="79"/>
      <x:c r="E19" s="80" t="str">
        <x:f>IF(A19&lt;&gt;"Yes","",IF(H19=0,"","("&amp;XLOOKUP(B19,LocationsTbl[NOC Key (helper)],LocationsTbl[NOC Scope Accumulator (helper)],"",0,-1)&amp;")"))</x:f>
      </x:c>
      <x:c r="F19" s="80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80" t="str">
        <x:f>IF(OR(A19&lt;&gt;"Yes",E19=""),"","{""label"":""All Locations"",""value"":"""&amp;SUBSTITUTE(E19,CHAR(34),"\"&amp;CHAR(34))&amp;"""}")</x:f>
      </x:c>
      <x:c r="H19" s="80" t="n">
        <x:f>IF($B19="","",COUNTIFS(LocationsTbl[Use?],"Yes",LocationsTbl[NOC ID],$B19))</x:f>
        <x:v>0</x:v>
      </x:c>
      <x:c r="I19" s="80" t="str">
        <x:f>IF($A19&lt;&gt;"Yes","Disabled",IF($B19="","Missing NOC ID",IF($C19="","Missing display name",IF(COUNTIF(NOCsTbl[NOC ID],$B19)&gt;1,"Duplicate NOC ID",IF($H19=0,"No enabled locations",IF($E19="","No usable scope","OK"))))))</x:f>
        <x:v>Disabled</x:v>
      </x:c>
      <x:c r="J19" s="79" t="str"/>
      <x:c r="K19" t="str">
        <x:f>IF($A19="Yes",COUNTIF($A$5:$A19,"Yes"),"")</x:f>
      </x:c>
      <x:c r="L19" t="str">
        <x:f>IF($K19="","","NOC|"&amp;TEXT($K19,"000"))</x:f>
      </x:c>
      <x:c r="M19" t="str">
        <x:f>IFERROR(INDEX($C$5:$C$44,MATCH("NOC|015",$L$5:$L$44,0)),"")</x:f>
        <x:v>Current / Sample NOC</x:v>
      </x:c>
    </x:row>
    <x:row r="20">
      <x:c r="A20" s="79" t="str">
        <x:v>No</x:v>
      </x:c>
      <x:c r="B20" s="79" t="str">
        <x:v>NOC_016</x:v>
      </x:c>
      <x:c r="C20" s="79" t="str">
        <x:v>NOC 016</x:v>
      </x:c>
      <x:c r="D20" s="79"/>
      <x:c r="E20" s="80" t="str">
        <x:f>IF(A20&lt;&gt;"Yes","",IF(H20=0,"","("&amp;XLOOKUP(B20,LocationsTbl[NOC Key (helper)],LocationsTbl[NOC Scope Accumulator (helper)],"",0,-1)&amp;")"))</x:f>
      </x:c>
      <x:c r="F20" s="80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80" t="str">
        <x:f>IF(OR(A20&lt;&gt;"Yes",E20=""),"","{""label"":""All Locations"",""value"":"""&amp;SUBSTITUTE(E20,CHAR(34),"\"&amp;CHAR(34))&amp;"""}")</x:f>
      </x:c>
      <x:c r="H20" s="80" t="n">
        <x:f>IF($B20="","",COUNTIFS(LocationsTbl[Use?],"Yes",LocationsTbl[NOC ID],$B20))</x:f>
        <x:v>0</x:v>
      </x:c>
      <x:c r="I20" s="80" t="str">
        <x:f>IF($A20&lt;&gt;"Yes","Disabled",IF($B20="","Missing NOC ID",IF($C20="","Missing display name",IF(COUNTIF(NOCsTbl[NOC ID],$B20)&gt;1,"Duplicate NOC ID",IF($H20=0,"No enabled locations",IF($E20="","No usable scope","OK"))))))</x:f>
        <x:v>Disabled</x:v>
      </x:c>
      <x:c r="J20" s="79" t="str"/>
      <x:c r="K20" t="str">
        <x:f>IF($A20="Yes",COUNTIF($A$5:$A20,"Yes"),"")</x:f>
      </x:c>
      <x:c r="L20" t="str">
        <x:f>IF($K20="","","NOC|"&amp;TEXT($K20,"000"))</x:f>
      </x:c>
      <x:c r="M20" t="str">
        <x:f>IFERROR(INDEX($C$5:$C$44,MATCH("NOC|016",$L$5:$L$44,0)),"")</x:f>
        <x:v>Current / Sample NOC</x:v>
      </x:c>
    </x:row>
    <x:row r="21">
      <x:c r="A21" s="79" t="str">
        <x:v>No</x:v>
      </x:c>
      <x:c r="B21" s="79" t="str">
        <x:v>NOC_017</x:v>
      </x:c>
      <x:c r="C21" s="79" t="str">
        <x:v>NOC 017</x:v>
      </x:c>
      <x:c r="D21" s="79"/>
      <x:c r="E21" s="80" t="str">
        <x:f>IF(A21&lt;&gt;"Yes","",IF(H21=0,"","("&amp;XLOOKUP(B21,LocationsTbl[NOC Key (helper)],LocationsTbl[NOC Scope Accumulator (helper)],"",0,-1)&amp;")"))</x:f>
      </x:c>
      <x:c r="F21" s="80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80" t="str">
        <x:f>IF(OR(A21&lt;&gt;"Yes",E21=""),"","{""label"":""All Locations"",""value"":"""&amp;SUBSTITUTE(E21,CHAR(34),"\"&amp;CHAR(34))&amp;"""}")</x:f>
      </x:c>
      <x:c r="H21" s="80" t="n">
        <x:f>IF($B21="","",COUNTIFS(LocationsTbl[Use?],"Yes",LocationsTbl[NOC ID],$B21))</x:f>
        <x:v>0</x:v>
      </x:c>
      <x:c r="I21" s="80" t="str">
        <x:f>IF($A21&lt;&gt;"Yes","Disabled",IF($B21="","Missing NOC ID",IF($C21="","Missing display name",IF(COUNTIF(NOCsTbl[NOC ID],$B21)&gt;1,"Duplicate NOC ID",IF($H21=0,"No enabled locations",IF($E21="","No usable scope","OK"))))))</x:f>
        <x:v>Disabled</x:v>
      </x:c>
      <x:c r="J21" s="79" t="str"/>
      <x:c r="K21" t="str">
        <x:f>IF($A21="Yes",COUNTIF($A$5:$A21,"Yes"),"")</x:f>
      </x:c>
      <x:c r="L21" t="str">
        <x:f>IF($K21="","","NOC|"&amp;TEXT($K21,"000"))</x:f>
      </x:c>
      <x:c r="M21" t="str">
        <x:f>IFERROR(INDEX($C$5:$C$44,MATCH("NOC|017",$L$5:$L$44,0)),"")</x:f>
        <x:v>Current / Sample NOC</x:v>
      </x:c>
    </x:row>
    <x:row r="22">
      <x:c r="A22" s="79" t="str">
        <x:v>No</x:v>
      </x:c>
      <x:c r="B22" s="79" t="str">
        <x:v>NOC_018</x:v>
      </x:c>
      <x:c r="C22" s="79" t="str">
        <x:v>NOC 018</x:v>
      </x:c>
      <x:c r="D22" s="79"/>
      <x:c r="E22" s="80" t="str">
        <x:f>IF(A22&lt;&gt;"Yes","",IF(H22=0,"","("&amp;XLOOKUP(B22,LocationsTbl[NOC Key (helper)],LocationsTbl[NOC Scope Accumulator (helper)],"",0,-1)&amp;")"))</x:f>
      </x:c>
      <x:c r="F22" s="80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80" t="str">
        <x:f>IF(OR(A22&lt;&gt;"Yes",E22=""),"","{""label"":""All Locations"",""value"":"""&amp;SUBSTITUTE(E22,CHAR(34),"\"&amp;CHAR(34))&amp;"""}")</x:f>
      </x:c>
      <x:c r="H22" s="80" t="n">
        <x:f>IF($B22="","",COUNTIFS(LocationsTbl[Use?],"Yes",LocationsTbl[NOC ID],$B22))</x:f>
        <x:v>0</x:v>
      </x:c>
      <x:c r="I22" s="80" t="str">
        <x:f>IF($A22&lt;&gt;"Yes","Disabled",IF($B22="","Missing NOC ID",IF($C22="","Missing display name",IF(COUNTIF(NOCsTbl[NOC ID],$B22)&gt;1,"Duplicate NOC ID",IF($H22=0,"No enabled locations",IF($E22="","No usable scope","OK"))))))</x:f>
        <x:v>Disabled</x:v>
      </x:c>
      <x:c r="J22" s="79" t="str"/>
      <x:c r="K22" t="str">
        <x:f>IF($A22="Yes",COUNTIF($A$5:$A22,"Yes"),"")</x:f>
      </x:c>
      <x:c r="L22" t="str">
        <x:f>IF($K22="","","NOC|"&amp;TEXT($K22,"000"))</x:f>
      </x:c>
      <x:c r="M22" t="str">
        <x:f>IFERROR(INDEX($C$5:$C$44,MATCH("NOC|018",$L$5:$L$44,0)),"")</x:f>
        <x:v>Current / Sample NOC</x:v>
      </x:c>
    </x:row>
    <x:row r="23">
      <x:c r="A23" s="79" t="str">
        <x:v>No</x:v>
      </x:c>
      <x:c r="B23" s="79" t="str">
        <x:v>NOC_019</x:v>
      </x:c>
      <x:c r="C23" s="79" t="str">
        <x:v>NOC 019</x:v>
      </x:c>
      <x:c r="D23" s="79"/>
      <x:c r="E23" s="80" t="str">
        <x:f>IF(A23&lt;&gt;"Yes","",IF(H23=0,"","("&amp;XLOOKUP(B23,LocationsTbl[NOC Key (helper)],LocationsTbl[NOC Scope Accumulator (helper)],"",0,-1)&amp;")"))</x:f>
      </x:c>
      <x:c r="F23" s="80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80" t="str">
        <x:f>IF(OR(A23&lt;&gt;"Yes",E23=""),"","{""label"":""All Locations"",""value"":"""&amp;SUBSTITUTE(E23,CHAR(34),"\"&amp;CHAR(34))&amp;"""}")</x:f>
      </x:c>
      <x:c r="H23" s="80" t="n">
        <x:f>IF($B23="","",COUNTIFS(LocationsTbl[Use?],"Yes",LocationsTbl[NOC ID],$B23))</x:f>
        <x:v>0</x:v>
      </x:c>
      <x:c r="I23" s="80" t="str">
        <x:f>IF($A23&lt;&gt;"Yes","Disabled",IF($B23="","Missing NOC ID",IF($C23="","Missing display name",IF(COUNTIF(NOCsTbl[NOC ID],$B23)&gt;1,"Duplicate NOC ID",IF($H23=0,"No enabled locations",IF($E23="","No usable scope","OK"))))))</x:f>
        <x:v>Disabled</x:v>
      </x:c>
      <x:c r="J23" s="79" t="str"/>
      <x:c r="K23" t="str">
        <x:f>IF($A23="Yes",COUNTIF($A$5:$A23,"Yes"),"")</x:f>
      </x:c>
      <x:c r="L23" t="str">
        <x:f>IF($K23="","","NOC|"&amp;TEXT($K23,"000"))</x:f>
      </x:c>
      <x:c r="M23" t="str">
        <x:f>IFERROR(INDEX($C$5:$C$44,MATCH("NOC|019",$L$5:$L$44,0)),"")</x:f>
        <x:v>Current / Sample NOC</x:v>
      </x:c>
    </x:row>
    <x:row r="24">
      <x:c r="A24" s="79" t="str">
        <x:v>No</x:v>
      </x:c>
      <x:c r="B24" s="79" t="str">
        <x:v>NOC_020</x:v>
      </x:c>
      <x:c r="C24" s="79" t="str">
        <x:v>NOC 020</x:v>
      </x:c>
      <x:c r="D24" s="79"/>
      <x:c r="E24" s="80" t="str">
        <x:f>IF(A24&lt;&gt;"Yes","",IF(H24=0,"","("&amp;XLOOKUP(B24,LocationsTbl[NOC Key (helper)],LocationsTbl[NOC Scope Accumulator (helper)],"",0,-1)&amp;")"))</x:f>
      </x:c>
      <x:c r="F24" s="80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80" t="str">
        <x:f>IF(OR(A24&lt;&gt;"Yes",E24=""),"","{""label"":""All Locations"",""value"":"""&amp;SUBSTITUTE(E24,CHAR(34),"\"&amp;CHAR(34))&amp;"""}")</x:f>
      </x:c>
      <x:c r="H24" s="80" t="n">
        <x:f>IF($B24="","",COUNTIFS(LocationsTbl[Use?],"Yes",LocationsTbl[NOC ID],$B24))</x:f>
        <x:v>0</x:v>
      </x:c>
      <x:c r="I24" s="80" t="str">
        <x:f>IF($A24&lt;&gt;"Yes","Disabled",IF($B24="","Missing NOC ID",IF($C24="","Missing display name",IF(COUNTIF(NOCsTbl[NOC ID],$B24)&gt;1,"Duplicate NOC ID",IF($H24=0,"No enabled locations",IF($E24="","No usable scope","OK"))))))</x:f>
        <x:v>Disabled</x:v>
      </x:c>
      <x:c r="J24" s="79" t="str"/>
      <x:c r="K24" t="str">
        <x:f>IF($A24="Yes",COUNTIF($A$5:$A24,"Yes"),"")</x:f>
      </x:c>
      <x:c r="L24" t="str">
        <x:f>IF($K24="","","NOC|"&amp;TEXT($K24,"000"))</x:f>
      </x:c>
      <x:c r="M24" t="str">
        <x:f>IFERROR(INDEX($C$5:$C$44,MATCH("NOC|020",$L$5:$L$44,0)),"")</x:f>
        <x:v>Current / Sample NOC</x:v>
      </x:c>
    </x:row>
    <x:row r="25">
      <x:c r="A25" s="79" t="str">
        <x:v>No</x:v>
      </x:c>
      <x:c r="B25" s="79" t="str">
        <x:v>NOC_021</x:v>
      </x:c>
      <x:c r="C25" s="79" t="str">
        <x:v>NOC 021</x:v>
      </x:c>
      <x:c r="D25" s="79"/>
      <x:c r="E25" s="80" t="str">
        <x:f>IF(A25&lt;&gt;"Yes","",IF(H25=0,"","("&amp;XLOOKUP(B25,LocationsTbl[NOC Key (helper)],LocationsTbl[NOC Scope Accumulator (helper)],"",0,-1)&amp;")"))</x:f>
      </x:c>
      <x:c r="F25" s="80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80" t="str">
        <x:f>IF(OR(A25&lt;&gt;"Yes",E25=""),"","{""label"":""All Locations"",""value"":"""&amp;SUBSTITUTE(E25,CHAR(34),"\"&amp;CHAR(34))&amp;"""}")</x:f>
      </x:c>
      <x:c r="H25" s="80" t="n">
        <x:f>IF($B25="","",COUNTIFS(LocationsTbl[Use?],"Yes",LocationsTbl[NOC ID],$B25))</x:f>
        <x:v>0</x:v>
      </x:c>
      <x:c r="I25" s="80" t="str">
        <x:f>IF($A25&lt;&gt;"Yes","Disabled",IF($B25="","Missing NOC ID",IF($C25="","Missing display name",IF(COUNTIF(NOCsTbl[NOC ID],$B25)&gt;1,"Duplicate NOC ID",IF($H25=0,"No enabled locations",IF($E25="","No usable scope","OK"))))))</x:f>
        <x:v>Disabled</x:v>
      </x:c>
      <x:c r="J25" s="79" t="str"/>
      <x:c r="K25" t="str">
        <x:f>IF($A25="Yes",COUNTIF($A$5:$A25,"Yes"),"")</x:f>
      </x:c>
      <x:c r="L25" t="str">
        <x:f>IF($K25="","","NOC|"&amp;TEXT($K25,"000"))</x:f>
      </x:c>
      <x:c r="M25" t="str">
        <x:f>IFERROR(INDEX($C$5:$C$44,MATCH("NOC|021",$L$5:$L$44,0)),"")</x:f>
        <x:v>Current / Sample NOC</x:v>
      </x:c>
    </x:row>
    <x:row r="26">
      <x:c r="A26" s="79" t="str">
        <x:v>No</x:v>
      </x:c>
      <x:c r="B26" s="79" t="str">
        <x:v>NOC_022</x:v>
      </x:c>
      <x:c r="C26" s="79" t="str">
        <x:v>NOC 022</x:v>
      </x:c>
      <x:c r="D26" s="79"/>
      <x:c r="E26" s="80" t="str">
        <x:f>IF(A26&lt;&gt;"Yes","",IF(H26=0,"","("&amp;XLOOKUP(B26,LocationsTbl[NOC Key (helper)],LocationsTbl[NOC Scope Accumulator (helper)],"",0,-1)&amp;")"))</x:f>
      </x:c>
      <x:c r="F26" s="80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80" t="str">
        <x:f>IF(OR(A26&lt;&gt;"Yes",E26=""),"","{""label"":""All Locations"",""value"":"""&amp;SUBSTITUTE(E26,CHAR(34),"\"&amp;CHAR(34))&amp;"""}")</x:f>
      </x:c>
      <x:c r="H26" s="80" t="n">
        <x:f>IF($B26="","",COUNTIFS(LocationsTbl[Use?],"Yes",LocationsTbl[NOC ID],$B26))</x:f>
        <x:v>0</x:v>
      </x:c>
      <x:c r="I26" s="80" t="str">
        <x:f>IF($A26&lt;&gt;"Yes","Disabled",IF($B26="","Missing NOC ID",IF($C26="","Missing display name",IF(COUNTIF(NOCsTbl[NOC ID],$B26)&gt;1,"Duplicate NOC ID",IF($H26=0,"No enabled locations",IF($E26="","No usable scope","OK"))))))</x:f>
        <x:v>Disabled</x:v>
      </x:c>
      <x:c r="J26" s="79" t="str"/>
      <x:c r="K26" t="str">
        <x:f>IF($A26="Yes",COUNTIF($A$5:$A26,"Yes"),"")</x:f>
      </x:c>
      <x:c r="L26" t="str">
        <x:f>IF($K26="","","NOC|"&amp;TEXT($K26,"000"))</x:f>
      </x:c>
      <x:c r="M26" t="str">
        <x:f>IFERROR(INDEX($C$5:$C$44,MATCH("NOC|022",$L$5:$L$44,0)),"")</x:f>
        <x:v>Current / Sample NOC</x:v>
      </x:c>
    </x:row>
    <x:row r="27">
      <x:c r="A27" s="79" t="str">
        <x:v>No</x:v>
      </x:c>
      <x:c r="B27" s="79" t="str">
        <x:v>NOC_023</x:v>
      </x:c>
      <x:c r="C27" s="79" t="str">
        <x:v>NOC 023</x:v>
      </x:c>
      <x:c r="D27" s="79"/>
      <x:c r="E27" s="80" t="str">
        <x:f>IF(A27&lt;&gt;"Yes","",IF(H27=0,"","("&amp;XLOOKUP(B27,LocationsTbl[NOC Key (helper)],LocationsTbl[NOC Scope Accumulator (helper)],"",0,-1)&amp;")"))</x:f>
      </x:c>
      <x:c r="F27" s="80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80" t="str">
        <x:f>IF(OR(A27&lt;&gt;"Yes",E27=""),"","{""label"":""All Locations"",""value"":"""&amp;SUBSTITUTE(E27,CHAR(34),"\"&amp;CHAR(34))&amp;"""}")</x:f>
      </x:c>
      <x:c r="H27" s="80" t="n">
        <x:f>IF($B27="","",COUNTIFS(LocationsTbl[Use?],"Yes",LocationsTbl[NOC ID],$B27))</x:f>
        <x:v>0</x:v>
      </x:c>
      <x:c r="I27" s="80" t="str">
        <x:f>IF($A27&lt;&gt;"Yes","Disabled",IF($B27="","Missing NOC ID",IF($C27="","Missing display name",IF(COUNTIF(NOCsTbl[NOC ID],$B27)&gt;1,"Duplicate NOC ID",IF($H27=0,"No enabled locations",IF($E27="","No usable scope","OK"))))))</x:f>
        <x:v>Disabled</x:v>
      </x:c>
      <x:c r="J27" s="79" t="str"/>
      <x:c r="K27" t="str">
        <x:f>IF($A27="Yes",COUNTIF($A$5:$A27,"Yes"),"")</x:f>
      </x:c>
      <x:c r="L27" t="str">
        <x:f>IF($K27="","","NOC|"&amp;TEXT($K27,"000"))</x:f>
      </x:c>
      <x:c r="M27" t="str">
        <x:f>IFERROR(INDEX($C$5:$C$44,MATCH("NOC|023",$L$5:$L$44,0)),"")</x:f>
        <x:v>Current / Sample NOC</x:v>
      </x:c>
    </x:row>
    <x:row r="28">
      <x:c r="A28" s="79" t="str">
        <x:v>No</x:v>
      </x:c>
      <x:c r="B28" s="79" t="str">
        <x:v>NOC_024</x:v>
      </x:c>
      <x:c r="C28" s="79" t="str">
        <x:v>NOC 024</x:v>
      </x:c>
      <x:c r="D28" s="79"/>
      <x:c r="E28" s="80" t="str">
        <x:f>IF(A28&lt;&gt;"Yes","",IF(H28=0,"","("&amp;XLOOKUP(B28,LocationsTbl[NOC Key (helper)],LocationsTbl[NOC Scope Accumulator (helper)],"",0,-1)&amp;")"))</x:f>
      </x:c>
      <x:c r="F28" s="80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80" t="str">
        <x:f>IF(OR(A28&lt;&gt;"Yes",E28=""),"","{""label"":""All Locations"",""value"":"""&amp;SUBSTITUTE(E28,CHAR(34),"\"&amp;CHAR(34))&amp;"""}")</x:f>
      </x:c>
      <x:c r="H28" s="80" t="n">
        <x:f>IF($B28="","",COUNTIFS(LocationsTbl[Use?],"Yes",LocationsTbl[NOC ID],$B28))</x:f>
        <x:v>0</x:v>
      </x:c>
      <x:c r="I28" s="80" t="str">
        <x:f>IF($A28&lt;&gt;"Yes","Disabled",IF($B28="","Missing NOC ID",IF($C28="","Missing display name",IF(COUNTIF(NOCsTbl[NOC ID],$B28)&gt;1,"Duplicate NOC ID",IF($H28=0,"No enabled locations",IF($E28="","No usable scope","OK"))))))</x:f>
        <x:v>Disabled</x:v>
      </x:c>
      <x:c r="J28" s="79" t="str"/>
      <x:c r="K28" t="str">
        <x:f>IF($A28="Yes",COUNTIF($A$5:$A28,"Yes"),"")</x:f>
      </x:c>
      <x:c r="L28" t="str">
        <x:f>IF($K28="","","NOC|"&amp;TEXT($K28,"000"))</x:f>
      </x:c>
      <x:c r="M28" t="str">
        <x:f>IFERROR(INDEX($C$5:$C$44,MATCH("NOC|024",$L$5:$L$44,0)),"")</x:f>
        <x:v>Current / Sample NOC</x:v>
      </x:c>
    </x:row>
    <x:row r="29">
      <x:c r="A29" s="79" t="str">
        <x:v>No</x:v>
      </x:c>
      <x:c r="B29" s="79" t="str">
        <x:v>NOC_025</x:v>
      </x:c>
      <x:c r="C29" s="79" t="str">
        <x:v>NOC 025</x:v>
      </x:c>
      <x:c r="D29" s="79"/>
      <x:c r="E29" s="80" t="str">
        <x:f>IF(A29&lt;&gt;"Yes","",IF(H29=0,"","("&amp;XLOOKUP(B29,LocationsTbl[NOC Key (helper)],LocationsTbl[NOC Scope Accumulator (helper)],"",0,-1)&amp;")"))</x:f>
      </x:c>
      <x:c r="F29" s="80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80" t="str">
        <x:f>IF(OR(A29&lt;&gt;"Yes",E29=""),"","{""label"":""All Locations"",""value"":"""&amp;SUBSTITUTE(E29,CHAR(34),"\"&amp;CHAR(34))&amp;"""}")</x:f>
      </x:c>
      <x:c r="H29" s="80" t="n">
        <x:f>IF($B29="","",COUNTIFS(LocationsTbl[Use?],"Yes",LocationsTbl[NOC ID],$B29))</x:f>
        <x:v>0</x:v>
      </x:c>
      <x:c r="I29" s="80" t="str">
        <x:f>IF($A29&lt;&gt;"Yes","Disabled",IF($B29="","Missing NOC ID",IF($C29="","Missing display name",IF(COUNTIF(NOCsTbl[NOC ID],$B29)&gt;1,"Duplicate NOC ID",IF($H29=0,"No enabled locations",IF($E29="","No usable scope","OK"))))))</x:f>
        <x:v>Disabled</x:v>
      </x:c>
      <x:c r="J29" s="79" t="str"/>
      <x:c r="K29" t="str">
        <x:f>IF($A29="Yes",COUNTIF($A$5:$A29,"Yes"),"")</x:f>
      </x:c>
      <x:c r="L29" t="str">
        <x:f>IF($K29="","","NOC|"&amp;TEXT($K29,"000"))</x:f>
      </x:c>
      <x:c r="M29" t="str">
        <x:f>IFERROR(INDEX($C$5:$C$44,MATCH("NOC|025",$L$5:$L$44,0)),"")</x:f>
        <x:v>Current / Sample NOC</x:v>
      </x:c>
    </x:row>
    <x:row r="30">
      <x:c r="A30" s="79" t="str">
        <x:v>No</x:v>
      </x:c>
      <x:c r="B30" s="79" t="str">
        <x:v>NOC_026</x:v>
      </x:c>
      <x:c r="C30" s="79" t="str">
        <x:v>NOC 026</x:v>
      </x:c>
      <x:c r="D30" s="79"/>
      <x:c r="E30" s="80" t="str">
        <x:f>IF(A30&lt;&gt;"Yes","",IF(H30=0,"","("&amp;XLOOKUP(B30,LocationsTbl[NOC Key (helper)],LocationsTbl[NOC Scope Accumulator (helper)],"",0,-1)&amp;")"))</x:f>
      </x:c>
      <x:c r="F30" s="80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80" t="str">
        <x:f>IF(OR(A30&lt;&gt;"Yes",E30=""),"","{""label"":""All Locations"",""value"":"""&amp;SUBSTITUTE(E30,CHAR(34),"\"&amp;CHAR(34))&amp;"""}")</x:f>
      </x:c>
      <x:c r="H30" s="80" t="n">
        <x:f>IF($B30="","",COUNTIFS(LocationsTbl[Use?],"Yes",LocationsTbl[NOC ID],$B30))</x:f>
        <x:v>0</x:v>
      </x:c>
      <x:c r="I30" s="80" t="str">
        <x:f>IF($A30&lt;&gt;"Yes","Disabled",IF($B30="","Missing NOC ID",IF($C30="","Missing display name",IF(COUNTIF(NOCsTbl[NOC ID],$B30)&gt;1,"Duplicate NOC ID",IF($H30=0,"No enabled locations",IF($E30="","No usable scope","OK"))))))</x:f>
        <x:v>Disabled</x:v>
      </x:c>
      <x:c r="J30" s="79" t="str"/>
      <x:c r="K30" t="str">
        <x:f>IF($A30="Yes",COUNTIF($A$5:$A30,"Yes"),"")</x:f>
      </x:c>
      <x:c r="L30" t="str">
        <x:f>IF($K30="","","NOC|"&amp;TEXT($K30,"000"))</x:f>
      </x:c>
      <x:c r="M30" t="str">
        <x:f>IFERROR(INDEX($C$5:$C$44,MATCH("NOC|026",$L$5:$L$44,0)),"")</x:f>
        <x:v>Current / Sample NOC</x:v>
      </x:c>
    </x:row>
    <x:row r="31">
      <x:c r="A31" s="79" t="str">
        <x:v>No</x:v>
      </x:c>
      <x:c r="B31" s="79" t="str">
        <x:v>NOC_027</x:v>
      </x:c>
      <x:c r="C31" s="79" t="str">
        <x:v>NOC 027</x:v>
      </x:c>
      <x:c r="D31" s="79"/>
      <x:c r="E31" s="80" t="str">
        <x:f>IF(A31&lt;&gt;"Yes","",IF(H31=0,"","("&amp;XLOOKUP(B31,LocationsTbl[NOC Key (helper)],LocationsTbl[NOC Scope Accumulator (helper)],"",0,-1)&amp;")"))</x:f>
      </x:c>
      <x:c r="F31" s="80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80" t="str">
        <x:f>IF(OR(A31&lt;&gt;"Yes",E31=""),"","{""label"":""All Locations"",""value"":"""&amp;SUBSTITUTE(E31,CHAR(34),"\"&amp;CHAR(34))&amp;"""}")</x:f>
      </x:c>
      <x:c r="H31" s="80" t="n">
        <x:f>IF($B31="","",COUNTIFS(LocationsTbl[Use?],"Yes",LocationsTbl[NOC ID],$B31))</x:f>
        <x:v>0</x:v>
      </x:c>
      <x:c r="I31" s="80" t="str">
        <x:f>IF($A31&lt;&gt;"Yes","Disabled",IF($B31="","Missing NOC ID",IF($C31="","Missing display name",IF(COUNTIF(NOCsTbl[NOC ID],$B31)&gt;1,"Duplicate NOC ID",IF($H31=0,"No enabled locations",IF($E31="","No usable scope","OK"))))))</x:f>
        <x:v>Disabled</x:v>
      </x:c>
      <x:c r="J31" s="79" t="str"/>
      <x:c r="K31" t="str">
        <x:f>IF($A31="Yes",COUNTIF($A$5:$A31,"Yes"),"")</x:f>
      </x:c>
      <x:c r="L31" t="str">
        <x:f>IF($K31="","","NOC|"&amp;TEXT($K31,"000"))</x:f>
      </x:c>
      <x:c r="M31" t="str">
        <x:f>IFERROR(INDEX($C$5:$C$44,MATCH("NOC|027",$L$5:$L$44,0)),"")</x:f>
        <x:v>Current / Sample NOC</x:v>
      </x:c>
    </x:row>
    <x:row r="32">
      <x:c r="A32" s="79" t="str">
        <x:v>No</x:v>
      </x:c>
      <x:c r="B32" s="79" t="str">
        <x:v>NOC_028</x:v>
      </x:c>
      <x:c r="C32" s="79" t="str">
        <x:v>NOC 028</x:v>
      </x:c>
      <x:c r="D32" s="79"/>
      <x:c r="E32" s="80" t="str">
        <x:f>IF(A32&lt;&gt;"Yes","",IF(H32=0,"","("&amp;XLOOKUP(B32,LocationsTbl[NOC Key (helper)],LocationsTbl[NOC Scope Accumulator (helper)],"",0,-1)&amp;")"))</x:f>
      </x:c>
      <x:c r="F32" s="80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80" t="str">
        <x:f>IF(OR(A32&lt;&gt;"Yes",E32=""),"","{""label"":""All Locations"",""value"":"""&amp;SUBSTITUTE(E32,CHAR(34),"\"&amp;CHAR(34))&amp;"""}")</x:f>
      </x:c>
      <x:c r="H32" s="80" t="n">
        <x:f>IF($B32="","",COUNTIFS(LocationsTbl[Use?],"Yes",LocationsTbl[NOC ID],$B32))</x:f>
        <x:v>0</x:v>
      </x:c>
      <x:c r="I32" s="80" t="str">
        <x:f>IF($A32&lt;&gt;"Yes","Disabled",IF($B32="","Missing NOC ID",IF($C32="","Missing display name",IF(COUNTIF(NOCsTbl[NOC ID],$B32)&gt;1,"Duplicate NOC ID",IF($H32=0,"No enabled locations",IF($E32="","No usable scope","OK"))))))</x:f>
        <x:v>Disabled</x:v>
      </x:c>
      <x:c r="J32" s="79" t="str"/>
      <x:c r="K32" t="str">
        <x:f>IF($A32="Yes",COUNTIF($A$5:$A32,"Yes"),"")</x:f>
      </x:c>
      <x:c r="L32" t="str">
        <x:f>IF($K32="","","NOC|"&amp;TEXT($K32,"000"))</x:f>
      </x:c>
      <x:c r="M32" t="str">
        <x:f>IFERROR(INDEX($C$5:$C$44,MATCH("NOC|028",$L$5:$L$44,0)),"")</x:f>
        <x:v>Current / Sample NOC</x:v>
      </x:c>
    </x:row>
    <x:row r="33">
      <x:c r="A33" s="79" t="str">
        <x:v>No</x:v>
      </x:c>
      <x:c r="B33" s="79" t="str">
        <x:v>NOC_029</x:v>
      </x:c>
      <x:c r="C33" s="79" t="str">
        <x:v>NOC 029</x:v>
      </x:c>
      <x:c r="D33" s="79"/>
      <x:c r="E33" s="80" t="str">
        <x:f>IF(A33&lt;&gt;"Yes","",IF(H33=0,"","("&amp;XLOOKUP(B33,LocationsTbl[NOC Key (helper)],LocationsTbl[NOC Scope Accumulator (helper)],"",0,-1)&amp;")"))</x:f>
      </x:c>
      <x:c r="F33" s="80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80" t="str">
        <x:f>IF(OR(A33&lt;&gt;"Yes",E33=""),"","{""label"":""All Locations"",""value"":"""&amp;SUBSTITUTE(E33,CHAR(34),"\"&amp;CHAR(34))&amp;"""}")</x:f>
      </x:c>
      <x:c r="H33" s="80" t="n">
        <x:f>IF($B33="","",COUNTIFS(LocationsTbl[Use?],"Yes",LocationsTbl[NOC ID],$B33))</x:f>
        <x:v>0</x:v>
      </x:c>
      <x:c r="I33" s="80" t="str">
        <x:f>IF($A33&lt;&gt;"Yes","Disabled",IF($B33="","Missing NOC ID",IF($C33="","Missing display name",IF(COUNTIF(NOCsTbl[NOC ID],$B33)&gt;1,"Duplicate NOC ID",IF($H33=0,"No enabled locations",IF($E33="","No usable scope","OK"))))))</x:f>
        <x:v>Disabled</x:v>
      </x:c>
      <x:c r="J33" s="79" t="str"/>
      <x:c r="K33" t="str">
        <x:f>IF($A33="Yes",COUNTIF($A$5:$A33,"Yes"),"")</x:f>
      </x:c>
      <x:c r="L33" t="str">
        <x:f>IF($K33="","","NOC|"&amp;TEXT($K33,"000"))</x:f>
      </x:c>
      <x:c r="M33" t="str">
        <x:f>IFERROR(INDEX($C$5:$C$44,MATCH("NOC|029",$L$5:$L$44,0)),"")</x:f>
        <x:v>Current / Sample NOC</x:v>
      </x:c>
    </x:row>
    <x:row r="34">
      <x:c r="A34" s="79" t="str">
        <x:v>No</x:v>
      </x:c>
      <x:c r="B34" s="79" t="str">
        <x:v>NOC_030</x:v>
      </x:c>
      <x:c r="C34" s="79" t="str">
        <x:v>NOC 030</x:v>
      </x:c>
      <x:c r="D34" s="79"/>
      <x:c r="E34" s="80" t="str">
        <x:f>IF(A34&lt;&gt;"Yes","",IF(H34=0,"","("&amp;XLOOKUP(B34,LocationsTbl[NOC Key (helper)],LocationsTbl[NOC Scope Accumulator (helper)],"",0,-1)&amp;")"))</x:f>
      </x:c>
      <x:c r="F34" s="80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80" t="str">
        <x:f>IF(OR(A34&lt;&gt;"Yes",E34=""),"","{""label"":""All Locations"",""value"":"""&amp;SUBSTITUTE(E34,CHAR(34),"\"&amp;CHAR(34))&amp;"""}")</x:f>
      </x:c>
      <x:c r="H34" s="80" t="n">
        <x:f>IF($B34="","",COUNTIFS(LocationsTbl[Use?],"Yes",LocationsTbl[NOC ID],$B34))</x:f>
        <x:v>0</x:v>
      </x:c>
      <x:c r="I34" s="80" t="str">
        <x:f>IF($A34&lt;&gt;"Yes","Disabled",IF($B34="","Missing NOC ID",IF($C34="","Missing display name",IF(COUNTIF(NOCsTbl[NOC ID],$B34)&gt;1,"Duplicate NOC ID",IF($H34=0,"No enabled locations",IF($E34="","No usable scope","OK"))))))</x:f>
        <x:v>Disabled</x:v>
      </x:c>
      <x:c r="J34" s="79" t="str"/>
      <x:c r="K34" t="str">
        <x:f>IF($A34="Yes",COUNTIF($A$5:$A34,"Yes"),"")</x:f>
      </x:c>
      <x:c r="L34" t="str">
        <x:f>IF($K34="","","NOC|"&amp;TEXT($K34,"000"))</x:f>
      </x:c>
      <x:c r="M34" t="str">
        <x:f>IFERROR(INDEX($C$5:$C$44,MATCH("NOC|030",$L$5:$L$44,0)),"")</x:f>
        <x:v>Current / Sample NOC</x:v>
      </x:c>
    </x:row>
    <x:row r="35">
      <x:c r="A35" s="79" t="str">
        <x:v>No</x:v>
      </x:c>
      <x:c r="B35" s="79" t="str">
        <x:v>NOC_031</x:v>
      </x:c>
      <x:c r="C35" s="79" t="str">
        <x:v>NOC 031</x:v>
      </x:c>
      <x:c r="D35" s="79"/>
      <x:c r="E35" s="80" t="str">
        <x:f>IF(A35&lt;&gt;"Yes","",IF(H35=0,"","("&amp;XLOOKUP(B35,LocationsTbl[NOC Key (helper)],LocationsTbl[NOC Scope Accumulator (helper)],"",0,-1)&amp;")"))</x:f>
      </x:c>
      <x:c r="F35" s="80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80" t="str">
        <x:f>IF(OR(A35&lt;&gt;"Yes",E35=""),"","{""label"":""All Locations"",""value"":"""&amp;SUBSTITUTE(E35,CHAR(34),"\"&amp;CHAR(34))&amp;"""}")</x:f>
      </x:c>
      <x:c r="H35" s="80" t="n">
        <x:f>IF($B35="","",COUNTIFS(LocationsTbl[Use?],"Yes",LocationsTbl[NOC ID],$B35))</x:f>
        <x:v>0</x:v>
      </x:c>
      <x:c r="I35" s="80" t="str">
        <x:f>IF($A35&lt;&gt;"Yes","Disabled",IF($B35="","Missing NOC ID",IF($C35="","Missing display name",IF(COUNTIF(NOCsTbl[NOC ID],$B35)&gt;1,"Duplicate NOC ID",IF($H35=0,"No enabled locations",IF($E35="","No usable scope","OK"))))))</x:f>
        <x:v>Disabled</x:v>
      </x:c>
      <x:c r="J35" s="79" t="str"/>
      <x:c r="K35" t="str">
        <x:f>IF($A35="Yes",COUNTIF($A$5:$A35,"Yes"),"")</x:f>
      </x:c>
      <x:c r="L35" t="str">
        <x:f>IF($K35="","","NOC|"&amp;TEXT($K35,"000"))</x:f>
      </x:c>
      <x:c r="M35" t="str">
        <x:f>IFERROR(INDEX($C$5:$C$44,MATCH("NOC|031",$L$5:$L$44,0)),"")</x:f>
        <x:v>Current / Sample NOC</x:v>
      </x:c>
    </x:row>
    <x:row r="36">
      <x:c r="A36" s="79" t="str">
        <x:v>No</x:v>
      </x:c>
      <x:c r="B36" s="79" t="str">
        <x:v>NOC_032</x:v>
      </x:c>
      <x:c r="C36" s="79" t="str">
        <x:v>NOC 032</x:v>
      </x:c>
      <x:c r="D36" s="79"/>
      <x:c r="E36" s="80" t="str">
        <x:f>IF(A36&lt;&gt;"Yes","",IF(H36=0,"","("&amp;XLOOKUP(B36,LocationsTbl[NOC Key (helper)],LocationsTbl[NOC Scope Accumulator (helper)],"",0,-1)&amp;")"))</x:f>
      </x:c>
      <x:c r="F36" s="80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80" t="str">
        <x:f>IF(OR(A36&lt;&gt;"Yes",E36=""),"","{""label"":""All Locations"",""value"":"""&amp;SUBSTITUTE(E36,CHAR(34),"\"&amp;CHAR(34))&amp;"""}")</x:f>
      </x:c>
      <x:c r="H36" s="80" t="n">
        <x:f>IF($B36="","",COUNTIFS(LocationsTbl[Use?],"Yes",LocationsTbl[NOC ID],$B36))</x:f>
        <x:v>0</x:v>
      </x:c>
      <x:c r="I36" s="80" t="str">
        <x:f>IF($A36&lt;&gt;"Yes","Disabled",IF($B36="","Missing NOC ID",IF($C36="","Missing display name",IF(COUNTIF(NOCsTbl[NOC ID],$B36)&gt;1,"Duplicate NOC ID",IF($H36=0,"No enabled locations",IF($E36="","No usable scope","OK"))))))</x:f>
        <x:v>Disabled</x:v>
      </x:c>
      <x:c r="J36" s="79" t="str"/>
      <x:c r="K36" t="str">
        <x:f>IF($A36="Yes",COUNTIF($A$5:$A36,"Yes"),"")</x:f>
      </x:c>
      <x:c r="L36" t="str">
        <x:f>IF($K36="","","NOC|"&amp;TEXT($K36,"000"))</x:f>
      </x:c>
      <x:c r="M36" t="str">
        <x:f>IFERROR(INDEX($C$5:$C$44,MATCH("NOC|032",$L$5:$L$44,0)),"")</x:f>
        <x:v>Current / Sample NOC</x:v>
      </x:c>
    </x:row>
    <x:row r="37">
      <x:c r="A37" s="79" t="str">
        <x:v>No</x:v>
      </x:c>
      <x:c r="B37" s="79" t="str">
        <x:v>NOC_033</x:v>
      </x:c>
      <x:c r="C37" s="79" t="str">
        <x:v>NOC 033</x:v>
      </x:c>
      <x:c r="D37" s="79"/>
      <x:c r="E37" s="80" t="str">
        <x:f>IF(A37&lt;&gt;"Yes","",IF(H37=0,"","("&amp;XLOOKUP(B37,LocationsTbl[NOC Key (helper)],LocationsTbl[NOC Scope Accumulator (helper)],"",0,-1)&amp;")"))</x:f>
      </x:c>
      <x:c r="F37" s="80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80" t="str">
        <x:f>IF(OR(A37&lt;&gt;"Yes",E37=""),"","{""label"":""All Locations"",""value"":"""&amp;SUBSTITUTE(E37,CHAR(34),"\"&amp;CHAR(34))&amp;"""}")</x:f>
      </x:c>
      <x:c r="H37" s="80" t="n">
        <x:f>IF($B37="","",COUNTIFS(LocationsTbl[Use?],"Yes",LocationsTbl[NOC ID],$B37))</x:f>
        <x:v>0</x:v>
      </x:c>
      <x:c r="I37" s="80" t="str">
        <x:f>IF($A37&lt;&gt;"Yes","Disabled",IF($B37="","Missing NOC ID",IF($C37="","Missing display name",IF(COUNTIF(NOCsTbl[NOC ID],$B37)&gt;1,"Duplicate NOC ID",IF($H37=0,"No enabled locations",IF($E37="","No usable scope","OK"))))))</x:f>
        <x:v>Disabled</x:v>
      </x:c>
      <x:c r="J37" s="79" t="str"/>
      <x:c r="K37" t="str">
        <x:f>IF($A37="Yes",COUNTIF($A$5:$A37,"Yes"),"")</x:f>
      </x:c>
      <x:c r="L37" t="str">
        <x:f>IF($K37="","","NOC|"&amp;TEXT($K37,"000"))</x:f>
      </x:c>
      <x:c r="M37" t="str">
        <x:f>IFERROR(INDEX($C$5:$C$44,MATCH("NOC|033",$L$5:$L$44,0)),"")</x:f>
        <x:v>Current / Sample NOC</x:v>
      </x:c>
    </x:row>
    <x:row r="38">
      <x:c r="A38" s="79" t="str">
        <x:v>No</x:v>
      </x:c>
      <x:c r="B38" s="79" t="str">
        <x:v>NOC_034</x:v>
      </x:c>
      <x:c r="C38" s="79" t="str">
        <x:v>NOC 034</x:v>
      </x:c>
      <x:c r="D38" s="79"/>
      <x:c r="E38" s="80" t="str">
        <x:f>IF(A38&lt;&gt;"Yes","",IF(H38=0,"","("&amp;XLOOKUP(B38,LocationsTbl[NOC Key (helper)],LocationsTbl[NOC Scope Accumulator (helper)],"",0,-1)&amp;")"))</x:f>
      </x:c>
      <x:c r="F38" s="80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80" t="str">
        <x:f>IF(OR(A38&lt;&gt;"Yes",E38=""),"","{""label"":""All Locations"",""value"":"""&amp;SUBSTITUTE(E38,CHAR(34),"\"&amp;CHAR(34))&amp;"""}")</x:f>
      </x:c>
      <x:c r="H38" s="80" t="n">
        <x:f>IF($B38="","",COUNTIFS(LocationsTbl[Use?],"Yes",LocationsTbl[NOC ID],$B38))</x:f>
        <x:v>0</x:v>
      </x:c>
      <x:c r="I38" s="80" t="str">
        <x:f>IF($A38&lt;&gt;"Yes","Disabled",IF($B38="","Missing NOC ID",IF($C38="","Missing display name",IF(COUNTIF(NOCsTbl[NOC ID],$B38)&gt;1,"Duplicate NOC ID",IF($H38=0,"No enabled locations",IF($E38="","No usable scope","OK"))))))</x:f>
        <x:v>Disabled</x:v>
      </x:c>
      <x:c r="J38" s="79" t="str"/>
      <x:c r="K38" t="str">
        <x:f>IF($A38="Yes",COUNTIF($A$5:$A38,"Yes"),"")</x:f>
      </x:c>
      <x:c r="L38" t="str">
        <x:f>IF($K38="","","NOC|"&amp;TEXT($K38,"000"))</x:f>
      </x:c>
      <x:c r="M38" t="str">
        <x:f>IFERROR(INDEX($C$5:$C$44,MATCH("NOC|034",$L$5:$L$44,0)),"")</x:f>
        <x:v>Current / Sample NOC</x:v>
      </x:c>
    </x:row>
    <x:row r="39">
      <x:c r="A39" s="79" t="str">
        <x:v>No</x:v>
      </x:c>
      <x:c r="B39" s="79" t="str">
        <x:v>NOC_035</x:v>
      </x:c>
      <x:c r="C39" s="79" t="str">
        <x:v>NOC 035</x:v>
      </x:c>
      <x:c r="D39" s="79"/>
      <x:c r="E39" s="80" t="str">
        <x:f>IF(A39&lt;&gt;"Yes","",IF(H39=0,"","("&amp;XLOOKUP(B39,LocationsTbl[NOC Key (helper)],LocationsTbl[NOC Scope Accumulator (helper)],"",0,-1)&amp;")"))</x:f>
      </x:c>
      <x:c r="F39" s="80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80" t="str">
        <x:f>IF(OR(A39&lt;&gt;"Yes",E39=""),"","{""label"":""All Locations"",""value"":"""&amp;SUBSTITUTE(E39,CHAR(34),"\"&amp;CHAR(34))&amp;"""}")</x:f>
      </x:c>
      <x:c r="H39" s="80" t="n">
        <x:f>IF($B39="","",COUNTIFS(LocationsTbl[Use?],"Yes",LocationsTbl[NOC ID],$B39))</x:f>
        <x:v>0</x:v>
      </x:c>
      <x:c r="I39" s="80" t="str">
        <x:f>IF($A39&lt;&gt;"Yes","Disabled",IF($B39="","Missing NOC ID",IF($C39="","Missing display name",IF(COUNTIF(NOCsTbl[NOC ID],$B39)&gt;1,"Duplicate NOC ID",IF($H39=0,"No enabled locations",IF($E39="","No usable scope","OK"))))))</x:f>
        <x:v>Disabled</x:v>
      </x:c>
      <x:c r="J39" s="79" t="str"/>
      <x:c r="K39" t="str">
        <x:f>IF($A39="Yes",COUNTIF($A$5:$A39,"Yes"),"")</x:f>
      </x:c>
      <x:c r="L39" t="str">
        <x:f>IF($K39="","","NOC|"&amp;TEXT($K39,"000"))</x:f>
      </x:c>
      <x:c r="M39" t="str">
        <x:f>IFERROR(INDEX($C$5:$C$44,MATCH("NOC|035",$L$5:$L$44,0)),"")</x:f>
        <x:v>Current / Sample NOC</x:v>
      </x:c>
    </x:row>
    <x:row r="40">
      <x:c r="A40" s="79" t="str">
        <x:v>No</x:v>
      </x:c>
      <x:c r="B40" s="79" t="str">
        <x:v>NOC_036</x:v>
      </x:c>
      <x:c r="C40" s="79" t="str">
        <x:v>NOC 036</x:v>
      </x:c>
      <x:c r="D40" s="79"/>
      <x:c r="E40" s="80" t="str">
        <x:f>IF(A40&lt;&gt;"Yes","",IF(H40=0,"","("&amp;XLOOKUP(B40,LocationsTbl[NOC Key (helper)],LocationsTbl[NOC Scope Accumulator (helper)],"",0,-1)&amp;")"))</x:f>
      </x:c>
      <x:c r="F40" s="80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80" t="str">
        <x:f>IF(OR(A40&lt;&gt;"Yes",E40=""),"","{""label"":""All Locations"",""value"":"""&amp;SUBSTITUTE(E40,CHAR(34),"\"&amp;CHAR(34))&amp;"""}")</x:f>
      </x:c>
      <x:c r="H40" s="80" t="n">
        <x:f>IF($B40="","",COUNTIFS(LocationsTbl[Use?],"Yes",LocationsTbl[NOC ID],$B40))</x:f>
        <x:v>0</x:v>
      </x:c>
      <x:c r="I40" s="80" t="str">
        <x:f>IF($A40&lt;&gt;"Yes","Disabled",IF($B40="","Missing NOC ID",IF($C40="","Missing display name",IF(COUNTIF(NOCsTbl[NOC ID],$B40)&gt;1,"Duplicate NOC ID",IF($H40=0,"No enabled locations",IF($E40="","No usable scope","OK"))))))</x:f>
        <x:v>Disabled</x:v>
      </x:c>
      <x:c r="J40" s="79" t="str"/>
      <x:c r="K40" t="str">
        <x:f>IF($A40="Yes",COUNTIF($A$5:$A40,"Yes"),"")</x:f>
      </x:c>
      <x:c r="L40" t="str">
        <x:f>IF($K40="","","NOC|"&amp;TEXT($K40,"000"))</x:f>
      </x:c>
      <x:c r="M40" t="str">
        <x:f>IFERROR(INDEX($C$5:$C$44,MATCH("NOC|036",$L$5:$L$44,0)),"")</x:f>
        <x:v>Current / Sample NOC</x:v>
      </x:c>
    </x:row>
    <x:row r="41">
      <x:c r="A41" s="79" t="str">
        <x:v>No</x:v>
      </x:c>
      <x:c r="B41" s="79" t="str">
        <x:v>NOC_037</x:v>
      </x:c>
      <x:c r="C41" s="79" t="str">
        <x:v>NOC 037</x:v>
      </x:c>
      <x:c r="D41" s="79"/>
      <x:c r="E41" s="80" t="str">
        <x:f>IF(A41&lt;&gt;"Yes","",IF(H41=0,"","("&amp;XLOOKUP(B41,LocationsTbl[NOC Key (helper)],LocationsTbl[NOC Scope Accumulator (helper)],"",0,-1)&amp;")"))</x:f>
      </x:c>
      <x:c r="F41" s="80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80" t="str">
        <x:f>IF(OR(A41&lt;&gt;"Yes",E41=""),"","{""label"":""All Locations"",""value"":"""&amp;SUBSTITUTE(E41,CHAR(34),"\"&amp;CHAR(34))&amp;"""}")</x:f>
      </x:c>
      <x:c r="H41" s="80" t="n">
        <x:f>IF($B41="","",COUNTIFS(LocationsTbl[Use?],"Yes",LocationsTbl[NOC ID],$B41))</x:f>
        <x:v>0</x:v>
      </x:c>
      <x:c r="I41" s="80" t="str">
        <x:f>IF($A41&lt;&gt;"Yes","Disabled",IF($B41="","Missing NOC ID",IF($C41="","Missing display name",IF(COUNTIF(NOCsTbl[NOC ID],$B41)&gt;1,"Duplicate NOC ID",IF($H41=0,"No enabled locations",IF($E41="","No usable scope","OK"))))))</x:f>
        <x:v>Disabled</x:v>
      </x:c>
      <x:c r="J41" s="79" t="str"/>
      <x:c r="K41" t="str">
        <x:f>IF($A41="Yes",COUNTIF($A$5:$A41,"Yes"),"")</x:f>
      </x:c>
      <x:c r="L41" t="str">
        <x:f>IF($K41="","","NOC|"&amp;TEXT($K41,"000"))</x:f>
      </x:c>
      <x:c r="M41" t="str">
        <x:f>IFERROR(INDEX($C$5:$C$44,MATCH("NOC|037",$L$5:$L$44,0)),"")</x:f>
        <x:v>Current / Sample NOC</x:v>
      </x:c>
    </x:row>
    <x:row r="42">
      <x:c r="A42" s="79" t="str">
        <x:v>No</x:v>
      </x:c>
      <x:c r="B42" s="79" t="str">
        <x:v>NOC_038</x:v>
      </x:c>
      <x:c r="C42" s="79" t="str">
        <x:v>NOC 038</x:v>
      </x:c>
      <x:c r="D42" s="79"/>
      <x:c r="E42" s="80" t="str">
        <x:f>IF(A42&lt;&gt;"Yes","",IF(H42=0,"","("&amp;XLOOKUP(B42,LocationsTbl[NOC Key (helper)],LocationsTbl[NOC Scope Accumulator (helper)],"",0,-1)&amp;")"))</x:f>
      </x:c>
      <x:c r="F42" s="80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80" t="str">
        <x:f>IF(OR(A42&lt;&gt;"Yes",E42=""),"","{""label"":""All Locations"",""value"":"""&amp;SUBSTITUTE(E42,CHAR(34),"\"&amp;CHAR(34))&amp;"""}")</x:f>
      </x:c>
      <x:c r="H42" s="80" t="n">
        <x:f>IF($B42="","",COUNTIFS(LocationsTbl[Use?],"Yes",LocationsTbl[NOC ID],$B42))</x:f>
        <x:v>0</x:v>
      </x:c>
      <x:c r="I42" s="80" t="str">
        <x:f>IF($A42&lt;&gt;"Yes","Disabled",IF($B42="","Missing NOC ID",IF($C42="","Missing display name",IF(COUNTIF(NOCsTbl[NOC ID],$B42)&gt;1,"Duplicate NOC ID",IF($H42=0,"No enabled locations",IF($E42="","No usable scope","OK"))))))</x:f>
        <x:v>Disabled</x:v>
      </x:c>
      <x:c r="J42" s="79" t="str"/>
      <x:c r="K42" t="str">
        <x:f>IF($A42="Yes",COUNTIF($A$5:$A42,"Yes"),"")</x:f>
      </x:c>
      <x:c r="L42" t="str">
        <x:f>IF($K42="","","NOC|"&amp;TEXT($K42,"000"))</x:f>
      </x:c>
      <x:c r="M42" t="str">
        <x:f>IFERROR(INDEX($C$5:$C$44,MATCH("NOC|038",$L$5:$L$44,0)),"")</x:f>
        <x:v>Current / Sample NOC</x:v>
      </x:c>
    </x:row>
    <x:row r="43">
      <x:c r="A43" s="79" t="str">
        <x:v>No</x:v>
      </x:c>
      <x:c r="B43" s="79" t="str">
        <x:v>NOC_039</x:v>
      </x:c>
      <x:c r="C43" s="79" t="str">
        <x:v>NOC 039</x:v>
      </x:c>
      <x:c r="D43" s="79"/>
      <x:c r="E43" s="80" t="str">
        <x:f>IF(A43&lt;&gt;"Yes","",IF(H43=0,"","("&amp;XLOOKUP(B43,LocationsTbl[NOC Key (helper)],LocationsTbl[NOC Scope Accumulator (helper)],"",0,-1)&amp;")"))</x:f>
      </x:c>
      <x:c r="F43" s="80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80" t="str">
        <x:f>IF(OR(A43&lt;&gt;"Yes",E43=""),"","{""label"":""All Locations"",""value"":"""&amp;SUBSTITUTE(E43,CHAR(34),"\"&amp;CHAR(34))&amp;"""}")</x:f>
      </x:c>
      <x:c r="H43" s="80" t="n">
        <x:f>IF($B43="","",COUNTIFS(LocationsTbl[Use?],"Yes",LocationsTbl[NOC ID],$B43))</x:f>
        <x:v>0</x:v>
      </x:c>
      <x:c r="I43" s="80" t="str">
        <x:f>IF($A43&lt;&gt;"Yes","Disabled",IF($B43="","Missing NOC ID",IF($C43="","Missing display name",IF(COUNTIF(NOCsTbl[NOC ID],$B43)&gt;1,"Duplicate NOC ID",IF($H43=0,"No enabled locations",IF($E43="","No usable scope","OK"))))))</x:f>
        <x:v>Disabled</x:v>
      </x:c>
      <x:c r="J43" s="79" t="str"/>
      <x:c r="K43" t="str">
        <x:f>IF($A43="Yes",COUNTIF($A$5:$A43,"Yes"),"")</x:f>
      </x:c>
      <x:c r="L43" t="str">
        <x:f>IF($K43="","","NOC|"&amp;TEXT($K43,"000"))</x:f>
      </x:c>
      <x:c r="M43" t="str">
        <x:f>IFERROR(INDEX($C$5:$C$44,MATCH("NOC|039",$L$5:$L$44,0)),"")</x:f>
        <x:v>Current / Sample NOC</x:v>
      </x:c>
    </x:row>
    <x:row r="44">
      <x:c r="A44" s="79" t="str">
        <x:v>No</x:v>
      </x:c>
      <x:c r="B44" s="79" t="str">
        <x:v>NOC_040</x:v>
      </x:c>
      <x:c r="C44" s="79" t="str">
        <x:v>NOC 040</x:v>
      </x:c>
      <x:c r="D44" s="79"/>
      <x:c r="E44" s="80" t="str">
        <x:f>IF(A44&lt;&gt;"Yes","",IF(H44=0,"","("&amp;XLOOKUP(B44,LocationsTbl[NOC Key (helper)],LocationsTbl[NOC Scope Accumulator (helper)],"",0,-1)&amp;")"))</x:f>
      </x:c>
      <x:c r="F44" s="80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80" t="str">
        <x:f>IF(OR(A44&lt;&gt;"Yes",E44=""),"","{""label"":""All Locations"",""value"":"""&amp;SUBSTITUTE(E44,CHAR(34),"\"&amp;CHAR(34))&amp;"""}")</x:f>
      </x:c>
      <x:c r="H44" s="80" t="n">
        <x:f>IF($B44="","",COUNTIFS(LocationsTbl[Use?],"Yes",LocationsTbl[NOC ID],$B44))</x:f>
        <x:v>0</x:v>
      </x:c>
      <x:c r="I44" s="80" t="str">
        <x:f>IF($A44&lt;&gt;"Yes","Disabled",IF($B44="","Missing NOC ID",IF($C44="","Missing display name",IF(COUNTIF(NOCsTbl[NOC ID],$B44)&gt;1,"Duplicate NOC ID",IF($H44=0,"No enabled locations",IF($E44="","No usable scope","OK"))))))</x:f>
        <x:v>Disabled</x:v>
      </x:c>
      <x:c r="J44" s="79" t="str"/>
      <x:c r="K44" t="str">
        <x:f>IF($A44="Yes",COUNTIF($A$5:$A44,"Yes"),"")</x:f>
      </x:c>
      <x:c r="L44" t="str">
        <x:f>IF($K44="","","NOC|"&amp;TEXT($K44,"000"))</x:f>
      </x:c>
      <x:c r="M44" t="str">
        <x:f>IFERROR(INDEX($C$5:$C$44,MATCH("NOC|040",$L$5:$L$44,0)),"")</x:f>
        <x:v>Current / Sample NOC</x:v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ef882622b4b8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26" hidden="0" customWidth="1"/>
    <x:col min="5" max="5" width="9" hidden="0" customWidth="1"/>
    <x:col min="6" max="6" width="52" hidden="0" customWidth="1"/>
    <x:col min="7" max="7" width="48" hidden="0" customWidth="1"/>
    <x:col min="8" max="8" width="12" hidden="0" customWidth="1"/>
    <x:col min="9" max="9" width="22" hidden="0" customWidth="1"/>
    <x:col min="10" max="10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67" t="str">
        <x:v>Locations — child scopes under each NOC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71" t="str">
        <x:v>One row = one selectable location. The table expands as you add rows, so one NOC can have 4 locations and another 8 (or more) without redesigning the workbook.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>
      <x:c r="A4" s="76" t="str">
        <x:v>Use?</x:v>
      </x:c>
      <x:c r="B4" s="76" t="str">
        <x:v>NOC ID</x:v>
      </x:c>
      <x:c r="C4" s="76" t="str">
        <x:v>Location ID</x:v>
      </x:c>
      <x:c r="D4" s="76" t="str">
        <x:v>Display Name</x:v>
      </x:c>
      <x:c r="E4" s="76" t="str">
        <x:v>Sort</x:v>
      </x:c>
      <x:c r="F4" s="76" t="str">
        <x:v>Auto Scope</x:v>
      </x:c>
      <x:c r="G4" s="76" t="str">
        <x:v>Scope Token Item</x:v>
      </x:c>
      <x:c r="H4" s="76" t="str">
        <x:v>Rule Count</x:v>
      </x:c>
      <x:c r="I4" s="76" t="str">
        <x:v>Status</x:v>
      </x:c>
      <x:c r="J4" s="76" t="str">
        <x:v>Notes</x:v>
      </x:c>
      <x:c r="K4" s="120" t="str">
        <x:v>NOC Key (helper)</x:v>
      </x:c>
      <x:c r="L4" s="120" t="str">
        <x:v>NOC Scope Accumulator (helper)</x:v>
      </x:c>
      <x:c r="M4" s="172" t="str">
        <x:v>NOC Location Rank (helper)</x:v>
      </x:c>
      <x:c r="N4" s="172" t="str">
        <x:v>NOC + Display Key (helper)</x:v>
      </x:c>
      <x:c r="O4" s="172" t="str">
        <x:v>NOC + Rank Key (helper)</x:v>
      </x:c>
      <x:c r="P4" s="172" t="str">
        <x:v>Selected NOC Site List (helper)</x:v>
      </x:c>
    </x:row>
    <x:row r="5">
      <x:c r="A5" s="79" t="str">
        <x:v>Yes</x:v>
      </x:c>
      <x:c r="B5" s="79" t="str">
        <x:v>NOC_CURRENT</x:v>
      </x:c>
      <x:c r="C5" s="79" t="str">
        <x:v>LOC_CURRENT</x:v>
      </x:c>
      <x:c r="D5" s="79" t="str">
        <x:v>Current Draft Scope</x:v>
      </x:c>
      <x:c r="E5" s="79" t="n">
        <x:v>10</x:v>
      </x:c>
      <x:c r="F5" s="80" t="str">
        <x:f>IF(A5&lt;&gt;"Yes","",IF(H5=0,"","("&amp;XLOOKUP(C5,ScopeRulesTbl[Rule Key (helper)],ScopeRulesTbl[Scope Accumulator (helper)],"",0,-1)&amp;")"))</x:f>
        <x:v>(host="syr*" OR host="salep*" OR host="144.219.*" OR host="144.221.*")</x:v>
      </x:c>
      <x:c r="G5" s="80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80" t="n">
        <x:f>IF($C5="","",COUNTIFS(ScopeRulesTbl[Use?],"Yes",ScopeRulesTbl[Location ID],$C5))</x:f>
        <x:v>4</x:v>
      </x:c>
      <x:c r="I5" s="80" t="str">
        <x:f>IF($A5&lt;&gt;"Yes","Disabled",IF($B5="","Missing NOC ID",IF(COUNTIF(NOCsTbl[NOC ID],$B5)=0,"NOC not found",IF($C5="","Missing Location ID",IF(COUNTIF(LocationsTbl[Location ID],$C5)&gt;1,"Duplicate Location ID",IF($D5="","Missing display name",IF($H5=0,"No enabled rules",IF($F5="","No usable scope","OK"))))))))</x:f>
        <x:v>OK</x:v>
      </x:c>
      <x:c r="J5" s="79" t="str">
        <x:v>Seeded from the old V3 sample scope.</x:v>
      </x:c>
      <x:c r="K5" s="118" t="str">
        <x:f>IF(AND(A5="Yes",I5="OK",F5&lt;&gt;""),B5,"")</x:f>
        <x:v>NOC_CURRENT</x:v>
      </x:c>
      <x:c r="L5" s="118" t="str">
        <x:f>IF(K5="","",F5)</x:f>
        <x:v>(host="syr*" OR host="salep*" OR host="144.219.*" OR host="144.221.*")</x:v>
      </x:c>
      <x:c r="M5" s="24" t="n">
        <x:f>IF(AND($A5="Yes",$B5&lt;&gt;""),COUNTIFS($B$5:$B5,$B5,$A$5:$A5,"Yes"),"")</x:f>
        <x:v>1</x:v>
      </x:c>
      <x:c r="N5" s="24" t="str">
        <x:f>IF(OR($A5&lt;&gt;"Yes",$B5="",$D5=""),"",$B5&amp;"|"&amp;$D5)</x:f>
        <x:v>NOC_CURRENT|Current Draft Scope</x:v>
      </x:c>
      <x:c r="O5" s="24" t="str">
        <x:f>IF($M5="","",$B5&amp;"|"&amp;TEXT($M5,"000"))</x:f>
        <x:v>NOC_CURRENT|001</x:v>
      </x:c>
      <x:c r="P5" s="24" t="str">
        <x:f>IF(Generator!$E$6="","",IFERROR(INDEX($D$5:$D$64,MATCH(Generator!$E$6&amp;"|001",$O$5:$O$64,0)),""))</x:f>
        <x:v>Current Draft Scope</x:v>
      </x:c>
    </x:row>
    <x:row r="6">
      <x:c r="A6" s="79" t="str">
        <x:v>No</x:v>
      </x:c>
      <x:c r="B6" s="79" t="str">
        <x:v>NOC_CURRENT</x:v>
      </x:c>
      <x:c r="C6" s="79" t="str">
        <x:v>LOC_002</x:v>
      </x:c>
      <x:c r="D6" s="79" t="str">
        <x:v>Location 002</x:v>
      </x:c>
      <x:c r="E6" s="79" t="n">
        <x:v>20</x:v>
      </x:c>
      <x:c r="F6" s="80" t="str">
        <x:f>IF(A6&lt;&gt;"Yes","",IF(H6=0,"","("&amp;XLOOKUP(C6,ScopeRulesTbl[Rule Key (helper)],ScopeRulesTbl[Scope Accumulator (helper)],"",0,-1)&amp;")"))</x:f>
      </x:c>
      <x:c r="G6" s="80" t="str">
        <x:f>IF(OR(A6&lt;&gt;"Yes",F6=""),"","{""label"":"""&amp;D6&amp;""",""value"":"""&amp;SUBSTITUTE(F6,CHAR(34),"\"&amp;CHAR(34))&amp;"""}")</x:f>
      </x:c>
      <x:c r="H6" s="80" t="n">
        <x:f>IF($C6="","",COUNTIFS(ScopeRulesTbl[Use?],"Yes",ScopeRulesTbl[Location ID],$C6))</x:f>
        <x:v>0</x:v>
      </x:c>
      <x:c r="I6" s="80" t="str">
        <x:f>IF($A6&lt;&gt;"Yes","Disabled",IF($B6="","Missing NOC ID",IF(COUNTIF(NOCsTbl[NOC ID],$B6)=0,"NOC not found",IF($C6="","Missing Location ID",IF(COUNTIF(LocationsTbl[Location ID],$C6)&gt;1,"Duplicate Location ID",IF($D6="","Missing display name",IF($H6=0,"No enabled rules",IF($F6="","No usable scope","OK"))))))))</x:f>
        <x:v>Disabled</x:v>
      </x:c>
      <x:c r="J6" s="79" t="str"/>
      <x:c r="K6" s="118" t="str">
        <x:f>IF(AND(A6="Yes",I6="OK",F6&lt;&gt;""),B6,"")</x:f>
      </x:c>
      <x:c r="L6" s="118" t="str">
        <x:f>IF(K6="","",IF(COUNTIF($K$5:K5,K6)=0,F6,XLOOKUP(K6,$K$5:K5,$L$5:L5,"",0,-1)&amp;" OR "&amp;F6))</x:f>
      </x:c>
      <x:c r="M6" s="24" t="str">
        <x:f>IF(AND($A6="Yes",$B6&lt;&gt;""),COUNTIFS($B$5:$B6,$B6,$A$5:$A6,"Yes"),"")</x:f>
      </x:c>
      <x:c r="N6" s="24" t="str">
        <x:f>IF(OR($A6&lt;&gt;"Yes",$B6="",$D6=""),"",$B6&amp;"|"&amp;$D6)</x:f>
      </x:c>
      <x:c r="O6" s="24" t="str">
        <x:f>IF($M6="","",$B6&amp;"|"&amp;TEXT($M6,"000"))</x:f>
      </x:c>
      <x:c r="P6" s="24" t="str">
        <x:f>IF(Generator!$E$6="","",IFERROR(INDEX($D$5:$D$64,MATCH(Generator!$E$6&amp;"|002",$O$5:$O$64,0)),""))</x:f>
        <x:v>Current Draft Scope</x:v>
      </x:c>
    </x:row>
    <x:row r="7">
      <x:c r="A7" s="79" t="str">
        <x:v>No</x:v>
      </x:c>
      <x:c r="B7" s="79" t="str">
        <x:v>NOC_CURRENT</x:v>
      </x:c>
      <x:c r="C7" s="79" t="str">
        <x:v>LOC_003</x:v>
      </x:c>
      <x:c r="D7" s="79" t="str">
        <x:v>Location 003</x:v>
      </x:c>
      <x:c r="E7" s="79" t="n">
        <x:v>30</x:v>
      </x:c>
      <x:c r="F7" s="80" t="str">
        <x:f>IF(A7&lt;&gt;"Yes","",IF(H7=0,"","("&amp;XLOOKUP(C7,ScopeRulesTbl[Rule Key (helper)],ScopeRulesTbl[Scope Accumulator (helper)],"",0,-1)&amp;")"))</x:f>
      </x:c>
      <x:c r="G7" s="80" t="str">
        <x:f>IF(OR(A7&lt;&gt;"Yes",F7=""),"","{""label"":"""&amp;D7&amp;""",""value"":"""&amp;SUBSTITUTE(F7,CHAR(34),"\"&amp;CHAR(34))&amp;"""}")</x:f>
      </x:c>
      <x:c r="H7" s="80" t="n">
        <x:f>IF($C7="","",COUNTIFS(ScopeRulesTbl[Use?],"Yes",ScopeRulesTbl[Location ID],$C7))</x:f>
        <x:v>0</x:v>
      </x:c>
      <x:c r="I7" s="80" t="str">
        <x:f>IF($A7&lt;&gt;"Yes","Disabled",IF($B7="","Missing NOC ID",IF(COUNTIF(NOCsTbl[NOC ID],$B7)=0,"NOC not found",IF($C7="","Missing Location ID",IF(COUNTIF(LocationsTbl[Location ID],$C7)&gt;1,"Duplicate Location ID",IF($D7="","Missing display name",IF($H7=0,"No enabled rules",IF($F7="","No usable scope","OK"))))))))</x:f>
        <x:v>Disabled</x:v>
      </x:c>
      <x:c r="J7" s="79" t="str"/>
      <x:c r="K7" s="118" t="str">
        <x:f>IF(AND(A7="Yes",I7="OK",F7&lt;&gt;""),B7,"")</x:f>
      </x:c>
      <x:c r="L7" s="118" t="str">
        <x:f>IF(K7="","",IF(COUNTIF($K$5:K6,K7)=0,F7,XLOOKUP(K7,$K$5:K6,$L$5:L6,"",0,-1)&amp;" OR "&amp;F7))</x:f>
      </x:c>
      <x:c r="M7" s="24" t="str">
        <x:f>IF(AND($A7="Yes",$B7&lt;&gt;""),COUNTIFS($B$5:$B7,$B7,$A$5:$A7,"Yes"),"")</x:f>
      </x:c>
      <x:c r="N7" s="24" t="str">
        <x:f>IF(OR($A7&lt;&gt;"Yes",$B7="",$D7=""),"",$B7&amp;"|"&amp;$D7)</x:f>
      </x:c>
      <x:c r="O7" s="24" t="str">
        <x:f>IF($M7="","",$B7&amp;"|"&amp;TEXT($M7,"000"))</x:f>
      </x:c>
      <x:c r="P7" s="24" t="str">
        <x:f>IF(Generator!$E$6="","",IFERROR(INDEX($D$5:$D$64,MATCH(Generator!$E$6&amp;"|003",$O$5:$O$64,0)),""))</x:f>
        <x:v>Current Draft Scope</x:v>
      </x:c>
    </x:row>
    <x:row r="8">
      <x:c r="A8" s="79" t="str">
        <x:v>No</x:v>
      </x:c>
      <x:c r="B8" s="79" t="str"/>
      <x:c r="C8" s="79" t="str">
        <x:v>LOC_004</x:v>
      </x:c>
      <x:c r="D8" s="79" t="str">
        <x:v>Location 004</x:v>
      </x:c>
      <x:c r="E8" s="79" t="n">
        <x:v>40</x:v>
      </x:c>
      <x:c r="F8" s="80" t="str">
        <x:f>IF(A8&lt;&gt;"Yes","",IF(H8=0,"","("&amp;XLOOKUP(C8,ScopeRulesTbl[Rule Key (helper)],ScopeRulesTbl[Scope Accumulator (helper)],"",0,-1)&amp;")"))</x:f>
      </x:c>
      <x:c r="G8" s="80" t="str">
        <x:f>IF(OR(A8&lt;&gt;"Yes",F8=""),"","{""label"":"""&amp;D8&amp;""",""value"":"""&amp;SUBSTITUTE(F8,CHAR(34),"\"&amp;CHAR(34))&amp;"""}")</x:f>
      </x:c>
      <x:c r="H8" s="80" t="n">
        <x:f>IF($C8="","",COUNTIFS(ScopeRulesTbl[Use?],"Yes",ScopeRulesTbl[Location ID],$C8))</x:f>
        <x:v>0</x:v>
      </x:c>
      <x:c r="I8" s="80" t="str">
        <x:f>IF($A8&lt;&gt;"Yes","Disabled",IF($B8="","Missing NOC ID",IF(COUNTIF(NOCsTbl[NOC ID],$B8)=0,"NOC not found",IF($C8="","Missing Location ID",IF(COUNTIF(LocationsTbl[Location ID],$C8)&gt;1,"Duplicate Location ID",IF($D8="","Missing display name",IF($H8=0,"No enabled rules",IF($F8="","No usable scope","OK"))))))))</x:f>
        <x:v>Disabled</x:v>
      </x:c>
      <x:c r="J8" s="79" t="str"/>
      <x:c r="K8" s="118" t="str">
        <x:f>IF(AND(A8="Yes",I8="OK",F8&lt;&gt;""),B8,"")</x:f>
      </x:c>
      <x:c r="L8" s="118" t="str">
        <x:f>IF(K8="","",IF(COUNTIF($K$5:K7,K8)=0,F8,XLOOKUP(K8,$K$5:K7,$L$5:L7,"",0,-1)&amp;" OR "&amp;F8))</x:f>
      </x:c>
      <x:c r="M8" s="24" t="str">
        <x:f>IF(AND($A8="Yes",$B8&lt;&gt;""),COUNTIFS($B$5:$B8,$B8,$A$5:$A8,"Yes"),"")</x:f>
      </x:c>
      <x:c r="N8" s="24" t="str">
        <x:f>IF(OR($A8&lt;&gt;"Yes",$B8="",$D8=""),"",$B8&amp;"|"&amp;$D8)</x:f>
      </x:c>
      <x:c r="O8" s="24" t="str">
        <x:f>IF($M8="","",$B8&amp;"|"&amp;TEXT($M8,"000"))</x:f>
      </x:c>
      <x:c r="P8" s="24" t="str">
        <x:f>IF(Generator!$E$6="","",IFERROR(INDEX($D$5:$D$64,MATCH(Generator!$E$6&amp;"|004",$O$5:$O$64,0)),""))</x:f>
        <x:v>Current Draft Scope</x:v>
      </x:c>
    </x:row>
    <x:row r="9">
      <x:c r="A9" s="79" t="str">
        <x:v>No</x:v>
      </x:c>
      <x:c r="B9" s="79" t="str"/>
      <x:c r="C9" s="79" t="str">
        <x:v>LOC_005</x:v>
      </x:c>
      <x:c r="D9" s="79" t="str">
        <x:v>Location 005</x:v>
      </x:c>
      <x:c r="E9" s="79" t="n">
        <x:v>50</x:v>
      </x:c>
      <x:c r="F9" s="80" t="str">
        <x:f>IF(A9&lt;&gt;"Yes","",IF(H9=0,"","("&amp;XLOOKUP(C9,ScopeRulesTbl[Rule Key (helper)],ScopeRulesTbl[Scope Accumulator (helper)],"",0,-1)&amp;")"))</x:f>
      </x:c>
      <x:c r="G9" s="80" t="str">
        <x:f>IF(OR(A9&lt;&gt;"Yes",F9=""),"","{""label"":"""&amp;D9&amp;""",""value"":"""&amp;SUBSTITUTE(F9,CHAR(34),"\"&amp;CHAR(34))&amp;"""}")</x:f>
      </x:c>
      <x:c r="H9" s="80" t="n">
        <x:f>IF($C9="","",COUNTIFS(ScopeRulesTbl[Use?],"Yes",ScopeRulesTbl[Location ID],$C9))</x:f>
        <x:v>0</x:v>
      </x:c>
      <x:c r="I9" s="80" t="str">
        <x:f>IF($A9&lt;&gt;"Yes","Disabled",IF($B9="","Missing NOC ID",IF(COUNTIF(NOCsTbl[NOC ID],$B9)=0,"NOC not found",IF($C9="","Missing Location ID",IF(COUNTIF(LocationsTbl[Location ID],$C9)&gt;1,"Duplicate Location ID",IF($D9="","Missing display name",IF($H9=0,"No enabled rules",IF($F9="","No usable scope","OK"))))))))</x:f>
        <x:v>Disabled</x:v>
      </x:c>
      <x:c r="J9" s="79" t="str"/>
      <x:c r="K9" s="118" t="str">
        <x:f>IF(AND(A9="Yes",I9="OK",F9&lt;&gt;""),B9,"")</x:f>
      </x:c>
      <x:c r="L9" s="118" t="str">
        <x:f>IF(K9="","",IF(COUNTIF($K$5:K8,K9)=0,F9,XLOOKUP(K9,$K$5:K8,$L$5:L8,"",0,-1)&amp;" OR "&amp;F9))</x:f>
      </x:c>
      <x:c r="M9" s="24" t="str">
        <x:f>IF(AND($A9="Yes",$B9&lt;&gt;""),COUNTIFS($B$5:$B9,$B9,$A$5:$A9,"Yes"),"")</x:f>
      </x:c>
      <x:c r="N9" s="24" t="str">
        <x:f>IF(OR($A9&lt;&gt;"Yes",$B9="",$D9=""),"",$B9&amp;"|"&amp;$D9)</x:f>
      </x:c>
      <x:c r="O9" s="24" t="str">
        <x:f>IF($M9="","",$B9&amp;"|"&amp;TEXT($M9,"000"))</x:f>
      </x:c>
      <x:c r="P9" s="24" t="str">
        <x:f>IF(Generator!$E$6="","",IFERROR(INDEX($D$5:$D$64,MATCH(Generator!$E$6&amp;"|005",$O$5:$O$64,0)),""))</x:f>
        <x:v>Current Draft Scope</x:v>
      </x:c>
    </x:row>
    <x:row r="10">
      <x:c r="A10" s="79" t="str">
        <x:v>No</x:v>
      </x:c>
      <x:c r="B10" s="79" t="str"/>
      <x:c r="C10" s="79" t="str">
        <x:v>LOC_006</x:v>
      </x:c>
      <x:c r="D10" s="79" t="str">
        <x:v>Location 006</x:v>
      </x:c>
      <x:c r="E10" s="79" t="n">
        <x:v>60</x:v>
      </x:c>
      <x:c r="F10" s="80" t="str">
        <x:f>IF(A10&lt;&gt;"Yes","",IF(H10=0,"","("&amp;XLOOKUP(C10,ScopeRulesTbl[Rule Key (helper)],ScopeRulesTbl[Scope Accumulator (helper)],"",0,-1)&amp;")"))</x:f>
      </x:c>
      <x:c r="G10" s="80" t="str">
        <x:f>IF(OR(A10&lt;&gt;"Yes",F10=""),"","{""label"":"""&amp;D10&amp;""",""value"":"""&amp;SUBSTITUTE(F10,CHAR(34),"\"&amp;CHAR(34))&amp;"""}")</x:f>
      </x:c>
      <x:c r="H10" s="80" t="n">
        <x:f>IF($C10="","",COUNTIFS(ScopeRulesTbl[Use?],"Yes",ScopeRulesTbl[Location ID],$C10))</x:f>
        <x:v>0</x:v>
      </x:c>
      <x:c r="I10" s="80" t="str">
        <x:f>IF($A10&lt;&gt;"Yes","Disabled",IF($B10="","Missing NOC ID",IF(COUNTIF(NOCsTbl[NOC ID],$B10)=0,"NOC not found",IF($C10="","Missing Location ID",IF(COUNTIF(LocationsTbl[Location ID],$C10)&gt;1,"Duplicate Location ID",IF($D10="","Missing display name",IF($H10=0,"No enabled rules",IF($F10="","No usable scope","OK"))))))))</x:f>
        <x:v>Disabled</x:v>
      </x:c>
      <x:c r="J10" s="79" t="str"/>
      <x:c r="K10" s="118" t="str">
        <x:f>IF(AND(A10="Yes",I10="OK",F10&lt;&gt;""),B10,"")</x:f>
      </x:c>
      <x:c r="L10" s="118" t="str">
        <x:f>IF(K10="","",IF(COUNTIF($K$5:K9,K10)=0,F10,XLOOKUP(K10,$K$5:K9,$L$5:L9,"",0,-1)&amp;" OR "&amp;F10))</x:f>
      </x:c>
      <x:c r="M10" s="24" t="str">
        <x:f>IF(AND($A10="Yes",$B10&lt;&gt;""),COUNTIFS($B$5:$B10,$B10,$A$5:$A10,"Yes"),"")</x:f>
      </x:c>
      <x:c r="N10" s="24" t="str">
        <x:f>IF(OR($A10&lt;&gt;"Yes",$B10="",$D10=""),"",$B10&amp;"|"&amp;$D10)</x:f>
      </x:c>
      <x:c r="O10" s="24" t="str">
        <x:f>IF($M10="","",$B10&amp;"|"&amp;TEXT($M10,"000"))</x:f>
      </x:c>
      <x:c r="P10" s="24" t="str">
        <x:f>IF(Generator!$E$6="","",IFERROR(INDEX($D$5:$D$64,MATCH(Generator!$E$6&amp;"|006",$O$5:$O$64,0)),""))</x:f>
        <x:v>Current Draft Scope</x:v>
      </x:c>
    </x:row>
    <x:row r="11">
      <x:c r="A11" s="79" t="str">
        <x:v>No</x:v>
      </x:c>
      <x:c r="B11" s="79" t="str"/>
      <x:c r="C11" s="79" t="str">
        <x:v>LOC_007</x:v>
      </x:c>
      <x:c r="D11" s="79" t="str">
        <x:v>Location 007</x:v>
      </x:c>
      <x:c r="E11" s="79" t="n">
        <x:v>70</x:v>
      </x:c>
      <x:c r="F11" s="80" t="str">
        <x:f>IF(A11&lt;&gt;"Yes","",IF(H11=0,"","("&amp;XLOOKUP(C11,ScopeRulesTbl[Rule Key (helper)],ScopeRulesTbl[Scope Accumulator (helper)],"",0,-1)&amp;")"))</x:f>
      </x:c>
      <x:c r="G11" s="80" t="str">
        <x:f>IF(OR(A11&lt;&gt;"Yes",F11=""),"","{""label"":"""&amp;D11&amp;""",""value"":"""&amp;SUBSTITUTE(F11,CHAR(34),"\"&amp;CHAR(34))&amp;"""}")</x:f>
      </x:c>
      <x:c r="H11" s="80" t="n">
        <x:f>IF($C11="","",COUNTIFS(ScopeRulesTbl[Use?],"Yes",ScopeRulesTbl[Location ID],$C11))</x:f>
        <x:v>0</x:v>
      </x:c>
      <x:c r="I11" s="80" t="str">
        <x:f>IF($A11&lt;&gt;"Yes","Disabled",IF($B11="","Missing NOC ID",IF(COUNTIF(NOCsTbl[NOC ID],$B11)=0,"NOC not found",IF($C11="","Missing Location ID",IF(COUNTIF(LocationsTbl[Location ID],$C11)&gt;1,"Duplicate Location ID",IF($D11="","Missing display name",IF($H11=0,"No enabled rules",IF($F11="","No usable scope","OK"))))))))</x:f>
        <x:v>Disabled</x:v>
      </x:c>
      <x:c r="J11" s="79" t="str"/>
      <x:c r="K11" s="118" t="str">
        <x:f>IF(AND(A11="Yes",I11="OK",F11&lt;&gt;""),B11,"")</x:f>
      </x:c>
      <x:c r="L11" s="118" t="str">
        <x:f>IF(K11="","",IF(COUNTIF($K$5:K10,K11)=0,F11,XLOOKUP(K11,$K$5:K10,$L$5:L10,"",0,-1)&amp;" OR "&amp;F11))</x:f>
      </x:c>
      <x:c r="M11" s="24" t="str">
        <x:f>IF(AND($A11="Yes",$B11&lt;&gt;""),COUNTIFS($B$5:$B11,$B11,$A$5:$A11,"Yes"),"")</x:f>
      </x:c>
      <x:c r="N11" s="24" t="str">
        <x:f>IF(OR($A11&lt;&gt;"Yes",$B11="",$D11=""),"",$B11&amp;"|"&amp;$D11)</x:f>
      </x:c>
      <x:c r="O11" s="24" t="str">
        <x:f>IF($M11="","",$B11&amp;"|"&amp;TEXT($M11,"000"))</x:f>
      </x:c>
      <x:c r="P11" s="24" t="str">
        <x:f>IF(Generator!$E$6="","",IFERROR(INDEX($D$5:$D$64,MATCH(Generator!$E$6&amp;"|007",$O$5:$O$64,0)),""))</x:f>
        <x:v>Current Draft Scope</x:v>
      </x:c>
    </x:row>
    <x:row r="12">
      <x:c r="A12" s="79" t="str">
        <x:v>No</x:v>
      </x:c>
      <x:c r="B12" s="79" t="str"/>
      <x:c r="C12" s="79" t="str">
        <x:v>LOC_008</x:v>
      </x:c>
      <x:c r="D12" s="79" t="str">
        <x:v>Location 008</x:v>
      </x:c>
      <x:c r="E12" s="79" t="n">
        <x:v>80</x:v>
      </x:c>
      <x:c r="F12" s="80" t="str">
        <x:f>IF(A12&lt;&gt;"Yes","",IF(H12=0,"","("&amp;XLOOKUP(C12,ScopeRulesTbl[Rule Key (helper)],ScopeRulesTbl[Scope Accumulator (helper)],"",0,-1)&amp;")"))</x:f>
      </x:c>
      <x:c r="G12" s="80" t="str">
        <x:f>IF(OR(A12&lt;&gt;"Yes",F12=""),"","{""label"":"""&amp;D12&amp;""",""value"":"""&amp;SUBSTITUTE(F12,CHAR(34),"\"&amp;CHAR(34))&amp;"""}")</x:f>
      </x:c>
      <x:c r="H12" s="80" t="n">
        <x:f>IF($C12="","",COUNTIFS(ScopeRulesTbl[Use?],"Yes",ScopeRulesTbl[Location ID],$C12))</x:f>
        <x:v>0</x:v>
      </x:c>
      <x:c r="I12" s="80" t="str">
        <x:f>IF($A12&lt;&gt;"Yes","Disabled",IF($B12="","Missing NOC ID",IF(COUNTIF(NOCsTbl[NOC ID],$B12)=0,"NOC not found",IF($C12="","Missing Location ID",IF(COUNTIF(LocationsTbl[Location ID],$C12)&gt;1,"Duplicate Location ID",IF($D12="","Missing display name",IF($H12=0,"No enabled rules",IF($F12="","No usable scope","OK"))))))))</x:f>
        <x:v>Disabled</x:v>
      </x:c>
      <x:c r="J12" s="79" t="str"/>
      <x:c r="K12" s="118" t="str">
        <x:f>IF(AND(A12="Yes",I12="OK",F12&lt;&gt;""),B12,"")</x:f>
      </x:c>
      <x:c r="L12" s="118" t="str">
        <x:f>IF(K12="","",IF(COUNTIF($K$5:K11,K12)=0,F12,XLOOKUP(K12,$K$5:K11,$L$5:L11,"",0,-1)&amp;" OR "&amp;F12))</x:f>
      </x:c>
      <x:c r="M12" s="24" t="str">
        <x:f>IF(AND($A12="Yes",$B12&lt;&gt;""),COUNTIFS($B$5:$B12,$B12,$A$5:$A12,"Yes"),"")</x:f>
      </x:c>
      <x:c r="N12" s="24" t="str">
        <x:f>IF(OR($A12&lt;&gt;"Yes",$B12="",$D12=""),"",$B12&amp;"|"&amp;$D12)</x:f>
      </x:c>
      <x:c r="O12" s="24" t="str">
        <x:f>IF($M12="","",$B12&amp;"|"&amp;TEXT($M12,"000"))</x:f>
      </x:c>
      <x:c r="P12" s="24" t="str">
        <x:f>IF(Generator!$E$6="","",IFERROR(INDEX($D$5:$D$64,MATCH(Generator!$E$6&amp;"|008",$O$5:$O$64,0)),""))</x:f>
        <x:v>Current Draft Scope</x:v>
      </x:c>
    </x:row>
    <x:row r="13">
      <x:c r="A13" s="79" t="str">
        <x:v>No</x:v>
      </x:c>
      <x:c r="B13" s="79" t="str"/>
      <x:c r="C13" s="79" t="str">
        <x:v>LOC_009</x:v>
      </x:c>
      <x:c r="D13" s="79" t="str">
        <x:v>Location 009</x:v>
      </x:c>
      <x:c r="E13" s="79" t="n">
        <x:v>90</x:v>
      </x:c>
      <x:c r="F13" s="80" t="str">
        <x:f>IF(A13&lt;&gt;"Yes","",IF(H13=0,"","("&amp;XLOOKUP(C13,ScopeRulesTbl[Rule Key (helper)],ScopeRulesTbl[Scope Accumulator (helper)],"",0,-1)&amp;")"))</x:f>
      </x:c>
      <x:c r="G13" s="80" t="str">
        <x:f>IF(OR(A13&lt;&gt;"Yes",F13=""),"","{""label"":"""&amp;D13&amp;""",""value"":"""&amp;SUBSTITUTE(F13,CHAR(34),"\"&amp;CHAR(34))&amp;"""}")</x:f>
      </x:c>
      <x:c r="H13" s="80" t="n">
        <x:f>IF($C13="","",COUNTIFS(ScopeRulesTbl[Use?],"Yes",ScopeRulesTbl[Location ID],$C13))</x:f>
        <x:v>0</x:v>
      </x:c>
      <x:c r="I13" s="80" t="str">
        <x:f>IF($A13&lt;&gt;"Yes","Disabled",IF($B13="","Missing NOC ID",IF(COUNTIF(NOCsTbl[NOC ID],$B13)=0,"NOC not found",IF($C13="","Missing Location ID",IF(COUNTIF(LocationsTbl[Location ID],$C13)&gt;1,"Duplicate Location ID",IF($D13="","Missing display name",IF($H13=0,"No enabled rules",IF($F13="","No usable scope","OK"))))))))</x:f>
        <x:v>Disabled</x:v>
      </x:c>
      <x:c r="J13" s="79" t="str"/>
      <x:c r="K13" s="118" t="str">
        <x:f>IF(AND(A13="Yes",I13="OK",F13&lt;&gt;""),B13,"")</x:f>
      </x:c>
      <x:c r="L13" s="118" t="str">
        <x:f>IF(K13="","",IF(COUNTIF($K$5:K12,K13)=0,F13,XLOOKUP(K13,$K$5:K12,$L$5:L12,"",0,-1)&amp;" OR "&amp;F13))</x:f>
      </x:c>
      <x:c r="M13" s="24" t="str">
        <x:f>IF(AND($A13="Yes",$B13&lt;&gt;""),COUNTIFS($B$5:$B13,$B13,$A$5:$A13,"Yes"),"")</x:f>
      </x:c>
      <x:c r="N13" s="24" t="str">
        <x:f>IF(OR($A13&lt;&gt;"Yes",$B13="",$D13=""),"",$B13&amp;"|"&amp;$D13)</x:f>
      </x:c>
      <x:c r="O13" s="24" t="str">
        <x:f>IF($M13="","",$B13&amp;"|"&amp;TEXT($M13,"000"))</x:f>
      </x:c>
      <x:c r="P13" s="24" t="str">
        <x:f>IF(Generator!$E$6="","",IFERROR(INDEX($D$5:$D$64,MATCH(Generator!$E$6&amp;"|009",$O$5:$O$64,0)),""))</x:f>
        <x:v>Current Draft Scope</x:v>
      </x:c>
    </x:row>
    <x:row r="14">
      <x:c r="A14" s="79" t="str">
        <x:v>No</x:v>
      </x:c>
      <x:c r="B14" s="79" t="str"/>
      <x:c r="C14" s="79" t="str">
        <x:v>LOC_010</x:v>
      </x:c>
      <x:c r="D14" s="79" t="str">
        <x:v>Location 010</x:v>
      </x:c>
      <x:c r="E14" s="79" t="n">
        <x:v>100</x:v>
      </x:c>
      <x:c r="F14" s="80" t="str">
        <x:f>IF(A14&lt;&gt;"Yes","",IF(H14=0,"","("&amp;XLOOKUP(C14,ScopeRulesTbl[Rule Key (helper)],ScopeRulesTbl[Scope Accumulator (helper)],"",0,-1)&amp;")"))</x:f>
      </x:c>
      <x:c r="G14" s="80" t="str">
        <x:f>IF(OR(A14&lt;&gt;"Yes",F14=""),"","{""label"":"""&amp;D14&amp;""",""value"":"""&amp;SUBSTITUTE(F14,CHAR(34),"\"&amp;CHAR(34))&amp;"""}")</x:f>
      </x:c>
      <x:c r="H14" s="80" t="n">
        <x:f>IF($C14="","",COUNTIFS(ScopeRulesTbl[Use?],"Yes",ScopeRulesTbl[Location ID],$C14))</x:f>
        <x:v>0</x:v>
      </x:c>
      <x:c r="I14" s="80" t="str">
        <x:f>IF($A14&lt;&gt;"Yes","Disabled",IF($B14="","Missing NOC ID",IF(COUNTIF(NOCsTbl[NOC ID],$B14)=0,"NOC not found",IF($C14="","Missing Location ID",IF(COUNTIF(LocationsTbl[Location ID],$C14)&gt;1,"Duplicate Location ID",IF($D14="","Missing display name",IF($H14=0,"No enabled rules",IF($F14="","No usable scope","OK"))))))))</x:f>
        <x:v>Disabled</x:v>
      </x:c>
      <x:c r="J14" s="79" t="str"/>
      <x:c r="K14" s="118" t="str">
        <x:f>IF(AND(A14="Yes",I14="OK",F14&lt;&gt;""),B14,"")</x:f>
      </x:c>
      <x:c r="L14" s="118" t="str">
        <x:f>IF(K14="","",IF(COUNTIF($K$5:K13,K14)=0,F14,XLOOKUP(K14,$K$5:K13,$L$5:L13,"",0,-1)&amp;" OR "&amp;F14))</x:f>
      </x:c>
      <x:c r="M14" s="24" t="str">
        <x:f>IF(AND($A14="Yes",$B14&lt;&gt;""),COUNTIFS($B$5:$B14,$B14,$A$5:$A14,"Yes"),"")</x:f>
      </x:c>
      <x:c r="N14" s="24" t="str">
        <x:f>IF(OR($A14&lt;&gt;"Yes",$B14="",$D14=""),"",$B14&amp;"|"&amp;$D14)</x:f>
      </x:c>
      <x:c r="O14" s="24" t="str">
        <x:f>IF($M14="","",$B14&amp;"|"&amp;TEXT($M14,"000"))</x:f>
      </x:c>
      <x:c r="P14" s="24" t="str">
        <x:f>IF(Generator!$E$6="","",IFERROR(INDEX($D$5:$D$64,MATCH(Generator!$E$6&amp;"|010",$O$5:$O$64,0)),""))</x:f>
        <x:v>Current Draft Scope</x:v>
      </x:c>
    </x:row>
    <x:row r="15">
      <x:c r="A15" s="79" t="str">
        <x:v>No</x:v>
      </x:c>
      <x:c r="B15" s="79" t="str"/>
      <x:c r="C15" s="79" t="str">
        <x:v>LOC_011</x:v>
      </x:c>
      <x:c r="D15" s="79" t="str">
        <x:v>Location 011</x:v>
      </x:c>
      <x:c r="E15" s="79" t="n">
        <x:v>110</x:v>
      </x:c>
      <x:c r="F15" s="80" t="str">
        <x:f>IF(A15&lt;&gt;"Yes","",IF(H15=0,"","("&amp;XLOOKUP(C15,ScopeRulesTbl[Rule Key (helper)],ScopeRulesTbl[Scope Accumulator (helper)],"",0,-1)&amp;")"))</x:f>
      </x:c>
      <x:c r="G15" s="80" t="str">
        <x:f>IF(OR(A15&lt;&gt;"Yes",F15=""),"","{""label"":"""&amp;D15&amp;""",""value"":"""&amp;SUBSTITUTE(F15,CHAR(34),"\"&amp;CHAR(34))&amp;"""}")</x:f>
      </x:c>
      <x:c r="H15" s="80" t="n">
        <x:f>IF($C15="","",COUNTIFS(ScopeRulesTbl[Use?],"Yes",ScopeRulesTbl[Location ID],$C15))</x:f>
        <x:v>0</x:v>
      </x:c>
      <x:c r="I15" s="80" t="str">
        <x:f>IF($A15&lt;&gt;"Yes","Disabled",IF($B15="","Missing NOC ID",IF(COUNTIF(NOCsTbl[NOC ID],$B15)=0,"NOC not found",IF($C15="","Missing Location ID",IF(COUNTIF(LocationsTbl[Location ID],$C15)&gt;1,"Duplicate Location ID",IF($D15="","Missing display name",IF($H15=0,"No enabled rules",IF($F15="","No usable scope","OK"))))))))</x:f>
        <x:v>Disabled</x:v>
      </x:c>
      <x:c r="J15" s="79" t="str"/>
      <x:c r="K15" s="118" t="str">
        <x:f>IF(AND(A15="Yes",I15="OK",F15&lt;&gt;""),B15,"")</x:f>
      </x:c>
      <x:c r="L15" s="118" t="str">
        <x:f>IF(K15="","",IF(COUNTIF($K$5:K14,K15)=0,F15,XLOOKUP(K15,$K$5:K14,$L$5:L14,"",0,-1)&amp;" OR "&amp;F15))</x:f>
      </x:c>
      <x:c r="M15" s="24" t="str">
        <x:f>IF(AND($A15="Yes",$B15&lt;&gt;""),COUNTIFS($B$5:$B15,$B15,$A$5:$A15,"Yes"),"")</x:f>
      </x:c>
      <x:c r="N15" s="24" t="str">
        <x:f>IF(OR($A15&lt;&gt;"Yes",$B15="",$D15=""),"",$B15&amp;"|"&amp;$D15)</x:f>
      </x:c>
      <x:c r="O15" s="24" t="str">
        <x:f>IF($M15="","",$B15&amp;"|"&amp;TEXT($M15,"000"))</x:f>
      </x:c>
      <x:c r="P15" s="24" t="str">
        <x:f>IF(Generator!$E$6="","",IFERROR(INDEX($D$5:$D$64,MATCH(Generator!$E$6&amp;"|011",$O$5:$O$64,0)),""))</x:f>
        <x:v>Current Draft Scope</x:v>
      </x:c>
    </x:row>
    <x:row r="16">
      <x:c r="A16" s="79" t="str">
        <x:v>No</x:v>
      </x:c>
      <x:c r="B16" s="79" t="str"/>
      <x:c r="C16" s="79" t="str">
        <x:v>LOC_012</x:v>
      </x:c>
      <x:c r="D16" s="79" t="str">
        <x:v>Location 012</x:v>
      </x:c>
      <x:c r="E16" s="79" t="n">
        <x:v>120</x:v>
      </x:c>
      <x:c r="F16" s="80" t="str">
        <x:f>IF(A16&lt;&gt;"Yes","",IF(H16=0,"","("&amp;XLOOKUP(C16,ScopeRulesTbl[Rule Key (helper)],ScopeRulesTbl[Scope Accumulator (helper)],"",0,-1)&amp;")"))</x:f>
      </x:c>
      <x:c r="G16" s="80" t="str">
        <x:f>IF(OR(A16&lt;&gt;"Yes",F16=""),"","{""label"":"""&amp;D16&amp;""",""value"":"""&amp;SUBSTITUTE(F16,CHAR(34),"\"&amp;CHAR(34))&amp;"""}")</x:f>
      </x:c>
      <x:c r="H16" s="80" t="n">
        <x:f>IF($C16="","",COUNTIFS(ScopeRulesTbl[Use?],"Yes",ScopeRulesTbl[Location ID],$C16))</x:f>
        <x:v>0</x:v>
      </x:c>
      <x:c r="I16" s="80" t="str">
        <x:f>IF($A16&lt;&gt;"Yes","Disabled",IF($B16="","Missing NOC ID",IF(COUNTIF(NOCsTbl[NOC ID],$B16)=0,"NOC not found",IF($C16="","Missing Location ID",IF(COUNTIF(LocationsTbl[Location ID],$C16)&gt;1,"Duplicate Location ID",IF($D16="","Missing display name",IF($H16=0,"No enabled rules",IF($F16="","No usable scope","OK"))))))))</x:f>
        <x:v>Disabled</x:v>
      </x:c>
      <x:c r="J16" s="79" t="str"/>
      <x:c r="K16" s="118" t="str">
        <x:f>IF(AND(A16="Yes",I16="OK",F16&lt;&gt;""),B16,"")</x:f>
      </x:c>
      <x:c r="L16" s="118" t="str">
        <x:f>IF(K16="","",IF(COUNTIF($K$5:K15,K16)=0,F16,XLOOKUP(K16,$K$5:K15,$L$5:L15,"",0,-1)&amp;" OR "&amp;F16))</x:f>
      </x:c>
      <x:c r="M16" s="24" t="str">
        <x:f>IF(AND($A16="Yes",$B16&lt;&gt;""),COUNTIFS($B$5:$B16,$B16,$A$5:$A16,"Yes"),"")</x:f>
      </x:c>
      <x:c r="N16" s="24" t="str">
        <x:f>IF(OR($A16&lt;&gt;"Yes",$B16="",$D16=""),"",$B16&amp;"|"&amp;$D16)</x:f>
      </x:c>
      <x:c r="O16" s="24" t="str">
        <x:f>IF($M16="","",$B16&amp;"|"&amp;TEXT($M16,"000"))</x:f>
      </x:c>
      <x:c r="P16" s="24" t="str">
        <x:f>IF(Generator!$E$6="","",IFERROR(INDEX($D$5:$D$64,MATCH(Generator!$E$6&amp;"|012",$O$5:$O$64,0)),""))</x:f>
        <x:v>Current Draft Scope</x:v>
      </x:c>
    </x:row>
    <x:row r="17">
      <x:c r="A17" s="79" t="str">
        <x:v>No</x:v>
      </x:c>
      <x:c r="B17" s="79" t="str"/>
      <x:c r="C17" s="79" t="str">
        <x:v>LOC_013</x:v>
      </x:c>
      <x:c r="D17" s="79" t="str">
        <x:v>Location 013</x:v>
      </x:c>
      <x:c r="E17" s="79" t="n">
        <x:v>130</x:v>
      </x:c>
      <x:c r="F17" s="80" t="str">
        <x:f>IF(A17&lt;&gt;"Yes","",IF(H17=0,"","("&amp;XLOOKUP(C17,ScopeRulesTbl[Rule Key (helper)],ScopeRulesTbl[Scope Accumulator (helper)],"",0,-1)&amp;")"))</x:f>
      </x:c>
      <x:c r="G17" s="80" t="str">
        <x:f>IF(OR(A17&lt;&gt;"Yes",F17=""),"","{""label"":"""&amp;D17&amp;""",""value"":"""&amp;SUBSTITUTE(F17,CHAR(34),"\"&amp;CHAR(34))&amp;"""}")</x:f>
      </x:c>
      <x:c r="H17" s="80" t="n">
        <x:f>IF($C17="","",COUNTIFS(ScopeRulesTbl[Use?],"Yes",ScopeRulesTbl[Location ID],$C17))</x:f>
        <x:v>0</x:v>
      </x:c>
      <x:c r="I17" s="80" t="str">
        <x:f>IF($A17&lt;&gt;"Yes","Disabled",IF($B17="","Missing NOC ID",IF(COUNTIF(NOCsTbl[NOC ID],$B17)=0,"NOC not found",IF($C17="","Missing Location ID",IF(COUNTIF(LocationsTbl[Location ID],$C17)&gt;1,"Duplicate Location ID",IF($D17="","Missing display name",IF($H17=0,"No enabled rules",IF($F17="","No usable scope","OK"))))))))</x:f>
        <x:v>Disabled</x:v>
      </x:c>
      <x:c r="J17" s="79" t="str"/>
      <x:c r="K17" s="118" t="str">
        <x:f>IF(AND(A17="Yes",I17="OK",F17&lt;&gt;""),B17,"")</x:f>
      </x:c>
      <x:c r="L17" s="118" t="str">
        <x:f>IF(K17="","",IF(COUNTIF($K$5:K16,K17)=0,F17,XLOOKUP(K17,$K$5:K16,$L$5:L16,"",0,-1)&amp;" OR "&amp;F17))</x:f>
      </x:c>
      <x:c r="M17" s="24" t="str">
        <x:f>IF(AND($A17="Yes",$B17&lt;&gt;""),COUNTIFS($B$5:$B17,$B17,$A$5:$A17,"Yes"),"")</x:f>
      </x:c>
      <x:c r="N17" s="24" t="str">
        <x:f>IF(OR($A17&lt;&gt;"Yes",$B17="",$D17=""),"",$B17&amp;"|"&amp;$D17)</x:f>
      </x:c>
      <x:c r="O17" s="24" t="str">
        <x:f>IF($M17="","",$B17&amp;"|"&amp;TEXT($M17,"000"))</x:f>
      </x:c>
      <x:c r="P17" s="24" t="str">
        <x:f>IF(Generator!$E$6="","",IFERROR(INDEX($D$5:$D$64,MATCH(Generator!$E$6&amp;"|013",$O$5:$O$64,0)),""))</x:f>
        <x:v>Current Draft Scope</x:v>
      </x:c>
    </x:row>
    <x:row r="18">
      <x:c r="A18" s="79" t="str">
        <x:v>No</x:v>
      </x:c>
      <x:c r="B18" s="79" t="str"/>
      <x:c r="C18" s="79" t="str">
        <x:v>LOC_014</x:v>
      </x:c>
      <x:c r="D18" s="79" t="str">
        <x:v>Location 014</x:v>
      </x:c>
      <x:c r="E18" s="79" t="n">
        <x:v>140</x:v>
      </x:c>
      <x:c r="F18" s="80" t="str">
        <x:f>IF(A18&lt;&gt;"Yes","",IF(H18=0,"","("&amp;XLOOKUP(C18,ScopeRulesTbl[Rule Key (helper)],ScopeRulesTbl[Scope Accumulator (helper)],"",0,-1)&amp;")"))</x:f>
      </x:c>
      <x:c r="G18" s="80" t="str">
        <x:f>IF(OR(A18&lt;&gt;"Yes",F18=""),"","{""label"":"""&amp;D18&amp;""",""value"":"""&amp;SUBSTITUTE(F18,CHAR(34),"\"&amp;CHAR(34))&amp;"""}")</x:f>
      </x:c>
      <x:c r="H18" s="80" t="n">
        <x:f>IF($C18="","",COUNTIFS(ScopeRulesTbl[Use?],"Yes",ScopeRulesTbl[Location ID],$C18))</x:f>
        <x:v>0</x:v>
      </x:c>
      <x:c r="I18" s="80" t="str">
        <x:f>IF($A18&lt;&gt;"Yes","Disabled",IF($B18="","Missing NOC ID",IF(COUNTIF(NOCsTbl[NOC ID],$B18)=0,"NOC not found",IF($C18="","Missing Location ID",IF(COUNTIF(LocationsTbl[Location ID],$C18)&gt;1,"Duplicate Location ID",IF($D18="","Missing display name",IF($H18=0,"No enabled rules",IF($F18="","No usable scope","OK"))))))))</x:f>
        <x:v>Disabled</x:v>
      </x:c>
      <x:c r="J18" s="79" t="str"/>
      <x:c r="K18" s="118" t="str">
        <x:f>IF(AND(A18="Yes",I18="OK",F18&lt;&gt;""),B18,"")</x:f>
      </x:c>
      <x:c r="L18" s="118" t="str">
        <x:f>IF(K18="","",IF(COUNTIF($K$5:K17,K18)=0,F18,XLOOKUP(K18,$K$5:K17,$L$5:L17,"",0,-1)&amp;" OR "&amp;F18))</x:f>
      </x:c>
      <x:c r="M18" s="24" t="str">
        <x:f>IF(AND($A18="Yes",$B18&lt;&gt;""),COUNTIFS($B$5:$B18,$B18,$A$5:$A18,"Yes"),"")</x:f>
      </x:c>
      <x:c r="N18" s="24" t="str">
        <x:f>IF(OR($A18&lt;&gt;"Yes",$B18="",$D18=""),"",$B18&amp;"|"&amp;$D18)</x:f>
      </x:c>
      <x:c r="O18" s="24" t="str">
        <x:f>IF($M18="","",$B18&amp;"|"&amp;TEXT($M18,"000"))</x:f>
      </x:c>
      <x:c r="P18" s="24" t="str">
        <x:f>IF(Generator!$E$6="","",IFERROR(INDEX($D$5:$D$64,MATCH(Generator!$E$6&amp;"|014",$O$5:$O$64,0)),""))</x:f>
        <x:v>Current Draft Scope</x:v>
      </x:c>
    </x:row>
    <x:row r="19">
      <x:c r="A19" s="79" t="str">
        <x:v>No</x:v>
      </x:c>
      <x:c r="B19" s="79" t="str"/>
      <x:c r="C19" s="79" t="str">
        <x:v>LOC_015</x:v>
      </x:c>
      <x:c r="D19" s="79" t="str">
        <x:v>Location 015</x:v>
      </x:c>
      <x:c r="E19" s="79" t="n">
        <x:v>150</x:v>
      </x:c>
      <x:c r="F19" s="80" t="str">
        <x:f>IF(A19&lt;&gt;"Yes","",IF(H19=0,"","("&amp;XLOOKUP(C19,ScopeRulesTbl[Rule Key (helper)],ScopeRulesTbl[Scope Accumulator (helper)],"",0,-1)&amp;")"))</x:f>
      </x:c>
      <x:c r="G19" s="80" t="str">
        <x:f>IF(OR(A19&lt;&gt;"Yes",F19=""),"","{""label"":"""&amp;D19&amp;""",""value"":"""&amp;SUBSTITUTE(F19,CHAR(34),"\"&amp;CHAR(34))&amp;"""}")</x:f>
      </x:c>
      <x:c r="H19" s="80" t="n">
        <x:f>IF($C19="","",COUNTIFS(ScopeRulesTbl[Use?],"Yes",ScopeRulesTbl[Location ID],$C19))</x:f>
        <x:v>0</x:v>
      </x:c>
      <x:c r="I19" s="80" t="str">
        <x:f>IF($A19&lt;&gt;"Yes","Disabled",IF($B19="","Missing NOC ID",IF(COUNTIF(NOCsTbl[NOC ID],$B19)=0,"NOC not found",IF($C19="","Missing Location ID",IF(COUNTIF(LocationsTbl[Location ID],$C19)&gt;1,"Duplicate Location ID",IF($D19="","Missing display name",IF($H19=0,"No enabled rules",IF($F19="","No usable scope","OK"))))))))</x:f>
        <x:v>Disabled</x:v>
      </x:c>
      <x:c r="J19" s="79" t="str"/>
      <x:c r="K19" s="118" t="str">
        <x:f>IF(AND(A19="Yes",I19="OK",F19&lt;&gt;""),B19,"")</x:f>
      </x:c>
      <x:c r="L19" s="118" t="str">
        <x:f>IF(K19="","",IF(COUNTIF($K$5:K18,K19)=0,F19,XLOOKUP(K19,$K$5:K18,$L$5:L18,"",0,-1)&amp;" OR "&amp;F19))</x:f>
      </x:c>
      <x:c r="M19" s="24" t="str">
        <x:f>IF(AND($A19="Yes",$B19&lt;&gt;""),COUNTIFS($B$5:$B19,$B19,$A$5:$A19,"Yes"),"")</x:f>
      </x:c>
      <x:c r="N19" s="24" t="str">
        <x:f>IF(OR($A19&lt;&gt;"Yes",$B19="",$D19=""),"",$B19&amp;"|"&amp;$D19)</x:f>
      </x:c>
      <x:c r="O19" s="24" t="str">
        <x:f>IF($M19="","",$B19&amp;"|"&amp;TEXT($M19,"000"))</x:f>
      </x:c>
      <x:c r="P19" s="24" t="str">
        <x:f>IF(Generator!$E$6="","",IFERROR(INDEX($D$5:$D$64,MATCH(Generator!$E$6&amp;"|015",$O$5:$O$64,0)),""))</x:f>
        <x:v>Current Draft Scope</x:v>
      </x:c>
    </x:row>
    <x:row r="20">
      <x:c r="A20" s="79" t="str">
        <x:v>No</x:v>
      </x:c>
      <x:c r="B20" s="79" t="str"/>
      <x:c r="C20" s="79" t="str">
        <x:v>LOC_016</x:v>
      </x:c>
      <x:c r="D20" s="79" t="str">
        <x:v>Location 016</x:v>
      </x:c>
      <x:c r="E20" s="79" t="n">
        <x:v>160</x:v>
      </x:c>
      <x:c r="F20" s="80" t="str">
        <x:f>IF(A20&lt;&gt;"Yes","",IF(H20=0,"","("&amp;XLOOKUP(C20,ScopeRulesTbl[Rule Key (helper)],ScopeRulesTbl[Scope Accumulator (helper)],"",0,-1)&amp;")"))</x:f>
      </x:c>
      <x:c r="G20" s="80" t="str">
        <x:f>IF(OR(A20&lt;&gt;"Yes",F20=""),"","{""label"":"""&amp;D20&amp;""",""value"":"""&amp;SUBSTITUTE(F20,CHAR(34),"\"&amp;CHAR(34))&amp;"""}")</x:f>
      </x:c>
      <x:c r="H20" s="80" t="n">
        <x:f>IF($C20="","",COUNTIFS(ScopeRulesTbl[Use?],"Yes",ScopeRulesTbl[Location ID],$C20))</x:f>
        <x:v>0</x:v>
      </x:c>
      <x:c r="I20" s="80" t="str">
        <x:f>IF($A20&lt;&gt;"Yes","Disabled",IF($B20="","Missing NOC ID",IF(COUNTIF(NOCsTbl[NOC ID],$B20)=0,"NOC not found",IF($C20="","Missing Location ID",IF(COUNTIF(LocationsTbl[Location ID],$C20)&gt;1,"Duplicate Location ID",IF($D20="","Missing display name",IF($H20=0,"No enabled rules",IF($F20="","No usable scope","OK"))))))))</x:f>
        <x:v>Disabled</x:v>
      </x:c>
      <x:c r="J20" s="79" t="str"/>
      <x:c r="K20" s="118" t="str">
        <x:f>IF(AND(A20="Yes",I20="OK",F20&lt;&gt;""),B20,"")</x:f>
      </x:c>
      <x:c r="L20" s="118" t="str">
        <x:f>IF(K20="","",IF(COUNTIF($K$5:K19,K20)=0,F20,XLOOKUP(K20,$K$5:K19,$L$5:L19,"",0,-1)&amp;" OR "&amp;F20))</x:f>
      </x:c>
      <x:c r="M20" s="24" t="str">
        <x:f>IF(AND($A20="Yes",$B20&lt;&gt;""),COUNTIFS($B$5:$B20,$B20,$A$5:$A20,"Yes"),"")</x:f>
      </x:c>
      <x:c r="N20" s="24" t="str">
        <x:f>IF(OR($A20&lt;&gt;"Yes",$B20="",$D20=""),"",$B20&amp;"|"&amp;$D20)</x:f>
      </x:c>
      <x:c r="O20" s="24" t="str">
        <x:f>IF($M20="","",$B20&amp;"|"&amp;TEXT($M20,"000"))</x:f>
      </x:c>
      <x:c r="P20" s="24" t="str">
        <x:f>IF(Generator!$E$6="","",IFERROR(INDEX($D$5:$D$64,MATCH(Generator!$E$6&amp;"|016",$O$5:$O$64,0)),""))</x:f>
        <x:v>Current Draft Scope</x:v>
      </x:c>
    </x:row>
    <x:row r="21">
      <x:c r="A21" s="79" t="str">
        <x:v>No</x:v>
      </x:c>
      <x:c r="B21" s="79" t="str"/>
      <x:c r="C21" s="79" t="str">
        <x:v>LOC_017</x:v>
      </x:c>
      <x:c r="D21" s="79" t="str">
        <x:v>Location 017</x:v>
      </x:c>
      <x:c r="E21" s="79" t="n">
        <x:v>170</x:v>
      </x:c>
      <x:c r="F21" s="80" t="str">
        <x:f>IF(A21&lt;&gt;"Yes","",IF(H21=0,"","("&amp;XLOOKUP(C21,ScopeRulesTbl[Rule Key (helper)],ScopeRulesTbl[Scope Accumulator (helper)],"",0,-1)&amp;")"))</x:f>
      </x:c>
      <x:c r="G21" s="80" t="str">
        <x:f>IF(OR(A21&lt;&gt;"Yes",F21=""),"","{""label"":"""&amp;D21&amp;""",""value"":"""&amp;SUBSTITUTE(F21,CHAR(34),"\"&amp;CHAR(34))&amp;"""}")</x:f>
      </x:c>
      <x:c r="H21" s="80" t="n">
        <x:f>IF($C21="","",COUNTIFS(ScopeRulesTbl[Use?],"Yes",ScopeRulesTbl[Location ID],$C21))</x:f>
        <x:v>0</x:v>
      </x:c>
      <x:c r="I21" s="80" t="str">
        <x:f>IF($A21&lt;&gt;"Yes","Disabled",IF($B21="","Missing NOC ID",IF(COUNTIF(NOCsTbl[NOC ID],$B21)=0,"NOC not found",IF($C21="","Missing Location ID",IF(COUNTIF(LocationsTbl[Location ID],$C21)&gt;1,"Duplicate Location ID",IF($D21="","Missing display name",IF($H21=0,"No enabled rules",IF($F21="","No usable scope","OK"))))))))</x:f>
        <x:v>Disabled</x:v>
      </x:c>
      <x:c r="J21" s="79" t="str"/>
      <x:c r="K21" s="118" t="str">
        <x:f>IF(AND(A21="Yes",I21="OK",F21&lt;&gt;""),B21,"")</x:f>
      </x:c>
      <x:c r="L21" s="118" t="str">
        <x:f>IF(K21="","",IF(COUNTIF($K$5:K20,K21)=0,F21,XLOOKUP(K21,$K$5:K20,$L$5:L20,"",0,-1)&amp;" OR "&amp;F21))</x:f>
      </x:c>
      <x:c r="M21" s="24" t="str">
        <x:f>IF(AND($A21="Yes",$B21&lt;&gt;""),COUNTIFS($B$5:$B21,$B21,$A$5:$A21,"Yes"),"")</x:f>
      </x:c>
      <x:c r="N21" s="24" t="str">
        <x:f>IF(OR($A21&lt;&gt;"Yes",$B21="",$D21=""),"",$B21&amp;"|"&amp;$D21)</x:f>
      </x:c>
      <x:c r="O21" s="24" t="str">
        <x:f>IF($M21="","",$B21&amp;"|"&amp;TEXT($M21,"000"))</x:f>
      </x:c>
      <x:c r="P21" s="24" t="str">
        <x:f>IF(Generator!$E$6="","",IFERROR(INDEX($D$5:$D$64,MATCH(Generator!$E$6&amp;"|017",$O$5:$O$64,0)),""))</x:f>
        <x:v>Current Draft Scope</x:v>
      </x:c>
    </x:row>
    <x:row r="22">
      <x:c r="A22" s="79" t="str">
        <x:v>No</x:v>
      </x:c>
      <x:c r="B22" s="79" t="str"/>
      <x:c r="C22" s="79" t="str">
        <x:v>LOC_018</x:v>
      </x:c>
      <x:c r="D22" s="79" t="str">
        <x:v>Location 018</x:v>
      </x:c>
      <x:c r="E22" s="79" t="n">
        <x:v>180</x:v>
      </x:c>
      <x:c r="F22" s="80" t="str">
        <x:f>IF(A22&lt;&gt;"Yes","",IF(H22=0,"","("&amp;XLOOKUP(C22,ScopeRulesTbl[Rule Key (helper)],ScopeRulesTbl[Scope Accumulator (helper)],"",0,-1)&amp;")"))</x:f>
      </x:c>
      <x:c r="G22" s="80" t="str">
        <x:f>IF(OR(A22&lt;&gt;"Yes",F22=""),"","{""label"":"""&amp;D22&amp;""",""value"":"""&amp;SUBSTITUTE(F22,CHAR(34),"\"&amp;CHAR(34))&amp;"""}")</x:f>
      </x:c>
      <x:c r="H22" s="80" t="n">
        <x:f>IF($C22="","",COUNTIFS(ScopeRulesTbl[Use?],"Yes",ScopeRulesTbl[Location ID],$C22))</x:f>
        <x:v>0</x:v>
      </x:c>
      <x:c r="I22" s="80" t="str">
        <x:f>IF($A22&lt;&gt;"Yes","Disabled",IF($B22="","Missing NOC ID",IF(COUNTIF(NOCsTbl[NOC ID],$B22)=0,"NOC not found",IF($C22="","Missing Location ID",IF(COUNTIF(LocationsTbl[Location ID],$C22)&gt;1,"Duplicate Location ID",IF($D22="","Missing display name",IF($H22=0,"No enabled rules",IF($F22="","No usable scope","OK"))))))))</x:f>
        <x:v>Disabled</x:v>
      </x:c>
      <x:c r="J22" s="79" t="str"/>
      <x:c r="K22" s="118" t="str">
        <x:f>IF(AND(A22="Yes",I22="OK",F22&lt;&gt;""),B22,"")</x:f>
      </x:c>
      <x:c r="L22" s="118" t="str">
        <x:f>IF(K22="","",IF(COUNTIF($K$5:K21,K22)=0,F22,XLOOKUP(K22,$K$5:K21,$L$5:L21,"",0,-1)&amp;" OR "&amp;F22))</x:f>
      </x:c>
      <x:c r="M22" s="24" t="str">
        <x:f>IF(AND($A22="Yes",$B22&lt;&gt;""),COUNTIFS($B$5:$B22,$B22,$A$5:$A22,"Yes"),"")</x:f>
      </x:c>
      <x:c r="N22" s="24" t="str">
        <x:f>IF(OR($A22&lt;&gt;"Yes",$B22="",$D22=""),"",$B22&amp;"|"&amp;$D22)</x:f>
      </x:c>
      <x:c r="O22" s="24" t="str">
        <x:f>IF($M22="","",$B22&amp;"|"&amp;TEXT($M22,"000"))</x:f>
      </x:c>
      <x:c r="P22" s="24" t="str">
        <x:f>IF(Generator!$E$6="","",IFERROR(INDEX($D$5:$D$64,MATCH(Generator!$E$6&amp;"|018",$O$5:$O$64,0)),""))</x:f>
        <x:v>Current Draft Scope</x:v>
      </x:c>
    </x:row>
    <x:row r="23">
      <x:c r="A23" s="79" t="str">
        <x:v>No</x:v>
      </x:c>
      <x:c r="B23" s="79" t="str"/>
      <x:c r="C23" s="79" t="str">
        <x:v>LOC_019</x:v>
      </x:c>
      <x:c r="D23" s="79" t="str">
        <x:v>Location 019</x:v>
      </x:c>
      <x:c r="E23" s="79" t="n">
        <x:v>190</x:v>
      </x:c>
      <x:c r="F23" s="80" t="str">
        <x:f>IF(A23&lt;&gt;"Yes","",IF(H23=0,"","("&amp;XLOOKUP(C23,ScopeRulesTbl[Rule Key (helper)],ScopeRulesTbl[Scope Accumulator (helper)],"",0,-1)&amp;")"))</x:f>
      </x:c>
      <x:c r="G23" s="80" t="str">
        <x:f>IF(OR(A23&lt;&gt;"Yes",F23=""),"","{""label"":"""&amp;D23&amp;""",""value"":"""&amp;SUBSTITUTE(F23,CHAR(34),"\"&amp;CHAR(34))&amp;"""}")</x:f>
      </x:c>
      <x:c r="H23" s="80" t="n">
        <x:f>IF($C23="","",COUNTIFS(ScopeRulesTbl[Use?],"Yes",ScopeRulesTbl[Location ID],$C23))</x:f>
        <x:v>0</x:v>
      </x:c>
      <x:c r="I23" s="80" t="str">
        <x:f>IF($A23&lt;&gt;"Yes","Disabled",IF($B23="","Missing NOC ID",IF(COUNTIF(NOCsTbl[NOC ID],$B23)=0,"NOC not found",IF($C23="","Missing Location ID",IF(COUNTIF(LocationsTbl[Location ID],$C23)&gt;1,"Duplicate Location ID",IF($D23="","Missing display name",IF($H23=0,"No enabled rules",IF($F23="","No usable scope","OK"))))))))</x:f>
        <x:v>Disabled</x:v>
      </x:c>
      <x:c r="J23" s="79" t="str"/>
      <x:c r="K23" s="118" t="str">
        <x:f>IF(AND(A23="Yes",I23="OK",F23&lt;&gt;""),B23,"")</x:f>
      </x:c>
      <x:c r="L23" s="118" t="str">
        <x:f>IF(K23="","",IF(COUNTIF($K$5:K22,K23)=0,F23,XLOOKUP(K23,$K$5:K22,$L$5:L22,"",0,-1)&amp;" OR "&amp;F23))</x:f>
      </x:c>
      <x:c r="M23" s="24" t="str">
        <x:f>IF(AND($A23="Yes",$B23&lt;&gt;""),COUNTIFS($B$5:$B23,$B23,$A$5:$A23,"Yes"),"")</x:f>
      </x:c>
      <x:c r="N23" s="24" t="str">
        <x:f>IF(OR($A23&lt;&gt;"Yes",$B23="",$D23=""),"",$B23&amp;"|"&amp;$D23)</x:f>
      </x:c>
      <x:c r="O23" s="24" t="str">
        <x:f>IF($M23="","",$B23&amp;"|"&amp;TEXT($M23,"000"))</x:f>
      </x:c>
      <x:c r="P23" s="24" t="str">
        <x:f>IF(Generator!$E$6="","",IFERROR(INDEX($D$5:$D$64,MATCH(Generator!$E$6&amp;"|019",$O$5:$O$64,0)),""))</x:f>
        <x:v>Current Draft Scope</x:v>
      </x:c>
    </x:row>
    <x:row r="24">
      <x:c r="A24" s="79" t="str">
        <x:v>No</x:v>
      </x:c>
      <x:c r="B24" s="79" t="str"/>
      <x:c r="C24" s="79" t="str">
        <x:v>LOC_020</x:v>
      </x:c>
      <x:c r="D24" s="79" t="str">
        <x:v>Location 020</x:v>
      </x:c>
      <x:c r="E24" s="79" t="n">
        <x:v>200</x:v>
      </x:c>
      <x:c r="F24" s="80" t="str">
        <x:f>IF(A24&lt;&gt;"Yes","",IF(H24=0,"","("&amp;XLOOKUP(C24,ScopeRulesTbl[Rule Key (helper)],ScopeRulesTbl[Scope Accumulator (helper)],"",0,-1)&amp;")"))</x:f>
      </x:c>
      <x:c r="G24" s="80" t="str">
        <x:f>IF(OR(A24&lt;&gt;"Yes",F24=""),"","{""label"":"""&amp;D24&amp;""",""value"":"""&amp;SUBSTITUTE(F24,CHAR(34),"\"&amp;CHAR(34))&amp;"""}")</x:f>
      </x:c>
      <x:c r="H24" s="80" t="n">
        <x:f>IF($C24="","",COUNTIFS(ScopeRulesTbl[Use?],"Yes",ScopeRulesTbl[Location ID],$C24))</x:f>
        <x:v>0</x:v>
      </x:c>
      <x:c r="I24" s="80" t="str">
        <x:f>IF($A24&lt;&gt;"Yes","Disabled",IF($B24="","Missing NOC ID",IF(COUNTIF(NOCsTbl[NOC ID],$B24)=0,"NOC not found",IF($C24="","Missing Location ID",IF(COUNTIF(LocationsTbl[Location ID],$C24)&gt;1,"Duplicate Location ID",IF($D24="","Missing display name",IF($H24=0,"No enabled rules",IF($F24="","No usable scope","OK"))))))))</x:f>
        <x:v>Disabled</x:v>
      </x:c>
      <x:c r="J24" s="79" t="str"/>
      <x:c r="K24" s="118" t="str">
        <x:f>IF(AND(A24="Yes",I24="OK",F24&lt;&gt;""),B24,"")</x:f>
      </x:c>
      <x:c r="L24" s="118" t="str">
        <x:f>IF(K24="","",IF(COUNTIF($K$5:K23,K24)=0,F24,XLOOKUP(K24,$K$5:K23,$L$5:L23,"",0,-1)&amp;" OR "&amp;F24))</x:f>
      </x:c>
      <x:c r="M24" s="24" t="str">
        <x:f>IF(AND($A24="Yes",$B24&lt;&gt;""),COUNTIFS($B$5:$B24,$B24,$A$5:$A24,"Yes"),"")</x:f>
      </x:c>
      <x:c r="N24" s="24" t="str">
        <x:f>IF(OR($A24&lt;&gt;"Yes",$B24="",$D24=""),"",$B24&amp;"|"&amp;$D24)</x:f>
      </x:c>
      <x:c r="O24" s="24" t="str">
        <x:f>IF($M24="","",$B24&amp;"|"&amp;TEXT($M24,"000"))</x:f>
      </x:c>
      <x:c r="P24" s="24" t="str">
        <x:f>IF(Generator!$E$6="","",IFERROR(INDEX($D$5:$D$64,MATCH(Generator!$E$6&amp;"|020",$O$5:$O$64,0)),""))</x:f>
        <x:v>Current Draft Scope</x:v>
      </x:c>
    </x:row>
    <x:row r="25">
      <x:c r="A25" s="79" t="str">
        <x:v>No</x:v>
      </x:c>
      <x:c r="B25" s="79" t="str"/>
      <x:c r="C25" s="79" t="str">
        <x:v>LOC_021</x:v>
      </x:c>
      <x:c r="D25" s="79" t="str">
        <x:v>Location 021</x:v>
      </x:c>
      <x:c r="E25" s="79" t="n">
        <x:v>210</x:v>
      </x:c>
      <x:c r="F25" s="80" t="str">
        <x:f>IF(A25&lt;&gt;"Yes","",IF(H25=0,"","("&amp;XLOOKUP(C25,ScopeRulesTbl[Rule Key (helper)],ScopeRulesTbl[Scope Accumulator (helper)],"",0,-1)&amp;")"))</x:f>
      </x:c>
      <x:c r="G25" s="80" t="str">
        <x:f>IF(OR(A25&lt;&gt;"Yes",F25=""),"","{""label"":"""&amp;D25&amp;""",""value"":"""&amp;SUBSTITUTE(F25,CHAR(34),"\"&amp;CHAR(34))&amp;"""}")</x:f>
      </x:c>
      <x:c r="H25" s="80" t="n">
        <x:f>IF($C25="","",COUNTIFS(ScopeRulesTbl[Use?],"Yes",ScopeRulesTbl[Location ID],$C25))</x:f>
        <x:v>0</x:v>
      </x:c>
      <x:c r="I25" s="80" t="str">
        <x:f>IF($A25&lt;&gt;"Yes","Disabled",IF($B25="","Missing NOC ID",IF(COUNTIF(NOCsTbl[NOC ID],$B25)=0,"NOC not found",IF($C25="","Missing Location ID",IF(COUNTIF(LocationsTbl[Location ID],$C25)&gt;1,"Duplicate Location ID",IF($D25="","Missing display name",IF($H25=0,"No enabled rules",IF($F25="","No usable scope","OK"))))))))</x:f>
        <x:v>Disabled</x:v>
      </x:c>
      <x:c r="J25" s="79" t="str"/>
      <x:c r="K25" s="118" t="str">
        <x:f>IF(AND(A25="Yes",I25="OK",F25&lt;&gt;""),B25,"")</x:f>
      </x:c>
      <x:c r="L25" s="118" t="str">
        <x:f>IF(K25="","",IF(COUNTIF($K$5:K24,K25)=0,F25,XLOOKUP(K25,$K$5:K24,$L$5:L24,"",0,-1)&amp;" OR "&amp;F25))</x:f>
      </x:c>
      <x:c r="M25" s="24" t="str">
        <x:f>IF(AND($A25="Yes",$B25&lt;&gt;""),COUNTIFS($B$5:$B25,$B25,$A$5:$A25,"Yes"),"")</x:f>
      </x:c>
      <x:c r="N25" s="24" t="str">
        <x:f>IF(OR($A25&lt;&gt;"Yes",$B25="",$D25=""),"",$B25&amp;"|"&amp;$D25)</x:f>
      </x:c>
      <x:c r="O25" s="24" t="str">
        <x:f>IF($M25="","",$B25&amp;"|"&amp;TEXT($M25,"000"))</x:f>
      </x:c>
      <x:c r="P25" s="24" t="str">
        <x:f>IF(Generator!$E$6="","",IFERROR(INDEX($D$5:$D$64,MATCH(Generator!$E$6&amp;"|021",$O$5:$O$64,0)),""))</x:f>
        <x:v>Current Draft Scope</x:v>
      </x:c>
    </x:row>
    <x:row r="26">
      <x:c r="A26" s="79" t="str">
        <x:v>No</x:v>
      </x:c>
      <x:c r="B26" s="79" t="str"/>
      <x:c r="C26" s="79" t="str">
        <x:v>LOC_022</x:v>
      </x:c>
      <x:c r="D26" s="79" t="str">
        <x:v>Location 022</x:v>
      </x:c>
      <x:c r="E26" s="79" t="n">
        <x:v>220</x:v>
      </x:c>
      <x:c r="F26" s="80" t="str">
        <x:f>IF(A26&lt;&gt;"Yes","",IF(H26=0,"","("&amp;XLOOKUP(C26,ScopeRulesTbl[Rule Key (helper)],ScopeRulesTbl[Scope Accumulator (helper)],"",0,-1)&amp;")"))</x:f>
      </x:c>
      <x:c r="G26" s="80" t="str">
        <x:f>IF(OR(A26&lt;&gt;"Yes",F26=""),"","{""label"":"""&amp;D26&amp;""",""value"":"""&amp;SUBSTITUTE(F26,CHAR(34),"\"&amp;CHAR(34))&amp;"""}")</x:f>
      </x:c>
      <x:c r="H26" s="80" t="n">
        <x:f>IF($C26="","",COUNTIFS(ScopeRulesTbl[Use?],"Yes",ScopeRulesTbl[Location ID],$C26))</x:f>
        <x:v>0</x:v>
      </x:c>
      <x:c r="I26" s="80" t="str">
        <x:f>IF($A26&lt;&gt;"Yes","Disabled",IF($B26="","Missing NOC ID",IF(COUNTIF(NOCsTbl[NOC ID],$B26)=0,"NOC not found",IF($C26="","Missing Location ID",IF(COUNTIF(LocationsTbl[Location ID],$C26)&gt;1,"Duplicate Location ID",IF($D26="","Missing display name",IF($H26=0,"No enabled rules",IF($F26="","No usable scope","OK"))))))))</x:f>
        <x:v>Disabled</x:v>
      </x:c>
      <x:c r="J26" s="79" t="str"/>
      <x:c r="K26" s="118" t="str">
        <x:f>IF(AND(A26="Yes",I26="OK",F26&lt;&gt;""),B26,"")</x:f>
      </x:c>
      <x:c r="L26" s="118" t="str">
        <x:f>IF(K26="","",IF(COUNTIF($K$5:K25,K26)=0,F26,XLOOKUP(K26,$K$5:K25,$L$5:L25,"",0,-1)&amp;" OR "&amp;F26))</x:f>
      </x:c>
      <x:c r="M26" s="24" t="str">
        <x:f>IF(AND($A26="Yes",$B26&lt;&gt;""),COUNTIFS($B$5:$B26,$B26,$A$5:$A26,"Yes"),"")</x:f>
      </x:c>
      <x:c r="N26" s="24" t="str">
        <x:f>IF(OR($A26&lt;&gt;"Yes",$B26="",$D26=""),"",$B26&amp;"|"&amp;$D26)</x:f>
      </x:c>
      <x:c r="O26" s="24" t="str">
        <x:f>IF($M26="","",$B26&amp;"|"&amp;TEXT($M26,"000"))</x:f>
      </x:c>
      <x:c r="P26" s="24" t="str">
        <x:f>IF(Generator!$E$6="","",IFERROR(INDEX($D$5:$D$64,MATCH(Generator!$E$6&amp;"|022",$O$5:$O$64,0)),""))</x:f>
        <x:v>Current Draft Scope</x:v>
      </x:c>
    </x:row>
    <x:row r="27">
      <x:c r="A27" s="79" t="str">
        <x:v>No</x:v>
      </x:c>
      <x:c r="B27" s="79" t="str"/>
      <x:c r="C27" s="79" t="str">
        <x:v>LOC_023</x:v>
      </x:c>
      <x:c r="D27" s="79" t="str">
        <x:v>Location 023</x:v>
      </x:c>
      <x:c r="E27" s="79" t="n">
        <x:v>230</x:v>
      </x:c>
      <x:c r="F27" s="80" t="str">
        <x:f>IF(A27&lt;&gt;"Yes","",IF(H27=0,"","("&amp;XLOOKUP(C27,ScopeRulesTbl[Rule Key (helper)],ScopeRulesTbl[Scope Accumulator (helper)],"",0,-1)&amp;")"))</x:f>
      </x:c>
      <x:c r="G27" s="80" t="str">
        <x:f>IF(OR(A27&lt;&gt;"Yes",F27=""),"","{""label"":"""&amp;D27&amp;""",""value"":"""&amp;SUBSTITUTE(F27,CHAR(34),"\"&amp;CHAR(34))&amp;"""}")</x:f>
      </x:c>
      <x:c r="H27" s="80" t="n">
        <x:f>IF($C27="","",COUNTIFS(ScopeRulesTbl[Use?],"Yes",ScopeRulesTbl[Location ID],$C27))</x:f>
        <x:v>0</x:v>
      </x:c>
      <x:c r="I27" s="80" t="str">
        <x:f>IF($A27&lt;&gt;"Yes","Disabled",IF($B27="","Missing NOC ID",IF(COUNTIF(NOCsTbl[NOC ID],$B27)=0,"NOC not found",IF($C27="","Missing Location ID",IF(COUNTIF(LocationsTbl[Location ID],$C27)&gt;1,"Duplicate Location ID",IF($D27="","Missing display name",IF($H27=0,"No enabled rules",IF($F27="","No usable scope","OK"))))))))</x:f>
        <x:v>Disabled</x:v>
      </x:c>
      <x:c r="J27" s="79" t="str"/>
      <x:c r="K27" s="118" t="str">
        <x:f>IF(AND(A27="Yes",I27="OK",F27&lt;&gt;""),B27,"")</x:f>
      </x:c>
      <x:c r="L27" s="118" t="str">
        <x:f>IF(K27="","",IF(COUNTIF($K$5:K26,K27)=0,F27,XLOOKUP(K27,$K$5:K26,$L$5:L26,"",0,-1)&amp;" OR "&amp;F27))</x:f>
      </x:c>
      <x:c r="M27" s="24" t="str">
        <x:f>IF(AND($A27="Yes",$B27&lt;&gt;""),COUNTIFS($B$5:$B27,$B27,$A$5:$A27,"Yes"),"")</x:f>
      </x:c>
      <x:c r="N27" s="24" t="str">
        <x:f>IF(OR($A27&lt;&gt;"Yes",$B27="",$D27=""),"",$B27&amp;"|"&amp;$D27)</x:f>
      </x:c>
      <x:c r="O27" s="24" t="str">
        <x:f>IF($M27="","",$B27&amp;"|"&amp;TEXT($M27,"000"))</x:f>
      </x:c>
      <x:c r="P27" s="24" t="str">
        <x:f>IF(Generator!$E$6="","",IFERROR(INDEX($D$5:$D$64,MATCH(Generator!$E$6&amp;"|023",$O$5:$O$64,0)),""))</x:f>
        <x:v>Current Draft Scope</x:v>
      </x:c>
    </x:row>
    <x:row r="28">
      <x:c r="A28" s="79" t="str">
        <x:v>No</x:v>
      </x:c>
      <x:c r="B28" s="79" t="str"/>
      <x:c r="C28" s="79" t="str">
        <x:v>LOC_024</x:v>
      </x:c>
      <x:c r="D28" s="79" t="str">
        <x:v>Location 024</x:v>
      </x:c>
      <x:c r="E28" s="79" t="n">
        <x:v>240</x:v>
      </x:c>
      <x:c r="F28" s="80" t="str">
        <x:f>IF(A28&lt;&gt;"Yes","",IF(H28=0,"","("&amp;XLOOKUP(C28,ScopeRulesTbl[Rule Key (helper)],ScopeRulesTbl[Scope Accumulator (helper)],"",0,-1)&amp;")"))</x:f>
      </x:c>
      <x:c r="G28" s="80" t="str">
        <x:f>IF(OR(A28&lt;&gt;"Yes",F28=""),"","{""label"":"""&amp;D28&amp;""",""value"":"""&amp;SUBSTITUTE(F28,CHAR(34),"\"&amp;CHAR(34))&amp;"""}")</x:f>
      </x:c>
      <x:c r="H28" s="80" t="n">
        <x:f>IF($C28="","",COUNTIFS(ScopeRulesTbl[Use?],"Yes",ScopeRulesTbl[Location ID],$C28))</x:f>
        <x:v>0</x:v>
      </x:c>
      <x:c r="I28" s="80" t="str">
        <x:f>IF($A28&lt;&gt;"Yes","Disabled",IF($B28="","Missing NOC ID",IF(COUNTIF(NOCsTbl[NOC ID],$B28)=0,"NOC not found",IF($C28="","Missing Location ID",IF(COUNTIF(LocationsTbl[Location ID],$C28)&gt;1,"Duplicate Location ID",IF($D28="","Missing display name",IF($H28=0,"No enabled rules",IF($F28="","No usable scope","OK"))))))))</x:f>
        <x:v>Disabled</x:v>
      </x:c>
      <x:c r="J28" s="79" t="str"/>
      <x:c r="K28" s="118" t="str">
        <x:f>IF(AND(A28="Yes",I28="OK",F28&lt;&gt;""),B28,"")</x:f>
      </x:c>
      <x:c r="L28" s="118" t="str">
        <x:f>IF(K28="","",IF(COUNTIF($K$5:K27,K28)=0,F28,XLOOKUP(K28,$K$5:K27,$L$5:L27,"",0,-1)&amp;" OR "&amp;F28))</x:f>
      </x:c>
      <x:c r="M28" s="24" t="str">
        <x:f>IF(AND($A28="Yes",$B28&lt;&gt;""),COUNTIFS($B$5:$B28,$B28,$A$5:$A28,"Yes"),"")</x:f>
      </x:c>
      <x:c r="N28" s="24" t="str">
        <x:f>IF(OR($A28&lt;&gt;"Yes",$B28="",$D28=""),"",$B28&amp;"|"&amp;$D28)</x:f>
      </x:c>
      <x:c r="O28" s="24" t="str">
        <x:f>IF($M28="","",$B28&amp;"|"&amp;TEXT($M28,"000"))</x:f>
      </x:c>
      <x:c r="P28" s="24" t="str">
        <x:f>IF(Generator!$E$6="","",IFERROR(INDEX($D$5:$D$64,MATCH(Generator!$E$6&amp;"|024",$O$5:$O$64,0)),""))</x:f>
        <x:v>Current Draft Scope</x:v>
      </x:c>
    </x:row>
    <x:row r="29">
      <x:c r="A29" s="79" t="str">
        <x:v>No</x:v>
      </x:c>
      <x:c r="B29" s="79" t="str"/>
      <x:c r="C29" s="79" t="str">
        <x:v>LOC_025</x:v>
      </x:c>
      <x:c r="D29" s="79" t="str">
        <x:v>Location 025</x:v>
      </x:c>
      <x:c r="E29" s="79" t="n">
        <x:v>250</x:v>
      </x:c>
      <x:c r="F29" s="80" t="str">
        <x:f>IF(A29&lt;&gt;"Yes","",IF(H29=0,"","("&amp;XLOOKUP(C29,ScopeRulesTbl[Rule Key (helper)],ScopeRulesTbl[Scope Accumulator (helper)],"",0,-1)&amp;")"))</x:f>
      </x:c>
      <x:c r="G29" s="80" t="str">
        <x:f>IF(OR(A29&lt;&gt;"Yes",F29=""),"","{""label"":"""&amp;D29&amp;""",""value"":"""&amp;SUBSTITUTE(F29,CHAR(34),"\"&amp;CHAR(34))&amp;"""}")</x:f>
      </x:c>
      <x:c r="H29" s="80" t="n">
        <x:f>IF($C29="","",COUNTIFS(ScopeRulesTbl[Use?],"Yes",ScopeRulesTbl[Location ID],$C29))</x:f>
        <x:v>0</x:v>
      </x:c>
      <x:c r="I29" s="80" t="str">
        <x:f>IF($A29&lt;&gt;"Yes","Disabled",IF($B29="","Missing NOC ID",IF(COUNTIF(NOCsTbl[NOC ID],$B29)=0,"NOC not found",IF($C29="","Missing Location ID",IF(COUNTIF(LocationsTbl[Location ID],$C29)&gt;1,"Duplicate Location ID",IF($D29="","Missing display name",IF($H29=0,"No enabled rules",IF($F29="","No usable scope","OK"))))))))</x:f>
        <x:v>Disabled</x:v>
      </x:c>
      <x:c r="J29" s="79" t="str"/>
      <x:c r="K29" s="118" t="str">
        <x:f>IF(AND(A29="Yes",I29="OK",F29&lt;&gt;""),B29,"")</x:f>
      </x:c>
      <x:c r="L29" s="118" t="str">
        <x:f>IF(K29="","",IF(COUNTIF($K$5:K28,K29)=0,F29,XLOOKUP(K29,$K$5:K28,$L$5:L28,"",0,-1)&amp;" OR "&amp;F29))</x:f>
      </x:c>
      <x:c r="M29" s="24" t="str">
        <x:f>IF(AND($A29="Yes",$B29&lt;&gt;""),COUNTIFS($B$5:$B29,$B29,$A$5:$A29,"Yes"),"")</x:f>
      </x:c>
      <x:c r="N29" s="24" t="str">
        <x:f>IF(OR($A29&lt;&gt;"Yes",$B29="",$D29=""),"",$B29&amp;"|"&amp;$D29)</x:f>
      </x:c>
      <x:c r="O29" s="24" t="str">
        <x:f>IF($M29="","",$B29&amp;"|"&amp;TEXT($M29,"000"))</x:f>
      </x:c>
      <x:c r="P29" s="24" t="str">
        <x:f>IF(Generator!$E$6="","",IFERROR(INDEX($D$5:$D$64,MATCH(Generator!$E$6&amp;"|025",$O$5:$O$64,0)),""))</x:f>
        <x:v>Current Draft Scope</x:v>
      </x:c>
    </x:row>
    <x:row r="30">
      <x:c r="A30" s="79" t="str">
        <x:v>No</x:v>
      </x:c>
      <x:c r="B30" s="79" t="str"/>
      <x:c r="C30" s="79" t="str">
        <x:v>LOC_026</x:v>
      </x:c>
      <x:c r="D30" s="79" t="str">
        <x:v>Location 026</x:v>
      </x:c>
      <x:c r="E30" s="79" t="n">
        <x:v>260</x:v>
      </x:c>
      <x:c r="F30" s="80" t="str">
        <x:f>IF(A30&lt;&gt;"Yes","",IF(H30=0,"","("&amp;XLOOKUP(C30,ScopeRulesTbl[Rule Key (helper)],ScopeRulesTbl[Scope Accumulator (helper)],"",0,-1)&amp;")"))</x:f>
      </x:c>
      <x:c r="G30" s="80" t="str">
        <x:f>IF(OR(A30&lt;&gt;"Yes",F30=""),"","{""label"":"""&amp;D30&amp;""",""value"":"""&amp;SUBSTITUTE(F30,CHAR(34),"\"&amp;CHAR(34))&amp;"""}")</x:f>
      </x:c>
      <x:c r="H30" s="80" t="n">
        <x:f>IF($C30="","",COUNTIFS(ScopeRulesTbl[Use?],"Yes",ScopeRulesTbl[Location ID],$C30))</x:f>
        <x:v>0</x:v>
      </x:c>
      <x:c r="I30" s="80" t="str">
        <x:f>IF($A30&lt;&gt;"Yes","Disabled",IF($B30="","Missing NOC ID",IF(COUNTIF(NOCsTbl[NOC ID],$B30)=0,"NOC not found",IF($C30="","Missing Location ID",IF(COUNTIF(LocationsTbl[Location ID],$C30)&gt;1,"Duplicate Location ID",IF($D30="","Missing display name",IF($H30=0,"No enabled rules",IF($F30="","No usable scope","OK"))))))))</x:f>
        <x:v>Disabled</x:v>
      </x:c>
      <x:c r="J30" s="79" t="str"/>
      <x:c r="K30" s="118" t="str">
        <x:f>IF(AND(A30="Yes",I30="OK",F30&lt;&gt;""),B30,"")</x:f>
      </x:c>
      <x:c r="L30" s="118" t="str">
        <x:f>IF(K30="","",IF(COUNTIF($K$5:K29,K30)=0,F30,XLOOKUP(K30,$K$5:K29,$L$5:L29,"",0,-1)&amp;" OR "&amp;F30))</x:f>
      </x:c>
      <x:c r="M30" s="24" t="str">
        <x:f>IF(AND($A30="Yes",$B30&lt;&gt;""),COUNTIFS($B$5:$B30,$B30,$A$5:$A30,"Yes"),"")</x:f>
      </x:c>
      <x:c r="N30" s="24" t="str">
        <x:f>IF(OR($A30&lt;&gt;"Yes",$B30="",$D30=""),"",$B30&amp;"|"&amp;$D30)</x:f>
      </x:c>
      <x:c r="O30" s="24" t="str">
        <x:f>IF($M30="","",$B30&amp;"|"&amp;TEXT($M30,"000"))</x:f>
      </x:c>
      <x:c r="P30" s="24" t="str">
        <x:f>IF(Generator!$E$6="","",IFERROR(INDEX($D$5:$D$64,MATCH(Generator!$E$6&amp;"|026",$O$5:$O$64,0)),""))</x:f>
        <x:v>Current Draft Scope</x:v>
      </x:c>
    </x:row>
    <x:row r="31">
      <x:c r="A31" s="79" t="str">
        <x:v>No</x:v>
      </x:c>
      <x:c r="B31" s="79" t="str"/>
      <x:c r="C31" s="79" t="str">
        <x:v>LOC_027</x:v>
      </x:c>
      <x:c r="D31" s="79" t="str">
        <x:v>Location 027</x:v>
      </x:c>
      <x:c r="E31" s="79" t="n">
        <x:v>270</x:v>
      </x:c>
      <x:c r="F31" s="80" t="str">
        <x:f>IF(A31&lt;&gt;"Yes","",IF(H31=0,"","("&amp;XLOOKUP(C31,ScopeRulesTbl[Rule Key (helper)],ScopeRulesTbl[Scope Accumulator (helper)],"",0,-1)&amp;")"))</x:f>
      </x:c>
      <x:c r="G31" s="80" t="str">
        <x:f>IF(OR(A31&lt;&gt;"Yes",F31=""),"","{""label"":"""&amp;D31&amp;""",""value"":"""&amp;SUBSTITUTE(F31,CHAR(34),"\"&amp;CHAR(34))&amp;"""}")</x:f>
      </x:c>
      <x:c r="H31" s="80" t="n">
        <x:f>IF($C31="","",COUNTIFS(ScopeRulesTbl[Use?],"Yes",ScopeRulesTbl[Location ID],$C31))</x:f>
        <x:v>0</x:v>
      </x:c>
      <x:c r="I31" s="80" t="str">
        <x:f>IF($A31&lt;&gt;"Yes","Disabled",IF($B31="","Missing NOC ID",IF(COUNTIF(NOCsTbl[NOC ID],$B31)=0,"NOC not found",IF($C31="","Missing Location ID",IF(COUNTIF(LocationsTbl[Location ID],$C31)&gt;1,"Duplicate Location ID",IF($D31="","Missing display name",IF($H31=0,"No enabled rules",IF($F31="","No usable scope","OK"))))))))</x:f>
        <x:v>Disabled</x:v>
      </x:c>
      <x:c r="J31" s="79" t="str"/>
      <x:c r="K31" s="118" t="str">
        <x:f>IF(AND(A31="Yes",I31="OK",F31&lt;&gt;""),B31,"")</x:f>
      </x:c>
      <x:c r="L31" s="118" t="str">
        <x:f>IF(K31="","",IF(COUNTIF($K$5:K30,K31)=0,F31,XLOOKUP(K31,$K$5:K30,$L$5:L30,"",0,-1)&amp;" OR "&amp;F31))</x:f>
      </x:c>
      <x:c r="M31" s="24" t="str">
        <x:f>IF(AND($A31="Yes",$B31&lt;&gt;""),COUNTIFS($B$5:$B31,$B31,$A$5:$A31,"Yes"),"")</x:f>
      </x:c>
      <x:c r="N31" s="24" t="str">
        <x:f>IF(OR($A31&lt;&gt;"Yes",$B31="",$D31=""),"",$B31&amp;"|"&amp;$D31)</x:f>
      </x:c>
      <x:c r="O31" s="24" t="str">
        <x:f>IF($M31="","",$B31&amp;"|"&amp;TEXT($M31,"000"))</x:f>
      </x:c>
      <x:c r="P31" s="24" t="str">
        <x:f>IF(Generator!$E$6="","",IFERROR(INDEX($D$5:$D$64,MATCH(Generator!$E$6&amp;"|027",$O$5:$O$64,0)),""))</x:f>
        <x:v>Current Draft Scope</x:v>
      </x:c>
    </x:row>
    <x:row r="32">
      <x:c r="A32" s="79" t="str">
        <x:v>No</x:v>
      </x:c>
      <x:c r="B32" s="79" t="str"/>
      <x:c r="C32" s="79" t="str">
        <x:v>LOC_028</x:v>
      </x:c>
      <x:c r="D32" s="79" t="str">
        <x:v>Location 028</x:v>
      </x:c>
      <x:c r="E32" s="79" t="n">
        <x:v>280</x:v>
      </x:c>
      <x:c r="F32" s="80" t="str">
        <x:f>IF(A32&lt;&gt;"Yes","",IF(H32=0,"","("&amp;XLOOKUP(C32,ScopeRulesTbl[Rule Key (helper)],ScopeRulesTbl[Scope Accumulator (helper)],"",0,-1)&amp;")"))</x:f>
      </x:c>
      <x:c r="G32" s="80" t="str">
        <x:f>IF(OR(A32&lt;&gt;"Yes",F32=""),"","{""label"":"""&amp;D32&amp;""",""value"":"""&amp;SUBSTITUTE(F32,CHAR(34),"\"&amp;CHAR(34))&amp;"""}")</x:f>
      </x:c>
      <x:c r="H32" s="80" t="n">
        <x:f>IF($C32="","",COUNTIFS(ScopeRulesTbl[Use?],"Yes",ScopeRulesTbl[Location ID],$C32))</x:f>
        <x:v>0</x:v>
      </x:c>
      <x:c r="I32" s="80" t="str">
        <x:f>IF($A32&lt;&gt;"Yes","Disabled",IF($B32="","Missing NOC ID",IF(COUNTIF(NOCsTbl[NOC ID],$B32)=0,"NOC not found",IF($C32="","Missing Location ID",IF(COUNTIF(LocationsTbl[Location ID],$C32)&gt;1,"Duplicate Location ID",IF($D32="","Missing display name",IF($H32=0,"No enabled rules",IF($F32="","No usable scope","OK"))))))))</x:f>
        <x:v>Disabled</x:v>
      </x:c>
      <x:c r="J32" s="79" t="str"/>
      <x:c r="K32" s="118" t="str">
        <x:f>IF(AND(A32="Yes",I32="OK",F32&lt;&gt;""),B32,"")</x:f>
      </x:c>
      <x:c r="L32" s="118" t="str">
        <x:f>IF(K32="","",IF(COUNTIF($K$5:K31,K32)=0,F32,XLOOKUP(K32,$K$5:K31,$L$5:L31,"",0,-1)&amp;" OR "&amp;F32))</x:f>
      </x:c>
      <x:c r="M32" s="24" t="str">
        <x:f>IF(AND($A32="Yes",$B32&lt;&gt;""),COUNTIFS($B$5:$B32,$B32,$A$5:$A32,"Yes"),"")</x:f>
      </x:c>
      <x:c r="N32" s="24" t="str">
        <x:f>IF(OR($A32&lt;&gt;"Yes",$B32="",$D32=""),"",$B32&amp;"|"&amp;$D32)</x:f>
      </x:c>
      <x:c r="O32" s="24" t="str">
        <x:f>IF($M32="","",$B32&amp;"|"&amp;TEXT($M32,"000"))</x:f>
      </x:c>
      <x:c r="P32" s="24" t="str">
        <x:f>IF(Generator!$E$6="","",IFERROR(INDEX($D$5:$D$64,MATCH(Generator!$E$6&amp;"|028",$O$5:$O$64,0)),""))</x:f>
        <x:v>Current Draft Scope</x:v>
      </x:c>
    </x:row>
    <x:row r="33">
      <x:c r="A33" s="79" t="str">
        <x:v>No</x:v>
      </x:c>
      <x:c r="B33" s="79" t="str"/>
      <x:c r="C33" s="79" t="str">
        <x:v>LOC_029</x:v>
      </x:c>
      <x:c r="D33" s="79" t="str">
        <x:v>Location 029</x:v>
      </x:c>
      <x:c r="E33" s="79" t="n">
        <x:v>290</x:v>
      </x:c>
      <x:c r="F33" s="80" t="str">
        <x:f>IF(A33&lt;&gt;"Yes","",IF(H33=0,"","("&amp;XLOOKUP(C33,ScopeRulesTbl[Rule Key (helper)],ScopeRulesTbl[Scope Accumulator (helper)],"",0,-1)&amp;")"))</x:f>
      </x:c>
      <x:c r="G33" s="80" t="str">
        <x:f>IF(OR(A33&lt;&gt;"Yes",F33=""),"","{""label"":"""&amp;D33&amp;""",""value"":"""&amp;SUBSTITUTE(F33,CHAR(34),"\"&amp;CHAR(34))&amp;"""}")</x:f>
      </x:c>
      <x:c r="H33" s="80" t="n">
        <x:f>IF($C33="","",COUNTIFS(ScopeRulesTbl[Use?],"Yes",ScopeRulesTbl[Location ID],$C33))</x:f>
        <x:v>0</x:v>
      </x:c>
      <x:c r="I33" s="80" t="str">
        <x:f>IF($A33&lt;&gt;"Yes","Disabled",IF($B33="","Missing NOC ID",IF(COUNTIF(NOCsTbl[NOC ID],$B33)=0,"NOC not found",IF($C33="","Missing Location ID",IF(COUNTIF(LocationsTbl[Location ID],$C33)&gt;1,"Duplicate Location ID",IF($D33="","Missing display name",IF($H33=0,"No enabled rules",IF($F33="","No usable scope","OK"))))))))</x:f>
        <x:v>Disabled</x:v>
      </x:c>
      <x:c r="J33" s="79" t="str"/>
      <x:c r="K33" s="118" t="str">
        <x:f>IF(AND(A33="Yes",I33="OK",F33&lt;&gt;""),B33,"")</x:f>
      </x:c>
      <x:c r="L33" s="118" t="str">
        <x:f>IF(K33="","",IF(COUNTIF($K$5:K32,K33)=0,F33,XLOOKUP(K33,$K$5:K32,$L$5:L32,"",0,-1)&amp;" OR "&amp;F33))</x:f>
      </x:c>
      <x:c r="M33" s="24" t="str">
        <x:f>IF(AND($A33="Yes",$B33&lt;&gt;""),COUNTIFS($B$5:$B33,$B33,$A$5:$A33,"Yes"),"")</x:f>
      </x:c>
      <x:c r="N33" s="24" t="str">
        <x:f>IF(OR($A33&lt;&gt;"Yes",$B33="",$D33=""),"",$B33&amp;"|"&amp;$D33)</x:f>
      </x:c>
      <x:c r="O33" s="24" t="str">
        <x:f>IF($M33="","",$B33&amp;"|"&amp;TEXT($M33,"000"))</x:f>
      </x:c>
      <x:c r="P33" s="24" t="str">
        <x:f>IF(Generator!$E$6="","",IFERROR(INDEX($D$5:$D$64,MATCH(Generator!$E$6&amp;"|029",$O$5:$O$64,0)),""))</x:f>
        <x:v>Current Draft Scope</x:v>
      </x:c>
    </x:row>
    <x:row r="34">
      <x:c r="A34" s="79" t="str">
        <x:v>No</x:v>
      </x:c>
      <x:c r="B34" s="79" t="str"/>
      <x:c r="C34" s="79" t="str">
        <x:v>LOC_030</x:v>
      </x:c>
      <x:c r="D34" s="79" t="str">
        <x:v>Location 030</x:v>
      </x:c>
      <x:c r="E34" s="79" t="n">
        <x:v>300</x:v>
      </x:c>
      <x:c r="F34" s="80" t="str">
        <x:f>IF(A34&lt;&gt;"Yes","",IF(H34=0,"","("&amp;XLOOKUP(C34,ScopeRulesTbl[Rule Key (helper)],ScopeRulesTbl[Scope Accumulator (helper)],"",0,-1)&amp;")"))</x:f>
      </x:c>
      <x:c r="G34" s="80" t="str">
        <x:f>IF(OR(A34&lt;&gt;"Yes",F34=""),"","{""label"":"""&amp;D34&amp;""",""value"":"""&amp;SUBSTITUTE(F34,CHAR(34),"\"&amp;CHAR(34))&amp;"""}")</x:f>
      </x:c>
      <x:c r="H34" s="80" t="n">
        <x:f>IF($C34="","",COUNTIFS(ScopeRulesTbl[Use?],"Yes",ScopeRulesTbl[Location ID],$C34))</x:f>
        <x:v>0</x:v>
      </x:c>
      <x:c r="I34" s="80" t="str">
        <x:f>IF($A34&lt;&gt;"Yes","Disabled",IF($B34="","Missing NOC ID",IF(COUNTIF(NOCsTbl[NOC ID],$B34)=0,"NOC not found",IF($C34="","Missing Location ID",IF(COUNTIF(LocationsTbl[Location ID],$C34)&gt;1,"Duplicate Location ID",IF($D34="","Missing display name",IF($H34=0,"No enabled rules",IF($F34="","No usable scope","OK"))))))))</x:f>
        <x:v>Disabled</x:v>
      </x:c>
      <x:c r="J34" s="79" t="str"/>
      <x:c r="K34" s="118" t="str">
        <x:f>IF(AND(A34="Yes",I34="OK",F34&lt;&gt;""),B34,"")</x:f>
      </x:c>
      <x:c r="L34" s="118" t="str">
        <x:f>IF(K34="","",IF(COUNTIF($K$5:K33,K34)=0,F34,XLOOKUP(K34,$K$5:K33,$L$5:L33,"",0,-1)&amp;" OR "&amp;F34))</x:f>
      </x:c>
      <x:c r="M34" s="24" t="str">
        <x:f>IF(AND($A34="Yes",$B34&lt;&gt;""),COUNTIFS($B$5:$B34,$B34,$A$5:$A34,"Yes"),"")</x:f>
      </x:c>
      <x:c r="N34" s="24" t="str">
        <x:f>IF(OR($A34&lt;&gt;"Yes",$B34="",$D34=""),"",$B34&amp;"|"&amp;$D34)</x:f>
      </x:c>
      <x:c r="O34" s="24" t="str">
        <x:f>IF($M34="","",$B34&amp;"|"&amp;TEXT($M34,"000"))</x:f>
      </x:c>
      <x:c r="P34" s="24" t="str">
        <x:f>IF(Generator!$E$6="","",IFERROR(INDEX($D$5:$D$64,MATCH(Generator!$E$6&amp;"|030",$O$5:$O$64,0)),""))</x:f>
        <x:v>Current Draft Scope</x:v>
      </x:c>
    </x:row>
    <x:row r="35">
      <x:c r="A35" s="79" t="str">
        <x:v>No</x:v>
      </x:c>
      <x:c r="B35" s="79" t="str"/>
      <x:c r="C35" s="79" t="str">
        <x:v>LOC_031</x:v>
      </x:c>
      <x:c r="D35" s="79" t="str">
        <x:v>Location 031</x:v>
      </x:c>
      <x:c r="E35" s="79" t="n">
        <x:v>310</x:v>
      </x:c>
      <x:c r="F35" s="80" t="str">
        <x:f>IF(A35&lt;&gt;"Yes","",IF(H35=0,"","("&amp;XLOOKUP(C35,ScopeRulesTbl[Rule Key (helper)],ScopeRulesTbl[Scope Accumulator (helper)],"",0,-1)&amp;")"))</x:f>
      </x:c>
      <x:c r="G35" s="80" t="str">
        <x:f>IF(OR(A35&lt;&gt;"Yes",F35=""),"","{""label"":"""&amp;D35&amp;""",""value"":"""&amp;SUBSTITUTE(F35,CHAR(34),"\"&amp;CHAR(34))&amp;"""}")</x:f>
      </x:c>
      <x:c r="H35" s="80" t="n">
        <x:f>IF($C35="","",COUNTIFS(ScopeRulesTbl[Use?],"Yes",ScopeRulesTbl[Location ID],$C35))</x:f>
        <x:v>0</x:v>
      </x:c>
      <x:c r="I35" s="80" t="str">
        <x:f>IF($A35&lt;&gt;"Yes","Disabled",IF($B35="","Missing NOC ID",IF(COUNTIF(NOCsTbl[NOC ID],$B35)=0,"NOC not found",IF($C35="","Missing Location ID",IF(COUNTIF(LocationsTbl[Location ID],$C35)&gt;1,"Duplicate Location ID",IF($D35="","Missing display name",IF($H35=0,"No enabled rules",IF($F35="","No usable scope","OK"))))))))</x:f>
        <x:v>Disabled</x:v>
      </x:c>
      <x:c r="J35" s="79" t="str"/>
      <x:c r="K35" s="118" t="str">
        <x:f>IF(AND(A35="Yes",I35="OK",F35&lt;&gt;""),B35,"")</x:f>
      </x:c>
      <x:c r="L35" s="118" t="str">
        <x:f>IF(K35="","",IF(COUNTIF($K$5:K34,K35)=0,F35,XLOOKUP(K35,$K$5:K34,$L$5:L34,"",0,-1)&amp;" OR "&amp;F35))</x:f>
      </x:c>
      <x:c r="M35" s="24" t="str">
        <x:f>IF(AND($A35="Yes",$B35&lt;&gt;""),COUNTIFS($B$5:$B35,$B35,$A$5:$A35,"Yes"),"")</x:f>
      </x:c>
      <x:c r="N35" s="24" t="str">
        <x:f>IF(OR($A35&lt;&gt;"Yes",$B35="",$D35=""),"",$B35&amp;"|"&amp;$D35)</x:f>
      </x:c>
      <x:c r="O35" s="24" t="str">
        <x:f>IF($M35="","",$B35&amp;"|"&amp;TEXT($M35,"000"))</x:f>
      </x:c>
      <x:c r="P35" s="24" t="str">
        <x:f>IF(Generator!$E$6="","",IFERROR(INDEX($D$5:$D$64,MATCH(Generator!$E$6&amp;"|031",$O$5:$O$64,0)),""))</x:f>
        <x:v>Current Draft Scope</x:v>
      </x:c>
    </x:row>
    <x:row r="36">
      <x:c r="A36" s="79" t="str">
        <x:v>No</x:v>
      </x:c>
      <x:c r="B36" s="79" t="str"/>
      <x:c r="C36" s="79" t="str">
        <x:v>LOC_032</x:v>
      </x:c>
      <x:c r="D36" s="79" t="str">
        <x:v>Location 032</x:v>
      </x:c>
      <x:c r="E36" s="79" t="n">
        <x:v>320</x:v>
      </x:c>
      <x:c r="F36" s="80" t="str">
        <x:f>IF(A36&lt;&gt;"Yes","",IF(H36=0,"","("&amp;XLOOKUP(C36,ScopeRulesTbl[Rule Key (helper)],ScopeRulesTbl[Scope Accumulator (helper)],"",0,-1)&amp;")"))</x:f>
      </x:c>
      <x:c r="G36" s="80" t="str">
        <x:f>IF(OR(A36&lt;&gt;"Yes",F36=""),"","{""label"":"""&amp;D36&amp;""",""value"":"""&amp;SUBSTITUTE(F36,CHAR(34),"\"&amp;CHAR(34))&amp;"""}")</x:f>
      </x:c>
      <x:c r="H36" s="80" t="n">
        <x:f>IF($C36="","",COUNTIFS(ScopeRulesTbl[Use?],"Yes",ScopeRulesTbl[Location ID],$C36))</x:f>
        <x:v>0</x:v>
      </x:c>
      <x:c r="I36" s="80" t="str">
        <x:f>IF($A36&lt;&gt;"Yes","Disabled",IF($B36="","Missing NOC ID",IF(COUNTIF(NOCsTbl[NOC ID],$B36)=0,"NOC not found",IF($C36="","Missing Location ID",IF(COUNTIF(LocationsTbl[Location ID],$C36)&gt;1,"Duplicate Location ID",IF($D36="","Missing display name",IF($H36=0,"No enabled rules",IF($F36="","No usable scope","OK"))))))))</x:f>
        <x:v>Disabled</x:v>
      </x:c>
      <x:c r="J36" s="79" t="str"/>
      <x:c r="K36" s="118" t="str">
        <x:f>IF(AND(A36="Yes",I36="OK",F36&lt;&gt;""),B36,"")</x:f>
      </x:c>
      <x:c r="L36" s="118" t="str">
        <x:f>IF(K36="","",IF(COUNTIF($K$5:K35,K36)=0,F36,XLOOKUP(K36,$K$5:K35,$L$5:L35,"",0,-1)&amp;" OR "&amp;F36))</x:f>
      </x:c>
      <x:c r="M36" s="24" t="str">
        <x:f>IF(AND($A36="Yes",$B36&lt;&gt;""),COUNTIFS($B$5:$B36,$B36,$A$5:$A36,"Yes"),"")</x:f>
      </x:c>
      <x:c r="N36" s="24" t="str">
        <x:f>IF(OR($A36&lt;&gt;"Yes",$B36="",$D36=""),"",$B36&amp;"|"&amp;$D36)</x:f>
      </x:c>
      <x:c r="O36" s="24" t="str">
        <x:f>IF($M36="","",$B36&amp;"|"&amp;TEXT($M36,"000"))</x:f>
      </x:c>
      <x:c r="P36" s="24" t="str">
        <x:f>IF(Generator!$E$6="","",IFERROR(INDEX($D$5:$D$64,MATCH(Generator!$E$6&amp;"|032",$O$5:$O$64,0)),""))</x:f>
        <x:v>Current Draft Scope</x:v>
      </x:c>
    </x:row>
    <x:row r="37">
      <x:c r="A37" s="79" t="str">
        <x:v>No</x:v>
      </x:c>
      <x:c r="B37" s="79" t="str"/>
      <x:c r="C37" s="79" t="str">
        <x:v>LOC_033</x:v>
      </x:c>
      <x:c r="D37" s="79" t="str">
        <x:v>Location 033</x:v>
      </x:c>
      <x:c r="E37" s="79" t="n">
        <x:v>330</x:v>
      </x:c>
      <x:c r="F37" s="80" t="str">
        <x:f>IF(A37&lt;&gt;"Yes","",IF(H37=0,"","("&amp;XLOOKUP(C37,ScopeRulesTbl[Rule Key (helper)],ScopeRulesTbl[Scope Accumulator (helper)],"",0,-1)&amp;")"))</x:f>
      </x:c>
      <x:c r="G37" s="80" t="str">
        <x:f>IF(OR(A37&lt;&gt;"Yes",F37=""),"","{""label"":"""&amp;D37&amp;""",""value"":"""&amp;SUBSTITUTE(F37,CHAR(34),"\"&amp;CHAR(34))&amp;"""}")</x:f>
      </x:c>
      <x:c r="H37" s="80" t="n">
        <x:f>IF($C37="","",COUNTIFS(ScopeRulesTbl[Use?],"Yes",ScopeRulesTbl[Location ID],$C37))</x:f>
        <x:v>0</x:v>
      </x:c>
      <x:c r="I37" s="80" t="str">
        <x:f>IF($A37&lt;&gt;"Yes","Disabled",IF($B37="","Missing NOC ID",IF(COUNTIF(NOCsTbl[NOC ID],$B37)=0,"NOC not found",IF($C37="","Missing Location ID",IF(COUNTIF(LocationsTbl[Location ID],$C37)&gt;1,"Duplicate Location ID",IF($D37="","Missing display name",IF($H37=0,"No enabled rules",IF($F37="","No usable scope","OK"))))))))</x:f>
        <x:v>Disabled</x:v>
      </x:c>
      <x:c r="J37" s="79" t="str"/>
      <x:c r="K37" s="118" t="str">
        <x:f>IF(AND(A37="Yes",I37="OK",F37&lt;&gt;""),B37,"")</x:f>
      </x:c>
      <x:c r="L37" s="118" t="str">
        <x:f>IF(K37="","",IF(COUNTIF($K$5:K36,K37)=0,F37,XLOOKUP(K37,$K$5:K36,$L$5:L36,"",0,-1)&amp;" OR "&amp;F37))</x:f>
      </x:c>
      <x:c r="M37" s="24" t="str">
        <x:f>IF(AND($A37="Yes",$B37&lt;&gt;""),COUNTIFS($B$5:$B37,$B37,$A$5:$A37,"Yes"),"")</x:f>
      </x:c>
      <x:c r="N37" s="24" t="str">
        <x:f>IF(OR($A37&lt;&gt;"Yes",$B37="",$D37=""),"",$B37&amp;"|"&amp;$D37)</x:f>
      </x:c>
      <x:c r="O37" s="24" t="str">
        <x:f>IF($M37="","",$B37&amp;"|"&amp;TEXT($M37,"000"))</x:f>
      </x:c>
      <x:c r="P37" s="24" t="str">
        <x:f>IF(Generator!$E$6="","",IFERROR(INDEX($D$5:$D$64,MATCH(Generator!$E$6&amp;"|033",$O$5:$O$64,0)),""))</x:f>
        <x:v>Current Draft Scope</x:v>
      </x:c>
    </x:row>
    <x:row r="38">
      <x:c r="A38" s="79" t="str">
        <x:v>No</x:v>
      </x:c>
      <x:c r="B38" s="79" t="str"/>
      <x:c r="C38" s="79" t="str">
        <x:v>LOC_034</x:v>
      </x:c>
      <x:c r="D38" s="79" t="str">
        <x:v>Location 034</x:v>
      </x:c>
      <x:c r="E38" s="79" t="n">
        <x:v>340</x:v>
      </x:c>
      <x:c r="F38" s="80" t="str">
        <x:f>IF(A38&lt;&gt;"Yes","",IF(H38=0,"","("&amp;XLOOKUP(C38,ScopeRulesTbl[Rule Key (helper)],ScopeRulesTbl[Scope Accumulator (helper)],"",0,-1)&amp;")"))</x:f>
      </x:c>
      <x:c r="G38" s="80" t="str">
        <x:f>IF(OR(A38&lt;&gt;"Yes",F38=""),"","{""label"":"""&amp;D38&amp;""",""value"":"""&amp;SUBSTITUTE(F38,CHAR(34),"\"&amp;CHAR(34))&amp;"""}")</x:f>
      </x:c>
      <x:c r="H38" s="80" t="n">
        <x:f>IF($C38="","",COUNTIFS(ScopeRulesTbl[Use?],"Yes",ScopeRulesTbl[Location ID],$C38))</x:f>
        <x:v>0</x:v>
      </x:c>
      <x:c r="I38" s="80" t="str">
        <x:f>IF($A38&lt;&gt;"Yes","Disabled",IF($B38="","Missing NOC ID",IF(COUNTIF(NOCsTbl[NOC ID],$B38)=0,"NOC not found",IF($C38="","Missing Location ID",IF(COUNTIF(LocationsTbl[Location ID],$C38)&gt;1,"Duplicate Location ID",IF($D38="","Missing display name",IF($H38=0,"No enabled rules",IF($F38="","No usable scope","OK"))))))))</x:f>
        <x:v>Disabled</x:v>
      </x:c>
      <x:c r="J38" s="79" t="str"/>
      <x:c r="K38" s="118" t="str">
        <x:f>IF(AND(A38="Yes",I38="OK",F38&lt;&gt;""),B38,"")</x:f>
      </x:c>
      <x:c r="L38" s="118" t="str">
        <x:f>IF(K38="","",IF(COUNTIF($K$5:K37,K38)=0,F38,XLOOKUP(K38,$K$5:K37,$L$5:L37,"",0,-1)&amp;" OR "&amp;F38))</x:f>
      </x:c>
      <x:c r="M38" s="24" t="str">
        <x:f>IF(AND($A38="Yes",$B38&lt;&gt;""),COUNTIFS($B$5:$B38,$B38,$A$5:$A38,"Yes"),"")</x:f>
      </x:c>
      <x:c r="N38" s="24" t="str">
        <x:f>IF(OR($A38&lt;&gt;"Yes",$B38="",$D38=""),"",$B38&amp;"|"&amp;$D38)</x:f>
      </x:c>
      <x:c r="O38" s="24" t="str">
        <x:f>IF($M38="","",$B38&amp;"|"&amp;TEXT($M38,"000"))</x:f>
      </x:c>
      <x:c r="P38" s="24" t="str">
        <x:f>IF(Generator!$E$6="","",IFERROR(INDEX($D$5:$D$64,MATCH(Generator!$E$6&amp;"|034",$O$5:$O$64,0)),""))</x:f>
        <x:v>Current Draft Scope</x:v>
      </x:c>
    </x:row>
    <x:row r="39">
      <x:c r="A39" s="79" t="str">
        <x:v>No</x:v>
      </x:c>
      <x:c r="B39" s="79" t="str"/>
      <x:c r="C39" s="79" t="str">
        <x:v>LOC_035</x:v>
      </x:c>
      <x:c r="D39" s="79" t="str">
        <x:v>Location 035</x:v>
      </x:c>
      <x:c r="E39" s="79" t="n">
        <x:v>350</x:v>
      </x:c>
      <x:c r="F39" s="80" t="str">
        <x:f>IF(A39&lt;&gt;"Yes","",IF(H39=0,"","("&amp;XLOOKUP(C39,ScopeRulesTbl[Rule Key (helper)],ScopeRulesTbl[Scope Accumulator (helper)],"",0,-1)&amp;")"))</x:f>
      </x:c>
      <x:c r="G39" s="80" t="str">
        <x:f>IF(OR(A39&lt;&gt;"Yes",F39=""),"","{""label"":"""&amp;D39&amp;""",""value"":"""&amp;SUBSTITUTE(F39,CHAR(34),"\"&amp;CHAR(34))&amp;"""}")</x:f>
      </x:c>
      <x:c r="H39" s="80" t="n">
        <x:f>IF($C39="","",COUNTIFS(ScopeRulesTbl[Use?],"Yes",ScopeRulesTbl[Location ID],$C39))</x:f>
        <x:v>0</x:v>
      </x:c>
      <x:c r="I39" s="80" t="str">
        <x:f>IF($A39&lt;&gt;"Yes","Disabled",IF($B39="","Missing NOC ID",IF(COUNTIF(NOCsTbl[NOC ID],$B39)=0,"NOC not found",IF($C39="","Missing Location ID",IF(COUNTIF(LocationsTbl[Location ID],$C39)&gt;1,"Duplicate Location ID",IF($D39="","Missing display name",IF($H39=0,"No enabled rules",IF($F39="","No usable scope","OK"))))))))</x:f>
        <x:v>Disabled</x:v>
      </x:c>
      <x:c r="J39" s="79" t="str"/>
      <x:c r="K39" s="118" t="str">
        <x:f>IF(AND(A39="Yes",I39="OK",F39&lt;&gt;""),B39,"")</x:f>
      </x:c>
      <x:c r="L39" s="118" t="str">
        <x:f>IF(K39="","",IF(COUNTIF($K$5:K38,K39)=0,F39,XLOOKUP(K39,$K$5:K38,$L$5:L38,"",0,-1)&amp;" OR "&amp;F39))</x:f>
      </x:c>
      <x:c r="M39" s="24" t="str">
        <x:f>IF(AND($A39="Yes",$B39&lt;&gt;""),COUNTIFS($B$5:$B39,$B39,$A$5:$A39,"Yes"),"")</x:f>
      </x:c>
      <x:c r="N39" s="24" t="str">
        <x:f>IF(OR($A39&lt;&gt;"Yes",$B39="",$D39=""),"",$B39&amp;"|"&amp;$D39)</x:f>
      </x:c>
      <x:c r="O39" s="24" t="str">
        <x:f>IF($M39="","",$B39&amp;"|"&amp;TEXT($M39,"000"))</x:f>
      </x:c>
      <x:c r="P39" s="24" t="str">
        <x:f>IF(Generator!$E$6="","",IFERROR(INDEX($D$5:$D$64,MATCH(Generator!$E$6&amp;"|035",$O$5:$O$64,0)),""))</x:f>
        <x:v>Current Draft Scope</x:v>
      </x:c>
    </x:row>
    <x:row r="40">
      <x:c r="A40" s="79" t="str">
        <x:v>No</x:v>
      </x:c>
      <x:c r="B40" s="79" t="str"/>
      <x:c r="C40" s="79" t="str">
        <x:v>LOC_036</x:v>
      </x:c>
      <x:c r="D40" s="79" t="str">
        <x:v>Location 036</x:v>
      </x:c>
      <x:c r="E40" s="79" t="n">
        <x:v>360</x:v>
      </x:c>
      <x:c r="F40" s="80" t="str">
        <x:f>IF(A40&lt;&gt;"Yes","",IF(H40=0,"","("&amp;XLOOKUP(C40,ScopeRulesTbl[Rule Key (helper)],ScopeRulesTbl[Scope Accumulator (helper)],"",0,-1)&amp;")"))</x:f>
      </x:c>
      <x:c r="G40" s="80" t="str">
        <x:f>IF(OR(A40&lt;&gt;"Yes",F40=""),"","{""label"":"""&amp;D40&amp;""",""value"":"""&amp;SUBSTITUTE(F40,CHAR(34),"\"&amp;CHAR(34))&amp;"""}")</x:f>
      </x:c>
      <x:c r="H40" s="80" t="n">
        <x:f>IF($C40="","",COUNTIFS(ScopeRulesTbl[Use?],"Yes",ScopeRulesTbl[Location ID],$C40))</x:f>
        <x:v>0</x:v>
      </x:c>
      <x:c r="I40" s="80" t="str">
        <x:f>IF($A40&lt;&gt;"Yes","Disabled",IF($B40="","Missing NOC ID",IF(COUNTIF(NOCsTbl[NOC ID],$B40)=0,"NOC not found",IF($C40="","Missing Location ID",IF(COUNTIF(LocationsTbl[Location ID],$C40)&gt;1,"Duplicate Location ID",IF($D40="","Missing display name",IF($H40=0,"No enabled rules",IF($F40="","No usable scope","OK"))))))))</x:f>
        <x:v>Disabled</x:v>
      </x:c>
      <x:c r="J40" s="79" t="str"/>
      <x:c r="K40" s="118" t="str">
        <x:f>IF(AND(A40="Yes",I40="OK",F40&lt;&gt;""),B40,"")</x:f>
      </x:c>
      <x:c r="L40" s="118" t="str">
        <x:f>IF(K40="","",IF(COUNTIF($K$5:K39,K40)=0,F40,XLOOKUP(K40,$K$5:K39,$L$5:L39,"",0,-1)&amp;" OR "&amp;F40))</x:f>
      </x:c>
      <x:c r="M40" s="24" t="str">
        <x:f>IF(AND($A40="Yes",$B40&lt;&gt;""),COUNTIFS($B$5:$B40,$B40,$A$5:$A40,"Yes"),"")</x:f>
      </x:c>
      <x:c r="N40" s="24" t="str">
        <x:f>IF(OR($A40&lt;&gt;"Yes",$B40="",$D40=""),"",$B40&amp;"|"&amp;$D40)</x:f>
      </x:c>
      <x:c r="O40" s="24" t="str">
        <x:f>IF($M40="","",$B40&amp;"|"&amp;TEXT($M40,"000"))</x:f>
      </x:c>
      <x:c r="P40" s="24" t="str">
        <x:f>IF(Generator!$E$6="","",IFERROR(INDEX($D$5:$D$64,MATCH(Generator!$E$6&amp;"|036",$O$5:$O$64,0)),""))</x:f>
        <x:v>Current Draft Scope</x:v>
      </x:c>
    </x:row>
    <x:row r="41">
      <x:c r="A41" s="79" t="str">
        <x:v>No</x:v>
      </x:c>
      <x:c r="B41" s="79" t="str"/>
      <x:c r="C41" s="79" t="str">
        <x:v>LOC_037</x:v>
      </x:c>
      <x:c r="D41" s="79" t="str">
        <x:v>Location 037</x:v>
      </x:c>
      <x:c r="E41" s="79" t="n">
        <x:v>370</x:v>
      </x:c>
      <x:c r="F41" s="80" t="str">
        <x:f>IF(A41&lt;&gt;"Yes","",IF(H41=0,"","("&amp;XLOOKUP(C41,ScopeRulesTbl[Rule Key (helper)],ScopeRulesTbl[Scope Accumulator (helper)],"",0,-1)&amp;")"))</x:f>
      </x:c>
      <x:c r="G41" s="80" t="str">
        <x:f>IF(OR(A41&lt;&gt;"Yes",F41=""),"","{""label"":"""&amp;D41&amp;""",""value"":"""&amp;SUBSTITUTE(F41,CHAR(34),"\"&amp;CHAR(34))&amp;"""}")</x:f>
      </x:c>
      <x:c r="H41" s="80" t="n">
        <x:f>IF($C41="","",COUNTIFS(ScopeRulesTbl[Use?],"Yes",ScopeRulesTbl[Location ID],$C41))</x:f>
        <x:v>0</x:v>
      </x:c>
      <x:c r="I41" s="80" t="str">
        <x:f>IF($A41&lt;&gt;"Yes","Disabled",IF($B41="","Missing NOC ID",IF(COUNTIF(NOCsTbl[NOC ID],$B41)=0,"NOC not found",IF($C41="","Missing Location ID",IF(COUNTIF(LocationsTbl[Location ID],$C41)&gt;1,"Duplicate Location ID",IF($D41="","Missing display name",IF($H41=0,"No enabled rules",IF($F41="","No usable scope","OK"))))))))</x:f>
        <x:v>Disabled</x:v>
      </x:c>
      <x:c r="J41" s="79" t="str"/>
      <x:c r="K41" s="118" t="str">
        <x:f>IF(AND(A41="Yes",I41="OK",F41&lt;&gt;""),B41,"")</x:f>
      </x:c>
      <x:c r="L41" s="118" t="str">
        <x:f>IF(K41="","",IF(COUNTIF($K$5:K40,K41)=0,F41,XLOOKUP(K41,$K$5:K40,$L$5:L40,"",0,-1)&amp;" OR "&amp;F41))</x:f>
      </x:c>
      <x:c r="M41" s="24" t="str">
        <x:f>IF(AND($A41="Yes",$B41&lt;&gt;""),COUNTIFS($B$5:$B41,$B41,$A$5:$A41,"Yes"),"")</x:f>
      </x:c>
      <x:c r="N41" s="24" t="str">
        <x:f>IF(OR($A41&lt;&gt;"Yes",$B41="",$D41=""),"",$B41&amp;"|"&amp;$D41)</x:f>
      </x:c>
      <x:c r="O41" s="24" t="str">
        <x:f>IF($M41="","",$B41&amp;"|"&amp;TEXT($M41,"000"))</x:f>
      </x:c>
      <x:c r="P41" s="24" t="str">
        <x:f>IF(Generator!$E$6="","",IFERROR(INDEX($D$5:$D$64,MATCH(Generator!$E$6&amp;"|037",$O$5:$O$64,0)),""))</x:f>
        <x:v>Current Draft Scope</x:v>
      </x:c>
    </x:row>
    <x:row r="42">
      <x:c r="A42" s="79" t="str">
        <x:v>No</x:v>
      </x:c>
      <x:c r="B42" s="79" t="str"/>
      <x:c r="C42" s="79" t="str">
        <x:v>LOC_038</x:v>
      </x:c>
      <x:c r="D42" s="79" t="str">
        <x:v>Location 038</x:v>
      </x:c>
      <x:c r="E42" s="79" t="n">
        <x:v>380</x:v>
      </x:c>
      <x:c r="F42" s="80" t="str">
        <x:f>IF(A42&lt;&gt;"Yes","",IF(H42=0,"","("&amp;XLOOKUP(C42,ScopeRulesTbl[Rule Key (helper)],ScopeRulesTbl[Scope Accumulator (helper)],"",0,-1)&amp;")"))</x:f>
      </x:c>
      <x:c r="G42" s="80" t="str">
        <x:f>IF(OR(A42&lt;&gt;"Yes",F42=""),"","{""label"":"""&amp;D42&amp;""",""value"":"""&amp;SUBSTITUTE(F42,CHAR(34),"\"&amp;CHAR(34))&amp;"""}")</x:f>
      </x:c>
      <x:c r="H42" s="80" t="n">
        <x:f>IF($C42="","",COUNTIFS(ScopeRulesTbl[Use?],"Yes",ScopeRulesTbl[Location ID],$C42))</x:f>
        <x:v>0</x:v>
      </x:c>
      <x:c r="I42" s="80" t="str">
        <x:f>IF($A42&lt;&gt;"Yes","Disabled",IF($B42="","Missing NOC ID",IF(COUNTIF(NOCsTbl[NOC ID],$B42)=0,"NOC not found",IF($C42="","Missing Location ID",IF(COUNTIF(LocationsTbl[Location ID],$C42)&gt;1,"Duplicate Location ID",IF($D42="","Missing display name",IF($H42=0,"No enabled rules",IF($F42="","No usable scope","OK"))))))))</x:f>
        <x:v>Disabled</x:v>
      </x:c>
      <x:c r="J42" s="79" t="str"/>
      <x:c r="K42" s="118" t="str">
        <x:f>IF(AND(A42="Yes",I42="OK",F42&lt;&gt;""),B42,"")</x:f>
      </x:c>
      <x:c r="L42" s="118" t="str">
        <x:f>IF(K42="","",IF(COUNTIF($K$5:K41,K42)=0,F42,XLOOKUP(K42,$K$5:K41,$L$5:L41,"",0,-1)&amp;" OR "&amp;F42))</x:f>
      </x:c>
      <x:c r="M42" s="24" t="str">
        <x:f>IF(AND($A42="Yes",$B42&lt;&gt;""),COUNTIFS($B$5:$B42,$B42,$A$5:$A42,"Yes"),"")</x:f>
      </x:c>
      <x:c r="N42" s="24" t="str">
        <x:f>IF(OR($A42&lt;&gt;"Yes",$B42="",$D42=""),"",$B42&amp;"|"&amp;$D42)</x:f>
      </x:c>
      <x:c r="O42" s="24" t="str">
        <x:f>IF($M42="","",$B42&amp;"|"&amp;TEXT($M42,"000"))</x:f>
      </x:c>
      <x:c r="P42" s="24" t="str">
        <x:f>IF(Generator!$E$6="","",IFERROR(INDEX($D$5:$D$64,MATCH(Generator!$E$6&amp;"|038",$O$5:$O$64,0)),""))</x:f>
        <x:v>Current Draft Scope</x:v>
      </x:c>
    </x:row>
    <x:row r="43">
      <x:c r="A43" s="79" t="str">
        <x:v>No</x:v>
      </x:c>
      <x:c r="B43" s="79" t="str"/>
      <x:c r="C43" s="79" t="str">
        <x:v>LOC_039</x:v>
      </x:c>
      <x:c r="D43" s="79" t="str">
        <x:v>Location 039</x:v>
      </x:c>
      <x:c r="E43" s="79" t="n">
        <x:v>390</x:v>
      </x:c>
      <x:c r="F43" s="80" t="str">
        <x:f>IF(A43&lt;&gt;"Yes","",IF(H43=0,"","("&amp;XLOOKUP(C43,ScopeRulesTbl[Rule Key (helper)],ScopeRulesTbl[Scope Accumulator (helper)],"",0,-1)&amp;")"))</x:f>
      </x:c>
      <x:c r="G43" s="80" t="str">
        <x:f>IF(OR(A43&lt;&gt;"Yes",F43=""),"","{""label"":"""&amp;D43&amp;""",""value"":"""&amp;SUBSTITUTE(F43,CHAR(34),"\"&amp;CHAR(34))&amp;"""}")</x:f>
      </x:c>
      <x:c r="H43" s="80" t="n">
        <x:f>IF($C43="","",COUNTIFS(ScopeRulesTbl[Use?],"Yes",ScopeRulesTbl[Location ID],$C43))</x:f>
        <x:v>0</x:v>
      </x:c>
      <x:c r="I43" s="80" t="str">
        <x:f>IF($A43&lt;&gt;"Yes","Disabled",IF($B43="","Missing NOC ID",IF(COUNTIF(NOCsTbl[NOC ID],$B43)=0,"NOC not found",IF($C43="","Missing Location ID",IF(COUNTIF(LocationsTbl[Location ID],$C43)&gt;1,"Duplicate Location ID",IF($D43="","Missing display name",IF($H43=0,"No enabled rules",IF($F43="","No usable scope","OK"))))))))</x:f>
        <x:v>Disabled</x:v>
      </x:c>
      <x:c r="J43" s="79" t="str"/>
      <x:c r="K43" s="118" t="str">
        <x:f>IF(AND(A43="Yes",I43="OK",F43&lt;&gt;""),B43,"")</x:f>
      </x:c>
      <x:c r="L43" s="118" t="str">
        <x:f>IF(K43="","",IF(COUNTIF($K$5:K42,K43)=0,F43,XLOOKUP(K43,$K$5:K42,$L$5:L42,"",0,-1)&amp;" OR "&amp;F43))</x:f>
      </x:c>
      <x:c r="M43" s="24" t="str">
        <x:f>IF(AND($A43="Yes",$B43&lt;&gt;""),COUNTIFS($B$5:$B43,$B43,$A$5:$A43,"Yes"),"")</x:f>
      </x:c>
      <x:c r="N43" s="24" t="str">
        <x:f>IF(OR($A43&lt;&gt;"Yes",$B43="",$D43=""),"",$B43&amp;"|"&amp;$D43)</x:f>
      </x:c>
      <x:c r="O43" s="24" t="str">
        <x:f>IF($M43="","",$B43&amp;"|"&amp;TEXT($M43,"000"))</x:f>
      </x:c>
      <x:c r="P43" s="24" t="str">
        <x:f>IF(Generator!$E$6="","",IFERROR(INDEX($D$5:$D$64,MATCH(Generator!$E$6&amp;"|039",$O$5:$O$64,0)),""))</x:f>
        <x:v>Current Draft Scope</x:v>
      </x:c>
    </x:row>
    <x:row r="44">
      <x:c r="A44" s="79" t="str">
        <x:v>No</x:v>
      </x:c>
      <x:c r="B44" s="79" t="str"/>
      <x:c r="C44" s="79" t="str">
        <x:v>LOC_040</x:v>
      </x:c>
      <x:c r="D44" s="79" t="str">
        <x:v>Location 040</x:v>
      </x:c>
      <x:c r="E44" s="79" t="n">
        <x:v>400</x:v>
      </x:c>
      <x:c r="F44" s="80" t="str">
        <x:f>IF(A44&lt;&gt;"Yes","",IF(H44=0,"","("&amp;XLOOKUP(C44,ScopeRulesTbl[Rule Key (helper)],ScopeRulesTbl[Scope Accumulator (helper)],"",0,-1)&amp;")"))</x:f>
      </x:c>
      <x:c r="G44" s="80" t="str">
        <x:f>IF(OR(A44&lt;&gt;"Yes",F44=""),"","{""label"":"""&amp;D44&amp;""",""value"":"""&amp;SUBSTITUTE(F44,CHAR(34),"\"&amp;CHAR(34))&amp;"""}")</x:f>
      </x:c>
      <x:c r="H44" s="80" t="n">
        <x:f>IF($C44="","",COUNTIFS(ScopeRulesTbl[Use?],"Yes",ScopeRulesTbl[Location ID],$C44))</x:f>
        <x:v>0</x:v>
      </x:c>
      <x:c r="I44" s="80" t="str">
        <x:f>IF($A44&lt;&gt;"Yes","Disabled",IF($B44="","Missing NOC ID",IF(COUNTIF(NOCsTbl[NOC ID],$B44)=0,"NOC not found",IF($C44="","Missing Location ID",IF(COUNTIF(LocationsTbl[Location ID],$C44)&gt;1,"Duplicate Location ID",IF($D44="","Missing display name",IF($H44=0,"No enabled rules",IF($F44="","No usable scope","OK"))))))))</x:f>
        <x:v>Disabled</x:v>
      </x:c>
      <x:c r="J44" s="79" t="str"/>
      <x:c r="K44" s="118" t="str">
        <x:f>IF(AND(A44="Yes",I44="OK",F44&lt;&gt;""),B44,"")</x:f>
      </x:c>
      <x:c r="L44" s="118" t="str">
        <x:f>IF(K44="","",IF(COUNTIF($K$5:K43,K44)=0,F44,XLOOKUP(K44,$K$5:K43,$L$5:L43,"",0,-1)&amp;" OR "&amp;F44))</x:f>
      </x:c>
      <x:c r="M44" s="24" t="str">
        <x:f>IF(AND($A44="Yes",$B44&lt;&gt;""),COUNTIFS($B$5:$B44,$B44,$A$5:$A44,"Yes"),"")</x:f>
      </x:c>
      <x:c r="N44" s="24" t="str">
        <x:f>IF(OR($A44&lt;&gt;"Yes",$B44="",$D44=""),"",$B44&amp;"|"&amp;$D44)</x:f>
      </x:c>
      <x:c r="O44" s="24" t="str">
        <x:f>IF($M44="","",$B44&amp;"|"&amp;TEXT($M44,"000"))</x:f>
      </x:c>
      <x:c r="P44" s="24" t="str">
        <x:f>IF(Generator!$E$6="","",IFERROR(INDEX($D$5:$D$64,MATCH(Generator!$E$6&amp;"|040",$O$5:$O$64,0)),""))</x:f>
        <x:v>Current Draft Scope</x:v>
      </x:c>
    </x:row>
    <x:row r="45">
      <x:c r="A45" s="79" t="str">
        <x:v>No</x:v>
      </x:c>
      <x:c r="B45" s="79" t="str"/>
      <x:c r="C45" s="79" t="str">
        <x:v>LOC_041</x:v>
      </x:c>
      <x:c r="D45" s="79" t="str">
        <x:v>Location 041</x:v>
      </x:c>
      <x:c r="E45" s="79" t="n">
        <x:v>410</x:v>
      </x:c>
      <x:c r="F45" s="80" t="str">
        <x:f>IF(A45&lt;&gt;"Yes","",IF(H45=0,"","("&amp;XLOOKUP(C45,ScopeRulesTbl[Rule Key (helper)],ScopeRulesTbl[Scope Accumulator (helper)],"",0,-1)&amp;")"))</x:f>
      </x:c>
      <x:c r="G45" s="80" t="str">
        <x:f>IF(OR(A45&lt;&gt;"Yes",F45=""),"","{""label"":"""&amp;D45&amp;""",""value"":"""&amp;SUBSTITUTE(F45,CHAR(34),"\"&amp;CHAR(34))&amp;"""}")</x:f>
      </x:c>
      <x:c r="H45" s="80" t="n">
        <x:f>IF($C45="","",COUNTIFS(ScopeRulesTbl[Use?],"Yes",ScopeRulesTbl[Location ID],$C45))</x:f>
        <x:v>0</x:v>
      </x:c>
      <x:c r="I45" s="80" t="str">
        <x:f>IF($A45&lt;&gt;"Yes","Disabled",IF($B45="","Missing NOC ID",IF(COUNTIF(NOCsTbl[NOC ID],$B45)=0,"NOC not found",IF($C45="","Missing Location ID",IF(COUNTIF(LocationsTbl[Location ID],$C45)&gt;1,"Duplicate Location ID",IF($D45="","Missing display name",IF($H45=0,"No enabled rules",IF($F45="","No usable scope","OK"))))))))</x:f>
        <x:v>Disabled</x:v>
      </x:c>
      <x:c r="J45" s="79" t="str"/>
      <x:c r="K45" s="118" t="str">
        <x:f>IF(AND(A45="Yes",I45="OK",F45&lt;&gt;""),B45,"")</x:f>
      </x:c>
      <x:c r="L45" s="118" t="str">
        <x:f>IF(K45="","",IF(COUNTIF($K$5:K44,K45)=0,F45,XLOOKUP(K45,$K$5:K44,$L$5:L44,"",0,-1)&amp;" OR "&amp;F45))</x:f>
      </x:c>
      <x:c r="M45" s="24" t="str">
        <x:f>IF(AND($A45="Yes",$B45&lt;&gt;""),COUNTIFS($B$5:$B45,$B45,$A$5:$A45,"Yes"),"")</x:f>
      </x:c>
      <x:c r="N45" s="24" t="str">
        <x:f>IF(OR($A45&lt;&gt;"Yes",$B45="",$D45=""),"",$B45&amp;"|"&amp;$D45)</x:f>
      </x:c>
      <x:c r="O45" s="24" t="str">
        <x:f>IF($M45="","",$B45&amp;"|"&amp;TEXT($M45,"000"))</x:f>
      </x:c>
      <x:c r="P45" s="24" t="str">
        <x:f>IF(Generator!$E$6="","",IFERROR(INDEX($D$5:$D$64,MATCH(Generator!$E$6&amp;"|041",$O$5:$O$64,0)),""))</x:f>
        <x:v>Current Draft Scope</x:v>
      </x:c>
    </x:row>
    <x:row r="46">
      <x:c r="A46" s="79" t="str">
        <x:v>No</x:v>
      </x:c>
      <x:c r="B46" s="79" t="str"/>
      <x:c r="C46" s="79" t="str">
        <x:v>LOC_042</x:v>
      </x:c>
      <x:c r="D46" s="79" t="str">
        <x:v>Location 042</x:v>
      </x:c>
      <x:c r="E46" s="79" t="n">
        <x:v>420</x:v>
      </x:c>
      <x:c r="F46" s="80" t="str">
        <x:f>IF(A46&lt;&gt;"Yes","",IF(H46=0,"","("&amp;XLOOKUP(C46,ScopeRulesTbl[Rule Key (helper)],ScopeRulesTbl[Scope Accumulator (helper)],"",0,-1)&amp;")"))</x:f>
      </x:c>
      <x:c r="G46" s="80" t="str">
        <x:f>IF(OR(A46&lt;&gt;"Yes",F46=""),"","{""label"":"""&amp;D46&amp;""",""value"":"""&amp;SUBSTITUTE(F46,CHAR(34),"\"&amp;CHAR(34))&amp;"""}")</x:f>
      </x:c>
      <x:c r="H46" s="80" t="n">
        <x:f>IF($C46="","",COUNTIFS(ScopeRulesTbl[Use?],"Yes",ScopeRulesTbl[Location ID],$C46))</x:f>
        <x:v>0</x:v>
      </x:c>
      <x:c r="I46" s="80" t="str">
        <x:f>IF($A46&lt;&gt;"Yes","Disabled",IF($B46="","Missing NOC ID",IF(COUNTIF(NOCsTbl[NOC ID],$B46)=0,"NOC not found",IF($C46="","Missing Location ID",IF(COUNTIF(LocationsTbl[Location ID],$C46)&gt;1,"Duplicate Location ID",IF($D46="","Missing display name",IF($H46=0,"No enabled rules",IF($F46="","No usable scope","OK"))))))))</x:f>
        <x:v>Disabled</x:v>
      </x:c>
      <x:c r="J46" s="79" t="str"/>
      <x:c r="K46" s="118" t="str">
        <x:f>IF(AND(A46="Yes",I46="OK",F46&lt;&gt;""),B46,"")</x:f>
      </x:c>
      <x:c r="L46" s="118" t="str">
        <x:f>IF(K46="","",IF(COUNTIF($K$5:K45,K46)=0,F46,XLOOKUP(K46,$K$5:K45,$L$5:L45,"",0,-1)&amp;" OR "&amp;F46))</x:f>
      </x:c>
      <x:c r="M46" s="24" t="str">
        <x:f>IF(AND($A46="Yes",$B46&lt;&gt;""),COUNTIFS($B$5:$B46,$B46,$A$5:$A46,"Yes"),"")</x:f>
      </x:c>
      <x:c r="N46" s="24" t="str">
        <x:f>IF(OR($A46&lt;&gt;"Yes",$B46="",$D46=""),"",$B46&amp;"|"&amp;$D46)</x:f>
      </x:c>
      <x:c r="O46" s="24" t="str">
        <x:f>IF($M46="","",$B46&amp;"|"&amp;TEXT($M46,"000"))</x:f>
      </x:c>
      <x:c r="P46" s="24" t="str">
        <x:f>IF(Generator!$E$6="","",IFERROR(INDEX($D$5:$D$64,MATCH(Generator!$E$6&amp;"|042",$O$5:$O$64,0)),""))</x:f>
        <x:v>Current Draft Scope</x:v>
      </x:c>
    </x:row>
    <x:row r="47">
      <x:c r="A47" s="79" t="str">
        <x:v>No</x:v>
      </x:c>
      <x:c r="B47" s="79" t="str"/>
      <x:c r="C47" s="79" t="str">
        <x:v>LOC_043</x:v>
      </x:c>
      <x:c r="D47" s="79" t="str">
        <x:v>Location 043</x:v>
      </x:c>
      <x:c r="E47" s="79" t="n">
        <x:v>430</x:v>
      </x:c>
      <x:c r="F47" s="80" t="str">
        <x:f>IF(A47&lt;&gt;"Yes","",IF(H47=0,"","("&amp;XLOOKUP(C47,ScopeRulesTbl[Rule Key (helper)],ScopeRulesTbl[Scope Accumulator (helper)],"",0,-1)&amp;")"))</x:f>
      </x:c>
      <x:c r="G47" s="80" t="str">
        <x:f>IF(OR(A47&lt;&gt;"Yes",F47=""),"","{""label"":"""&amp;D47&amp;""",""value"":"""&amp;SUBSTITUTE(F47,CHAR(34),"\"&amp;CHAR(34))&amp;"""}")</x:f>
      </x:c>
      <x:c r="H47" s="80" t="n">
        <x:f>IF($C47="","",COUNTIFS(ScopeRulesTbl[Use?],"Yes",ScopeRulesTbl[Location ID],$C47))</x:f>
        <x:v>0</x:v>
      </x:c>
      <x:c r="I47" s="80" t="str">
        <x:f>IF($A47&lt;&gt;"Yes","Disabled",IF($B47="","Missing NOC ID",IF(COUNTIF(NOCsTbl[NOC ID],$B47)=0,"NOC not found",IF($C47="","Missing Location ID",IF(COUNTIF(LocationsTbl[Location ID],$C47)&gt;1,"Duplicate Location ID",IF($D47="","Missing display name",IF($H47=0,"No enabled rules",IF($F47="","No usable scope","OK"))))))))</x:f>
        <x:v>Disabled</x:v>
      </x:c>
      <x:c r="J47" s="79" t="str"/>
      <x:c r="K47" s="118" t="str">
        <x:f>IF(AND(A47="Yes",I47="OK",F47&lt;&gt;""),B47,"")</x:f>
      </x:c>
      <x:c r="L47" s="118" t="str">
        <x:f>IF(K47="","",IF(COUNTIF($K$5:K46,K47)=0,F47,XLOOKUP(K47,$K$5:K46,$L$5:L46,"",0,-1)&amp;" OR "&amp;F47))</x:f>
      </x:c>
      <x:c r="M47" s="24" t="str">
        <x:f>IF(AND($A47="Yes",$B47&lt;&gt;""),COUNTIFS($B$5:$B47,$B47,$A$5:$A47,"Yes"),"")</x:f>
      </x:c>
      <x:c r="N47" s="24" t="str">
        <x:f>IF(OR($A47&lt;&gt;"Yes",$B47="",$D47=""),"",$B47&amp;"|"&amp;$D47)</x:f>
      </x:c>
      <x:c r="O47" s="24" t="str">
        <x:f>IF($M47="","",$B47&amp;"|"&amp;TEXT($M47,"000"))</x:f>
      </x:c>
      <x:c r="P47" s="24" t="str">
        <x:f>IF(Generator!$E$6="","",IFERROR(INDEX($D$5:$D$64,MATCH(Generator!$E$6&amp;"|043",$O$5:$O$64,0)),""))</x:f>
        <x:v>Current Draft Scope</x:v>
      </x:c>
    </x:row>
    <x:row r="48">
      <x:c r="A48" s="79" t="str">
        <x:v>No</x:v>
      </x:c>
      <x:c r="B48" s="79" t="str"/>
      <x:c r="C48" s="79" t="str">
        <x:v>LOC_044</x:v>
      </x:c>
      <x:c r="D48" s="79" t="str">
        <x:v>Location 044</x:v>
      </x:c>
      <x:c r="E48" s="79" t="n">
        <x:v>440</x:v>
      </x:c>
      <x:c r="F48" s="80" t="str">
        <x:f>IF(A48&lt;&gt;"Yes","",IF(H48=0,"","("&amp;XLOOKUP(C48,ScopeRulesTbl[Rule Key (helper)],ScopeRulesTbl[Scope Accumulator (helper)],"",0,-1)&amp;")"))</x:f>
      </x:c>
      <x:c r="G48" s="80" t="str">
        <x:f>IF(OR(A48&lt;&gt;"Yes",F48=""),"","{""label"":"""&amp;D48&amp;""",""value"":"""&amp;SUBSTITUTE(F48,CHAR(34),"\"&amp;CHAR(34))&amp;"""}")</x:f>
      </x:c>
      <x:c r="H48" s="80" t="n">
        <x:f>IF($C48="","",COUNTIFS(ScopeRulesTbl[Use?],"Yes",ScopeRulesTbl[Location ID],$C48))</x:f>
        <x:v>0</x:v>
      </x:c>
      <x:c r="I48" s="80" t="str">
        <x:f>IF($A48&lt;&gt;"Yes","Disabled",IF($B48="","Missing NOC ID",IF(COUNTIF(NOCsTbl[NOC ID],$B48)=0,"NOC not found",IF($C48="","Missing Location ID",IF(COUNTIF(LocationsTbl[Location ID],$C48)&gt;1,"Duplicate Location ID",IF($D48="","Missing display name",IF($H48=0,"No enabled rules",IF($F48="","No usable scope","OK"))))))))</x:f>
        <x:v>Disabled</x:v>
      </x:c>
      <x:c r="J48" s="79" t="str"/>
      <x:c r="K48" s="118" t="str">
        <x:f>IF(AND(A48="Yes",I48="OK",F48&lt;&gt;""),B48,"")</x:f>
      </x:c>
      <x:c r="L48" s="118" t="str">
        <x:f>IF(K48="","",IF(COUNTIF($K$5:K47,K48)=0,F48,XLOOKUP(K48,$K$5:K47,$L$5:L47,"",0,-1)&amp;" OR "&amp;F48))</x:f>
      </x:c>
      <x:c r="M48" s="24" t="str">
        <x:f>IF(AND($A48="Yes",$B48&lt;&gt;""),COUNTIFS($B$5:$B48,$B48,$A$5:$A48,"Yes"),"")</x:f>
      </x:c>
      <x:c r="N48" s="24" t="str">
        <x:f>IF(OR($A48&lt;&gt;"Yes",$B48="",$D48=""),"",$B48&amp;"|"&amp;$D48)</x:f>
      </x:c>
      <x:c r="O48" s="24" t="str">
        <x:f>IF($M48="","",$B48&amp;"|"&amp;TEXT($M48,"000"))</x:f>
      </x:c>
      <x:c r="P48" s="24" t="str">
        <x:f>IF(Generator!$E$6="","",IFERROR(INDEX($D$5:$D$64,MATCH(Generator!$E$6&amp;"|044",$O$5:$O$64,0)),""))</x:f>
        <x:v>Current Draft Scope</x:v>
      </x:c>
    </x:row>
    <x:row r="49">
      <x:c r="A49" s="79" t="str">
        <x:v>No</x:v>
      </x:c>
      <x:c r="B49" s="79" t="str"/>
      <x:c r="C49" s="79" t="str">
        <x:v>LOC_045</x:v>
      </x:c>
      <x:c r="D49" s="79" t="str">
        <x:v>Location 045</x:v>
      </x:c>
      <x:c r="E49" s="79" t="n">
        <x:v>450</x:v>
      </x:c>
      <x:c r="F49" s="80" t="str">
        <x:f>IF(A49&lt;&gt;"Yes","",IF(H49=0,"","("&amp;XLOOKUP(C49,ScopeRulesTbl[Rule Key (helper)],ScopeRulesTbl[Scope Accumulator (helper)],"",0,-1)&amp;")"))</x:f>
      </x:c>
      <x:c r="G49" s="80" t="str">
        <x:f>IF(OR(A49&lt;&gt;"Yes",F49=""),"","{""label"":"""&amp;D49&amp;""",""value"":"""&amp;SUBSTITUTE(F49,CHAR(34),"\"&amp;CHAR(34))&amp;"""}")</x:f>
      </x:c>
      <x:c r="H49" s="80" t="n">
        <x:f>IF($C49="","",COUNTIFS(ScopeRulesTbl[Use?],"Yes",ScopeRulesTbl[Location ID],$C49))</x:f>
        <x:v>0</x:v>
      </x:c>
      <x:c r="I49" s="80" t="str">
        <x:f>IF($A49&lt;&gt;"Yes","Disabled",IF($B49="","Missing NOC ID",IF(COUNTIF(NOCsTbl[NOC ID],$B49)=0,"NOC not found",IF($C49="","Missing Location ID",IF(COUNTIF(LocationsTbl[Location ID],$C49)&gt;1,"Duplicate Location ID",IF($D49="","Missing display name",IF($H49=0,"No enabled rules",IF($F49="","No usable scope","OK"))))))))</x:f>
        <x:v>Disabled</x:v>
      </x:c>
      <x:c r="J49" s="79" t="str"/>
      <x:c r="K49" s="118" t="str">
        <x:f>IF(AND(A49="Yes",I49="OK",F49&lt;&gt;""),B49,"")</x:f>
      </x:c>
      <x:c r="L49" s="118" t="str">
        <x:f>IF(K49="","",IF(COUNTIF($K$5:K48,K49)=0,F49,XLOOKUP(K49,$K$5:K48,$L$5:L48,"",0,-1)&amp;" OR "&amp;F49))</x:f>
      </x:c>
      <x:c r="M49" s="24" t="str">
        <x:f>IF(AND($A49="Yes",$B49&lt;&gt;""),COUNTIFS($B$5:$B49,$B49,$A$5:$A49,"Yes"),"")</x:f>
      </x:c>
      <x:c r="N49" s="24" t="str">
        <x:f>IF(OR($A49&lt;&gt;"Yes",$B49="",$D49=""),"",$B49&amp;"|"&amp;$D49)</x:f>
      </x:c>
      <x:c r="O49" s="24" t="str">
        <x:f>IF($M49="","",$B49&amp;"|"&amp;TEXT($M49,"000"))</x:f>
      </x:c>
      <x:c r="P49" s="24" t="str">
        <x:f>IF(Generator!$E$6="","",IFERROR(INDEX($D$5:$D$64,MATCH(Generator!$E$6&amp;"|045",$O$5:$O$64,0)),""))</x:f>
        <x:v>Current Draft Scope</x:v>
      </x:c>
    </x:row>
    <x:row r="50">
      <x:c r="A50" s="79" t="str">
        <x:v>No</x:v>
      </x:c>
      <x:c r="B50" s="79" t="str"/>
      <x:c r="C50" s="79" t="str">
        <x:v>LOC_046</x:v>
      </x:c>
      <x:c r="D50" s="79" t="str">
        <x:v>Location 046</x:v>
      </x:c>
      <x:c r="E50" s="79" t="n">
        <x:v>460</x:v>
      </x:c>
      <x:c r="F50" s="80" t="str">
        <x:f>IF(A50&lt;&gt;"Yes","",IF(H50=0,"","("&amp;XLOOKUP(C50,ScopeRulesTbl[Rule Key (helper)],ScopeRulesTbl[Scope Accumulator (helper)],"",0,-1)&amp;")"))</x:f>
      </x:c>
      <x:c r="G50" s="80" t="str">
        <x:f>IF(OR(A50&lt;&gt;"Yes",F50=""),"","{""label"":"""&amp;D50&amp;""",""value"":"""&amp;SUBSTITUTE(F50,CHAR(34),"\"&amp;CHAR(34))&amp;"""}")</x:f>
      </x:c>
      <x:c r="H50" s="80" t="n">
        <x:f>IF($C50="","",COUNTIFS(ScopeRulesTbl[Use?],"Yes",ScopeRulesTbl[Location ID],$C50))</x:f>
        <x:v>0</x:v>
      </x:c>
      <x:c r="I50" s="80" t="str">
        <x:f>IF($A50&lt;&gt;"Yes","Disabled",IF($B50="","Missing NOC ID",IF(COUNTIF(NOCsTbl[NOC ID],$B50)=0,"NOC not found",IF($C50="","Missing Location ID",IF(COUNTIF(LocationsTbl[Location ID],$C50)&gt;1,"Duplicate Location ID",IF($D50="","Missing display name",IF($H50=0,"No enabled rules",IF($F50="","No usable scope","OK"))))))))</x:f>
        <x:v>Disabled</x:v>
      </x:c>
      <x:c r="J50" s="79" t="str"/>
      <x:c r="K50" s="118" t="str">
        <x:f>IF(AND(A50="Yes",I50="OK",F50&lt;&gt;""),B50,"")</x:f>
      </x:c>
      <x:c r="L50" s="118" t="str">
        <x:f>IF(K50="","",IF(COUNTIF($K$5:K49,K50)=0,F50,XLOOKUP(K50,$K$5:K49,$L$5:L49,"",0,-1)&amp;" OR "&amp;F50))</x:f>
      </x:c>
      <x:c r="M50" s="24" t="str">
        <x:f>IF(AND($A50="Yes",$B50&lt;&gt;""),COUNTIFS($B$5:$B50,$B50,$A$5:$A50,"Yes"),"")</x:f>
      </x:c>
      <x:c r="N50" s="24" t="str">
        <x:f>IF(OR($A50&lt;&gt;"Yes",$B50="",$D50=""),"",$B50&amp;"|"&amp;$D50)</x:f>
      </x:c>
      <x:c r="O50" s="24" t="str">
        <x:f>IF($M50="","",$B50&amp;"|"&amp;TEXT($M50,"000"))</x:f>
      </x:c>
      <x:c r="P50" s="24" t="str">
        <x:f>IF(Generator!$E$6="","",IFERROR(INDEX($D$5:$D$64,MATCH(Generator!$E$6&amp;"|046",$O$5:$O$64,0)),""))</x:f>
        <x:v>Current Draft Scope</x:v>
      </x:c>
    </x:row>
    <x:row r="51">
      <x:c r="A51" s="79" t="str">
        <x:v>No</x:v>
      </x:c>
      <x:c r="B51" s="79" t="str"/>
      <x:c r="C51" s="79" t="str">
        <x:v>LOC_047</x:v>
      </x:c>
      <x:c r="D51" s="79" t="str">
        <x:v>Location 047</x:v>
      </x:c>
      <x:c r="E51" s="79" t="n">
        <x:v>470</x:v>
      </x:c>
      <x:c r="F51" s="80" t="str">
        <x:f>IF(A51&lt;&gt;"Yes","",IF(H51=0,"","("&amp;XLOOKUP(C51,ScopeRulesTbl[Rule Key (helper)],ScopeRulesTbl[Scope Accumulator (helper)],"",0,-1)&amp;")"))</x:f>
      </x:c>
      <x:c r="G51" s="80" t="str">
        <x:f>IF(OR(A51&lt;&gt;"Yes",F51=""),"","{""label"":"""&amp;D51&amp;""",""value"":"""&amp;SUBSTITUTE(F51,CHAR(34),"\"&amp;CHAR(34))&amp;"""}")</x:f>
      </x:c>
      <x:c r="H51" s="80" t="n">
        <x:f>IF($C51="","",COUNTIFS(ScopeRulesTbl[Use?],"Yes",ScopeRulesTbl[Location ID],$C51))</x:f>
        <x:v>0</x:v>
      </x:c>
      <x:c r="I51" s="80" t="str">
        <x:f>IF($A51&lt;&gt;"Yes","Disabled",IF($B51="","Missing NOC ID",IF(COUNTIF(NOCsTbl[NOC ID],$B51)=0,"NOC not found",IF($C51="","Missing Location ID",IF(COUNTIF(LocationsTbl[Location ID],$C51)&gt;1,"Duplicate Location ID",IF($D51="","Missing display name",IF($H51=0,"No enabled rules",IF($F51="","No usable scope","OK"))))))))</x:f>
        <x:v>Disabled</x:v>
      </x:c>
      <x:c r="J51" s="79" t="str"/>
      <x:c r="K51" s="118" t="str">
        <x:f>IF(AND(A51="Yes",I51="OK",F51&lt;&gt;""),B51,"")</x:f>
      </x:c>
      <x:c r="L51" s="118" t="str">
        <x:f>IF(K51="","",IF(COUNTIF($K$5:K50,K51)=0,F51,XLOOKUP(K51,$K$5:K50,$L$5:L50,"",0,-1)&amp;" OR "&amp;F51))</x:f>
      </x:c>
      <x:c r="M51" s="24" t="str">
        <x:f>IF(AND($A51="Yes",$B51&lt;&gt;""),COUNTIFS($B$5:$B51,$B51,$A$5:$A51,"Yes"),"")</x:f>
      </x:c>
      <x:c r="N51" s="24" t="str">
        <x:f>IF(OR($A51&lt;&gt;"Yes",$B51="",$D51=""),"",$B51&amp;"|"&amp;$D51)</x:f>
      </x:c>
      <x:c r="O51" s="24" t="str">
        <x:f>IF($M51="","",$B51&amp;"|"&amp;TEXT($M51,"000"))</x:f>
      </x:c>
      <x:c r="P51" s="24" t="str">
        <x:f>IF(Generator!$E$6="","",IFERROR(INDEX($D$5:$D$64,MATCH(Generator!$E$6&amp;"|047",$O$5:$O$64,0)),""))</x:f>
        <x:v>Current Draft Scope</x:v>
      </x:c>
    </x:row>
    <x:row r="52">
      <x:c r="A52" s="79" t="str">
        <x:v>No</x:v>
      </x:c>
      <x:c r="B52" s="79" t="str"/>
      <x:c r="C52" s="79" t="str">
        <x:v>LOC_048</x:v>
      </x:c>
      <x:c r="D52" s="79" t="str">
        <x:v>Location 048</x:v>
      </x:c>
      <x:c r="E52" s="79" t="n">
        <x:v>480</x:v>
      </x:c>
      <x:c r="F52" s="80" t="str">
        <x:f>IF(A52&lt;&gt;"Yes","",IF(H52=0,"","("&amp;XLOOKUP(C52,ScopeRulesTbl[Rule Key (helper)],ScopeRulesTbl[Scope Accumulator (helper)],"",0,-1)&amp;")"))</x:f>
      </x:c>
      <x:c r="G52" s="80" t="str">
        <x:f>IF(OR(A52&lt;&gt;"Yes",F52=""),"","{""label"":"""&amp;D52&amp;""",""value"":"""&amp;SUBSTITUTE(F52,CHAR(34),"\"&amp;CHAR(34))&amp;"""}")</x:f>
      </x:c>
      <x:c r="H52" s="80" t="n">
        <x:f>IF($C52="","",COUNTIFS(ScopeRulesTbl[Use?],"Yes",ScopeRulesTbl[Location ID],$C52))</x:f>
        <x:v>0</x:v>
      </x:c>
      <x:c r="I52" s="80" t="str">
        <x:f>IF($A52&lt;&gt;"Yes","Disabled",IF($B52="","Missing NOC ID",IF(COUNTIF(NOCsTbl[NOC ID],$B52)=0,"NOC not found",IF($C52="","Missing Location ID",IF(COUNTIF(LocationsTbl[Location ID],$C52)&gt;1,"Duplicate Location ID",IF($D52="","Missing display name",IF($H52=0,"No enabled rules",IF($F52="","No usable scope","OK"))))))))</x:f>
        <x:v>Disabled</x:v>
      </x:c>
      <x:c r="J52" s="79" t="str"/>
      <x:c r="K52" s="118" t="str">
        <x:f>IF(AND(A52="Yes",I52="OK",F52&lt;&gt;""),B52,"")</x:f>
      </x:c>
      <x:c r="L52" s="118" t="str">
        <x:f>IF(K52="","",IF(COUNTIF($K$5:K51,K52)=0,F52,XLOOKUP(K52,$K$5:K51,$L$5:L51,"",0,-1)&amp;" OR "&amp;F52))</x:f>
      </x:c>
      <x:c r="M52" s="24" t="str">
        <x:f>IF(AND($A52="Yes",$B52&lt;&gt;""),COUNTIFS($B$5:$B52,$B52,$A$5:$A52,"Yes"),"")</x:f>
      </x:c>
      <x:c r="N52" s="24" t="str">
        <x:f>IF(OR($A52&lt;&gt;"Yes",$B52="",$D52=""),"",$B52&amp;"|"&amp;$D52)</x:f>
      </x:c>
      <x:c r="O52" s="24" t="str">
        <x:f>IF($M52="","",$B52&amp;"|"&amp;TEXT($M52,"000"))</x:f>
      </x:c>
      <x:c r="P52" s="24" t="str">
        <x:f>IF(Generator!$E$6="","",IFERROR(INDEX($D$5:$D$64,MATCH(Generator!$E$6&amp;"|048",$O$5:$O$64,0)),""))</x:f>
        <x:v>Current Draft Scope</x:v>
      </x:c>
    </x:row>
    <x:row r="53">
      <x:c r="A53" s="79" t="str">
        <x:v>No</x:v>
      </x:c>
      <x:c r="B53" s="79" t="str"/>
      <x:c r="C53" s="79" t="str">
        <x:v>LOC_049</x:v>
      </x:c>
      <x:c r="D53" s="79" t="str">
        <x:v>Location 049</x:v>
      </x:c>
      <x:c r="E53" s="79" t="n">
        <x:v>490</x:v>
      </x:c>
      <x:c r="F53" s="80" t="str">
        <x:f>IF(A53&lt;&gt;"Yes","",IF(H53=0,"","("&amp;XLOOKUP(C53,ScopeRulesTbl[Rule Key (helper)],ScopeRulesTbl[Scope Accumulator (helper)],"",0,-1)&amp;")"))</x:f>
      </x:c>
      <x:c r="G53" s="80" t="str">
        <x:f>IF(OR(A53&lt;&gt;"Yes",F53=""),"","{""label"":"""&amp;D53&amp;""",""value"":"""&amp;SUBSTITUTE(F53,CHAR(34),"\"&amp;CHAR(34))&amp;"""}")</x:f>
      </x:c>
      <x:c r="H53" s="80" t="n">
        <x:f>IF($C53="","",COUNTIFS(ScopeRulesTbl[Use?],"Yes",ScopeRulesTbl[Location ID],$C53))</x:f>
        <x:v>0</x:v>
      </x:c>
      <x:c r="I53" s="80" t="str">
        <x:f>IF($A53&lt;&gt;"Yes","Disabled",IF($B53="","Missing NOC ID",IF(COUNTIF(NOCsTbl[NOC ID],$B53)=0,"NOC not found",IF($C53="","Missing Location ID",IF(COUNTIF(LocationsTbl[Location ID],$C53)&gt;1,"Duplicate Location ID",IF($D53="","Missing display name",IF($H53=0,"No enabled rules",IF($F53="","No usable scope","OK"))))))))</x:f>
        <x:v>Disabled</x:v>
      </x:c>
      <x:c r="J53" s="79" t="str"/>
      <x:c r="K53" s="118" t="str">
        <x:f>IF(AND(A53="Yes",I53="OK",F53&lt;&gt;""),B53,"")</x:f>
      </x:c>
      <x:c r="L53" s="118" t="str">
        <x:f>IF(K53="","",IF(COUNTIF($K$5:K52,K53)=0,F53,XLOOKUP(K53,$K$5:K52,$L$5:L52,"",0,-1)&amp;" OR "&amp;F53))</x:f>
      </x:c>
      <x:c r="M53" s="24" t="str">
        <x:f>IF(AND($A53="Yes",$B53&lt;&gt;""),COUNTIFS($B$5:$B53,$B53,$A$5:$A53,"Yes"),"")</x:f>
      </x:c>
      <x:c r="N53" s="24" t="str">
        <x:f>IF(OR($A53&lt;&gt;"Yes",$B53="",$D53=""),"",$B53&amp;"|"&amp;$D53)</x:f>
      </x:c>
      <x:c r="O53" s="24" t="str">
        <x:f>IF($M53="","",$B53&amp;"|"&amp;TEXT($M53,"000"))</x:f>
      </x:c>
      <x:c r="P53" s="24" t="str">
        <x:f>IF(Generator!$E$6="","",IFERROR(INDEX($D$5:$D$64,MATCH(Generator!$E$6&amp;"|049",$O$5:$O$64,0)),""))</x:f>
        <x:v>Current Draft Scope</x:v>
      </x:c>
    </x:row>
    <x:row r="54">
      <x:c r="A54" s="79" t="str">
        <x:v>No</x:v>
      </x:c>
      <x:c r="B54" s="79" t="str"/>
      <x:c r="C54" s="79" t="str">
        <x:v>LOC_050</x:v>
      </x:c>
      <x:c r="D54" s="79" t="str">
        <x:v>Location 050</x:v>
      </x:c>
      <x:c r="E54" s="79" t="n">
        <x:v>500</x:v>
      </x:c>
      <x:c r="F54" s="80" t="str">
        <x:f>IF(A54&lt;&gt;"Yes","",IF(H54=0,"","("&amp;XLOOKUP(C54,ScopeRulesTbl[Rule Key (helper)],ScopeRulesTbl[Scope Accumulator (helper)],"",0,-1)&amp;")"))</x:f>
      </x:c>
      <x:c r="G54" s="80" t="str">
        <x:f>IF(OR(A54&lt;&gt;"Yes",F54=""),"","{""label"":"""&amp;D54&amp;""",""value"":"""&amp;SUBSTITUTE(F54,CHAR(34),"\"&amp;CHAR(34))&amp;"""}")</x:f>
      </x:c>
      <x:c r="H54" s="80" t="n">
        <x:f>IF($C54="","",COUNTIFS(ScopeRulesTbl[Use?],"Yes",ScopeRulesTbl[Location ID],$C54))</x:f>
        <x:v>0</x:v>
      </x:c>
      <x:c r="I54" s="80" t="str">
        <x:f>IF($A54&lt;&gt;"Yes","Disabled",IF($B54="","Missing NOC ID",IF(COUNTIF(NOCsTbl[NOC ID],$B54)=0,"NOC not found",IF($C54="","Missing Location ID",IF(COUNTIF(LocationsTbl[Location ID],$C54)&gt;1,"Duplicate Location ID",IF($D54="","Missing display name",IF($H54=0,"No enabled rules",IF($F54="","No usable scope","OK"))))))))</x:f>
        <x:v>Disabled</x:v>
      </x:c>
      <x:c r="J54" s="79" t="str"/>
      <x:c r="K54" s="118" t="str">
        <x:f>IF(AND(A54="Yes",I54="OK",F54&lt;&gt;""),B54,"")</x:f>
      </x:c>
      <x:c r="L54" s="118" t="str">
        <x:f>IF(K54="","",IF(COUNTIF($K$5:K53,K54)=0,F54,XLOOKUP(K54,$K$5:K53,$L$5:L53,"",0,-1)&amp;" OR "&amp;F54))</x:f>
      </x:c>
      <x:c r="M54" s="24" t="str">
        <x:f>IF(AND($A54="Yes",$B54&lt;&gt;""),COUNTIFS($B$5:$B54,$B54,$A$5:$A54,"Yes"),"")</x:f>
      </x:c>
      <x:c r="N54" s="24" t="str">
        <x:f>IF(OR($A54&lt;&gt;"Yes",$B54="",$D54=""),"",$B54&amp;"|"&amp;$D54)</x:f>
      </x:c>
      <x:c r="O54" s="24" t="str">
        <x:f>IF($M54="","",$B54&amp;"|"&amp;TEXT($M54,"000"))</x:f>
      </x:c>
      <x:c r="P54" s="24" t="str">
        <x:f>IF(Generator!$E$6="","",IFERROR(INDEX($D$5:$D$64,MATCH(Generator!$E$6&amp;"|050",$O$5:$O$64,0)),""))</x:f>
        <x:v>Current Draft Scope</x:v>
      </x:c>
    </x:row>
    <x:row r="55">
      <x:c r="A55" s="79" t="str">
        <x:v>No</x:v>
      </x:c>
      <x:c r="B55" s="79" t="str"/>
      <x:c r="C55" s="79" t="str">
        <x:v>LOC_051</x:v>
      </x:c>
      <x:c r="D55" s="79" t="str">
        <x:v>Location 051</x:v>
      </x:c>
      <x:c r="E55" s="79" t="n">
        <x:v>510</x:v>
      </x:c>
      <x:c r="F55" s="80" t="str">
        <x:f>IF(A55&lt;&gt;"Yes","",IF(H55=0,"","("&amp;XLOOKUP(C55,ScopeRulesTbl[Rule Key (helper)],ScopeRulesTbl[Scope Accumulator (helper)],"",0,-1)&amp;")"))</x:f>
      </x:c>
      <x:c r="G55" s="80" t="str">
        <x:f>IF(OR(A55&lt;&gt;"Yes",F55=""),"","{""label"":"""&amp;D55&amp;""",""value"":"""&amp;SUBSTITUTE(F55,CHAR(34),"\"&amp;CHAR(34))&amp;"""}")</x:f>
      </x:c>
      <x:c r="H55" s="80" t="n">
        <x:f>IF($C55="","",COUNTIFS(ScopeRulesTbl[Use?],"Yes",ScopeRulesTbl[Location ID],$C55))</x:f>
        <x:v>0</x:v>
      </x:c>
      <x:c r="I55" s="80" t="str">
        <x:f>IF($A55&lt;&gt;"Yes","Disabled",IF($B55="","Missing NOC ID",IF(COUNTIF(NOCsTbl[NOC ID],$B55)=0,"NOC not found",IF($C55="","Missing Location ID",IF(COUNTIF(LocationsTbl[Location ID],$C55)&gt;1,"Duplicate Location ID",IF($D55="","Missing display name",IF($H55=0,"No enabled rules",IF($F55="","No usable scope","OK"))))))))</x:f>
        <x:v>Disabled</x:v>
      </x:c>
      <x:c r="J55" s="79" t="str"/>
      <x:c r="K55" s="118" t="str">
        <x:f>IF(AND(A55="Yes",I55="OK",F55&lt;&gt;""),B55,"")</x:f>
      </x:c>
      <x:c r="L55" s="118" t="str">
        <x:f>IF(K55="","",IF(COUNTIF($K$5:K54,K55)=0,F55,XLOOKUP(K55,$K$5:K54,$L$5:L54,"",0,-1)&amp;" OR "&amp;F55))</x:f>
      </x:c>
      <x:c r="M55" s="24" t="str">
        <x:f>IF(AND($A55="Yes",$B55&lt;&gt;""),COUNTIFS($B$5:$B55,$B55,$A$5:$A55,"Yes"),"")</x:f>
      </x:c>
      <x:c r="N55" s="24" t="str">
        <x:f>IF(OR($A55&lt;&gt;"Yes",$B55="",$D55=""),"",$B55&amp;"|"&amp;$D55)</x:f>
      </x:c>
      <x:c r="O55" s="24" t="str">
        <x:f>IF($M55="","",$B55&amp;"|"&amp;TEXT($M55,"000"))</x:f>
      </x:c>
      <x:c r="P55" s="24" t="str">
        <x:f>IF(Generator!$E$6="","",IFERROR(INDEX($D$5:$D$64,MATCH(Generator!$E$6&amp;"|051",$O$5:$O$64,0)),""))</x:f>
        <x:v>Current Draft Scope</x:v>
      </x:c>
    </x:row>
    <x:row r="56">
      <x:c r="A56" s="79" t="str">
        <x:v>No</x:v>
      </x:c>
      <x:c r="B56" s="79" t="str"/>
      <x:c r="C56" s="79" t="str">
        <x:v>LOC_052</x:v>
      </x:c>
      <x:c r="D56" s="79" t="str">
        <x:v>Location 052</x:v>
      </x:c>
      <x:c r="E56" s="79" t="n">
        <x:v>520</x:v>
      </x:c>
      <x:c r="F56" s="80" t="str">
        <x:f>IF(A56&lt;&gt;"Yes","",IF(H56=0,"","("&amp;XLOOKUP(C56,ScopeRulesTbl[Rule Key (helper)],ScopeRulesTbl[Scope Accumulator (helper)],"",0,-1)&amp;")"))</x:f>
      </x:c>
      <x:c r="G56" s="80" t="str">
        <x:f>IF(OR(A56&lt;&gt;"Yes",F56=""),"","{""label"":"""&amp;D56&amp;""",""value"":"""&amp;SUBSTITUTE(F56,CHAR(34),"\"&amp;CHAR(34))&amp;"""}")</x:f>
      </x:c>
      <x:c r="H56" s="80" t="n">
        <x:f>IF($C56="","",COUNTIFS(ScopeRulesTbl[Use?],"Yes",ScopeRulesTbl[Location ID],$C56))</x:f>
        <x:v>0</x:v>
      </x:c>
      <x:c r="I56" s="80" t="str">
        <x:f>IF($A56&lt;&gt;"Yes","Disabled",IF($B56="","Missing NOC ID",IF(COUNTIF(NOCsTbl[NOC ID],$B56)=0,"NOC not found",IF($C56="","Missing Location ID",IF(COUNTIF(LocationsTbl[Location ID],$C56)&gt;1,"Duplicate Location ID",IF($D56="","Missing display name",IF($H56=0,"No enabled rules",IF($F56="","No usable scope","OK"))))))))</x:f>
        <x:v>Disabled</x:v>
      </x:c>
      <x:c r="J56" s="79" t="str"/>
      <x:c r="K56" s="118" t="str">
        <x:f>IF(AND(A56="Yes",I56="OK",F56&lt;&gt;""),B56,"")</x:f>
      </x:c>
      <x:c r="L56" s="118" t="str">
        <x:f>IF(K56="","",IF(COUNTIF($K$5:K55,K56)=0,F56,XLOOKUP(K56,$K$5:K55,$L$5:L55,"",0,-1)&amp;" OR "&amp;F56))</x:f>
      </x:c>
      <x:c r="M56" s="24" t="str">
        <x:f>IF(AND($A56="Yes",$B56&lt;&gt;""),COUNTIFS($B$5:$B56,$B56,$A$5:$A56,"Yes"),"")</x:f>
      </x:c>
      <x:c r="N56" s="24" t="str">
        <x:f>IF(OR($A56&lt;&gt;"Yes",$B56="",$D56=""),"",$B56&amp;"|"&amp;$D56)</x:f>
      </x:c>
      <x:c r="O56" s="24" t="str">
        <x:f>IF($M56="","",$B56&amp;"|"&amp;TEXT($M56,"000"))</x:f>
      </x:c>
      <x:c r="P56" s="24" t="str">
        <x:f>IF(Generator!$E$6="","",IFERROR(INDEX($D$5:$D$64,MATCH(Generator!$E$6&amp;"|052",$O$5:$O$64,0)),""))</x:f>
        <x:v>Current Draft Scope</x:v>
      </x:c>
    </x:row>
    <x:row r="57">
      <x:c r="A57" s="79" t="str">
        <x:v>No</x:v>
      </x:c>
      <x:c r="B57" s="79" t="str"/>
      <x:c r="C57" s="79" t="str">
        <x:v>LOC_053</x:v>
      </x:c>
      <x:c r="D57" s="79" t="str">
        <x:v>Location 053</x:v>
      </x:c>
      <x:c r="E57" s="79" t="n">
        <x:v>530</x:v>
      </x:c>
      <x:c r="F57" s="80" t="str">
        <x:f>IF(A57&lt;&gt;"Yes","",IF(H57=0,"","("&amp;XLOOKUP(C57,ScopeRulesTbl[Rule Key (helper)],ScopeRulesTbl[Scope Accumulator (helper)],"",0,-1)&amp;")"))</x:f>
      </x:c>
      <x:c r="G57" s="80" t="str">
        <x:f>IF(OR(A57&lt;&gt;"Yes",F57=""),"","{""label"":"""&amp;D57&amp;""",""value"":"""&amp;SUBSTITUTE(F57,CHAR(34),"\"&amp;CHAR(34))&amp;"""}")</x:f>
      </x:c>
      <x:c r="H57" s="80" t="n">
        <x:f>IF($C57="","",COUNTIFS(ScopeRulesTbl[Use?],"Yes",ScopeRulesTbl[Location ID],$C57))</x:f>
        <x:v>0</x:v>
      </x:c>
      <x:c r="I57" s="80" t="str">
        <x:f>IF($A57&lt;&gt;"Yes","Disabled",IF($B57="","Missing NOC ID",IF(COUNTIF(NOCsTbl[NOC ID],$B57)=0,"NOC not found",IF($C57="","Missing Location ID",IF(COUNTIF(LocationsTbl[Location ID],$C57)&gt;1,"Duplicate Location ID",IF($D57="","Missing display name",IF($H57=0,"No enabled rules",IF($F57="","No usable scope","OK"))))))))</x:f>
        <x:v>Disabled</x:v>
      </x:c>
      <x:c r="J57" s="79" t="str"/>
      <x:c r="K57" s="118" t="str">
        <x:f>IF(AND(A57="Yes",I57="OK",F57&lt;&gt;""),B57,"")</x:f>
      </x:c>
      <x:c r="L57" s="118" t="str">
        <x:f>IF(K57="","",IF(COUNTIF($K$5:K56,K57)=0,F57,XLOOKUP(K57,$K$5:K56,$L$5:L56,"",0,-1)&amp;" OR "&amp;F57))</x:f>
      </x:c>
      <x:c r="M57" s="24" t="str">
        <x:f>IF(AND($A57="Yes",$B57&lt;&gt;""),COUNTIFS($B$5:$B57,$B57,$A$5:$A57,"Yes"),"")</x:f>
      </x:c>
      <x:c r="N57" s="24" t="str">
        <x:f>IF(OR($A57&lt;&gt;"Yes",$B57="",$D57=""),"",$B57&amp;"|"&amp;$D57)</x:f>
      </x:c>
      <x:c r="O57" s="24" t="str">
        <x:f>IF($M57="","",$B57&amp;"|"&amp;TEXT($M57,"000"))</x:f>
      </x:c>
      <x:c r="P57" s="24" t="str">
        <x:f>IF(Generator!$E$6="","",IFERROR(INDEX($D$5:$D$64,MATCH(Generator!$E$6&amp;"|053",$O$5:$O$64,0)),""))</x:f>
        <x:v>Current Draft Scope</x:v>
      </x:c>
    </x:row>
    <x:row r="58">
      <x:c r="A58" s="79" t="str">
        <x:v>No</x:v>
      </x:c>
      <x:c r="B58" s="79" t="str"/>
      <x:c r="C58" s="79" t="str">
        <x:v>LOC_054</x:v>
      </x:c>
      <x:c r="D58" s="79" t="str">
        <x:v>Location 054</x:v>
      </x:c>
      <x:c r="E58" s="79" t="n">
        <x:v>540</x:v>
      </x:c>
      <x:c r="F58" s="80" t="str">
        <x:f>IF(A58&lt;&gt;"Yes","",IF(H58=0,"","("&amp;XLOOKUP(C58,ScopeRulesTbl[Rule Key (helper)],ScopeRulesTbl[Scope Accumulator (helper)],"",0,-1)&amp;")"))</x:f>
      </x:c>
      <x:c r="G58" s="80" t="str">
        <x:f>IF(OR(A58&lt;&gt;"Yes",F58=""),"","{""label"":"""&amp;D58&amp;""",""value"":"""&amp;SUBSTITUTE(F58,CHAR(34),"\"&amp;CHAR(34))&amp;"""}")</x:f>
      </x:c>
      <x:c r="H58" s="80" t="n">
        <x:f>IF($C58="","",COUNTIFS(ScopeRulesTbl[Use?],"Yes",ScopeRulesTbl[Location ID],$C58))</x:f>
        <x:v>0</x:v>
      </x:c>
      <x:c r="I58" s="80" t="str">
        <x:f>IF($A58&lt;&gt;"Yes","Disabled",IF($B58="","Missing NOC ID",IF(COUNTIF(NOCsTbl[NOC ID],$B58)=0,"NOC not found",IF($C58="","Missing Location ID",IF(COUNTIF(LocationsTbl[Location ID],$C58)&gt;1,"Duplicate Location ID",IF($D58="","Missing display name",IF($H58=0,"No enabled rules",IF($F58="","No usable scope","OK"))))))))</x:f>
        <x:v>Disabled</x:v>
      </x:c>
      <x:c r="J58" s="79" t="str"/>
      <x:c r="K58" s="118" t="str">
        <x:f>IF(AND(A58="Yes",I58="OK",F58&lt;&gt;""),B58,"")</x:f>
      </x:c>
      <x:c r="L58" s="118" t="str">
        <x:f>IF(K58="","",IF(COUNTIF($K$5:K57,K58)=0,F58,XLOOKUP(K58,$K$5:K57,$L$5:L57,"",0,-1)&amp;" OR "&amp;F58))</x:f>
      </x:c>
      <x:c r="M58" s="24" t="str">
        <x:f>IF(AND($A58="Yes",$B58&lt;&gt;""),COUNTIFS($B$5:$B58,$B58,$A$5:$A58,"Yes"),"")</x:f>
      </x:c>
      <x:c r="N58" s="24" t="str">
        <x:f>IF(OR($A58&lt;&gt;"Yes",$B58="",$D58=""),"",$B58&amp;"|"&amp;$D58)</x:f>
      </x:c>
      <x:c r="O58" s="24" t="str">
        <x:f>IF($M58="","",$B58&amp;"|"&amp;TEXT($M58,"000"))</x:f>
      </x:c>
      <x:c r="P58" s="24" t="str">
        <x:f>IF(Generator!$E$6="","",IFERROR(INDEX($D$5:$D$64,MATCH(Generator!$E$6&amp;"|054",$O$5:$O$64,0)),""))</x:f>
        <x:v>Current Draft Scope</x:v>
      </x:c>
    </x:row>
    <x:row r="59">
      <x:c r="A59" s="79" t="str">
        <x:v>No</x:v>
      </x:c>
      <x:c r="B59" s="79" t="str"/>
      <x:c r="C59" s="79" t="str">
        <x:v>LOC_055</x:v>
      </x:c>
      <x:c r="D59" s="79" t="str">
        <x:v>Location 055</x:v>
      </x:c>
      <x:c r="E59" s="79" t="n">
        <x:v>550</x:v>
      </x:c>
      <x:c r="F59" s="80" t="str">
        <x:f>IF(A59&lt;&gt;"Yes","",IF(H59=0,"","("&amp;XLOOKUP(C59,ScopeRulesTbl[Rule Key (helper)],ScopeRulesTbl[Scope Accumulator (helper)],"",0,-1)&amp;")"))</x:f>
      </x:c>
      <x:c r="G59" s="80" t="str">
        <x:f>IF(OR(A59&lt;&gt;"Yes",F59=""),"","{""label"":"""&amp;D59&amp;""",""value"":"""&amp;SUBSTITUTE(F59,CHAR(34),"\"&amp;CHAR(34))&amp;"""}")</x:f>
      </x:c>
      <x:c r="H59" s="80" t="n">
        <x:f>IF($C59="","",COUNTIFS(ScopeRulesTbl[Use?],"Yes",ScopeRulesTbl[Location ID],$C59))</x:f>
        <x:v>0</x:v>
      </x:c>
      <x:c r="I59" s="80" t="str">
        <x:f>IF($A59&lt;&gt;"Yes","Disabled",IF($B59="","Missing NOC ID",IF(COUNTIF(NOCsTbl[NOC ID],$B59)=0,"NOC not found",IF($C59="","Missing Location ID",IF(COUNTIF(LocationsTbl[Location ID],$C59)&gt;1,"Duplicate Location ID",IF($D59="","Missing display name",IF($H59=0,"No enabled rules",IF($F59="","No usable scope","OK"))))))))</x:f>
        <x:v>Disabled</x:v>
      </x:c>
      <x:c r="J59" s="79" t="str"/>
      <x:c r="K59" s="118" t="str">
        <x:f>IF(AND(A59="Yes",I59="OK",F59&lt;&gt;""),B59,"")</x:f>
      </x:c>
      <x:c r="L59" s="118" t="str">
        <x:f>IF(K59="","",IF(COUNTIF($K$5:K58,K59)=0,F59,XLOOKUP(K59,$K$5:K58,$L$5:L58,"",0,-1)&amp;" OR "&amp;F59))</x:f>
      </x:c>
      <x:c r="M59" s="24" t="str">
        <x:f>IF(AND($A59="Yes",$B59&lt;&gt;""),COUNTIFS($B$5:$B59,$B59,$A$5:$A59,"Yes"),"")</x:f>
      </x:c>
      <x:c r="N59" s="24" t="str">
        <x:f>IF(OR($A59&lt;&gt;"Yes",$B59="",$D59=""),"",$B59&amp;"|"&amp;$D59)</x:f>
      </x:c>
      <x:c r="O59" s="24" t="str">
        <x:f>IF($M59="","",$B59&amp;"|"&amp;TEXT($M59,"000"))</x:f>
      </x:c>
      <x:c r="P59" s="24" t="str">
        <x:f>IF(Generator!$E$6="","",IFERROR(INDEX($D$5:$D$64,MATCH(Generator!$E$6&amp;"|055",$O$5:$O$64,0)),""))</x:f>
        <x:v>Current Draft Scope</x:v>
      </x:c>
    </x:row>
    <x:row r="60">
      <x:c r="A60" s="79" t="str">
        <x:v>No</x:v>
      </x:c>
      <x:c r="B60" s="79" t="str"/>
      <x:c r="C60" s="79" t="str">
        <x:v>LOC_056</x:v>
      </x:c>
      <x:c r="D60" s="79" t="str">
        <x:v>Location 056</x:v>
      </x:c>
      <x:c r="E60" s="79" t="n">
        <x:v>560</x:v>
      </x:c>
      <x:c r="F60" s="80" t="str">
        <x:f>IF(A60&lt;&gt;"Yes","",IF(H60=0,"","("&amp;XLOOKUP(C60,ScopeRulesTbl[Rule Key (helper)],ScopeRulesTbl[Scope Accumulator (helper)],"",0,-1)&amp;")"))</x:f>
      </x:c>
      <x:c r="G60" s="80" t="str">
        <x:f>IF(OR(A60&lt;&gt;"Yes",F60=""),"","{""label"":"""&amp;D60&amp;""",""value"":"""&amp;SUBSTITUTE(F60,CHAR(34),"\"&amp;CHAR(34))&amp;"""}")</x:f>
      </x:c>
      <x:c r="H60" s="80" t="n">
        <x:f>IF($C60="","",COUNTIFS(ScopeRulesTbl[Use?],"Yes",ScopeRulesTbl[Location ID],$C60))</x:f>
        <x:v>0</x:v>
      </x:c>
      <x:c r="I60" s="80" t="str">
        <x:f>IF($A60&lt;&gt;"Yes","Disabled",IF($B60="","Missing NOC ID",IF(COUNTIF(NOCsTbl[NOC ID],$B60)=0,"NOC not found",IF($C60="","Missing Location ID",IF(COUNTIF(LocationsTbl[Location ID],$C60)&gt;1,"Duplicate Location ID",IF($D60="","Missing display name",IF($H60=0,"No enabled rules",IF($F60="","No usable scope","OK"))))))))</x:f>
        <x:v>Disabled</x:v>
      </x:c>
      <x:c r="J60" s="79" t="str"/>
      <x:c r="K60" s="118" t="str">
        <x:f>IF(AND(A60="Yes",I60="OK",F60&lt;&gt;""),B60,"")</x:f>
      </x:c>
      <x:c r="L60" s="118" t="str">
        <x:f>IF(K60="","",IF(COUNTIF($K$5:K59,K60)=0,F60,XLOOKUP(K60,$K$5:K59,$L$5:L59,"",0,-1)&amp;" OR "&amp;F60))</x:f>
      </x:c>
      <x:c r="M60" s="24" t="str">
        <x:f>IF(AND($A60="Yes",$B60&lt;&gt;""),COUNTIFS($B$5:$B60,$B60,$A$5:$A60,"Yes"),"")</x:f>
      </x:c>
      <x:c r="N60" s="24" t="str">
        <x:f>IF(OR($A60&lt;&gt;"Yes",$B60="",$D60=""),"",$B60&amp;"|"&amp;$D60)</x:f>
      </x:c>
      <x:c r="O60" s="24" t="str">
        <x:f>IF($M60="","",$B60&amp;"|"&amp;TEXT($M60,"000"))</x:f>
      </x:c>
      <x:c r="P60" s="24" t="str">
        <x:f>IF(Generator!$E$6="","",IFERROR(INDEX($D$5:$D$64,MATCH(Generator!$E$6&amp;"|056",$O$5:$O$64,0)),""))</x:f>
        <x:v>Current Draft Scope</x:v>
      </x:c>
    </x:row>
    <x:row r="61">
      <x:c r="A61" s="79" t="str">
        <x:v>No</x:v>
      </x:c>
      <x:c r="B61" s="79" t="str"/>
      <x:c r="C61" s="79" t="str">
        <x:v>LOC_057</x:v>
      </x:c>
      <x:c r="D61" s="79" t="str">
        <x:v>Location 057</x:v>
      </x:c>
      <x:c r="E61" s="79" t="n">
        <x:v>570</x:v>
      </x:c>
      <x:c r="F61" s="80" t="str">
        <x:f>IF(A61&lt;&gt;"Yes","",IF(H61=0,"","("&amp;XLOOKUP(C61,ScopeRulesTbl[Rule Key (helper)],ScopeRulesTbl[Scope Accumulator (helper)],"",0,-1)&amp;")"))</x:f>
      </x:c>
      <x:c r="G61" s="80" t="str">
        <x:f>IF(OR(A61&lt;&gt;"Yes",F61=""),"","{""label"":"""&amp;D61&amp;""",""value"":"""&amp;SUBSTITUTE(F61,CHAR(34),"\"&amp;CHAR(34))&amp;"""}")</x:f>
      </x:c>
      <x:c r="H61" s="80" t="n">
        <x:f>IF($C61="","",COUNTIFS(ScopeRulesTbl[Use?],"Yes",ScopeRulesTbl[Location ID],$C61))</x:f>
        <x:v>0</x:v>
      </x:c>
      <x:c r="I61" s="80" t="str">
        <x:f>IF($A61&lt;&gt;"Yes","Disabled",IF($B61="","Missing NOC ID",IF(COUNTIF(NOCsTbl[NOC ID],$B61)=0,"NOC not found",IF($C61="","Missing Location ID",IF(COUNTIF(LocationsTbl[Location ID],$C61)&gt;1,"Duplicate Location ID",IF($D61="","Missing display name",IF($H61=0,"No enabled rules",IF($F61="","No usable scope","OK"))))))))</x:f>
        <x:v>Disabled</x:v>
      </x:c>
      <x:c r="J61" s="79" t="str"/>
      <x:c r="K61" s="118" t="str">
        <x:f>IF(AND(A61="Yes",I61="OK",F61&lt;&gt;""),B61,"")</x:f>
      </x:c>
      <x:c r="L61" s="118" t="str">
        <x:f>IF(K61="","",IF(COUNTIF($K$5:K60,K61)=0,F61,XLOOKUP(K61,$K$5:K60,$L$5:L60,"",0,-1)&amp;" OR "&amp;F61))</x:f>
      </x:c>
      <x:c r="M61" s="24" t="str">
        <x:f>IF(AND($A61="Yes",$B61&lt;&gt;""),COUNTIFS($B$5:$B61,$B61,$A$5:$A61,"Yes"),"")</x:f>
      </x:c>
      <x:c r="N61" s="24" t="str">
        <x:f>IF(OR($A61&lt;&gt;"Yes",$B61="",$D61=""),"",$B61&amp;"|"&amp;$D61)</x:f>
      </x:c>
      <x:c r="O61" s="24" t="str">
        <x:f>IF($M61="","",$B61&amp;"|"&amp;TEXT($M61,"000"))</x:f>
      </x:c>
      <x:c r="P61" s="24" t="str">
        <x:f>IF(Generator!$E$6="","",IFERROR(INDEX($D$5:$D$64,MATCH(Generator!$E$6&amp;"|057",$O$5:$O$64,0)),""))</x:f>
        <x:v>Current Draft Scope</x:v>
      </x:c>
    </x:row>
    <x:row r="62">
      <x:c r="A62" s="79" t="str">
        <x:v>No</x:v>
      </x:c>
      <x:c r="B62" s="79" t="str"/>
      <x:c r="C62" s="79" t="str">
        <x:v>LOC_058</x:v>
      </x:c>
      <x:c r="D62" s="79" t="str">
        <x:v>Location 058</x:v>
      </x:c>
      <x:c r="E62" s="79" t="n">
        <x:v>580</x:v>
      </x:c>
      <x:c r="F62" s="80" t="str">
        <x:f>IF(A62&lt;&gt;"Yes","",IF(H62=0,"","("&amp;XLOOKUP(C62,ScopeRulesTbl[Rule Key (helper)],ScopeRulesTbl[Scope Accumulator (helper)],"",0,-1)&amp;")"))</x:f>
      </x:c>
      <x:c r="G62" s="80" t="str">
        <x:f>IF(OR(A62&lt;&gt;"Yes",F62=""),"","{""label"":"""&amp;D62&amp;""",""value"":"""&amp;SUBSTITUTE(F62,CHAR(34),"\"&amp;CHAR(34))&amp;"""}")</x:f>
      </x:c>
      <x:c r="H62" s="80" t="n">
        <x:f>IF($C62="","",COUNTIFS(ScopeRulesTbl[Use?],"Yes",ScopeRulesTbl[Location ID],$C62))</x:f>
        <x:v>0</x:v>
      </x:c>
      <x:c r="I62" s="80" t="str">
        <x:f>IF($A62&lt;&gt;"Yes","Disabled",IF($B62="","Missing NOC ID",IF(COUNTIF(NOCsTbl[NOC ID],$B62)=0,"NOC not found",IF($C62="","Missing Location ID",IF(COUNTIF(LocationsTbl[Location ID],$C62)&gt;1,"Duplicate Location ID",IF($D62="","Missing display name",IF($H62=0,"No enabled rules",IF($F62="","No usable scope","OK"))))))))</x:f>
        <x:v>Disabled</x:v>
      </x:c>
      <x:c r="J62" s="79" t="str"/>
      <x:c r="K62" s="118" t="str">
        <x:f>IF(AND(A62="Yes",I62="OK",F62&lt;&gt;""),B62,"")</x:f>
      </x:c>
      <x:c r="L62" s="118" t="str">
        <x:f>IF(K62="","",IF(COUNTIF($K$5:K61,K62)=0,F62,XLOOKUP(K62,$K$5:K61,$L$5:L61,"",0,-1)&amp;" OR "&amp;F62))</x:f>
      </x:c>
      <x:c r="M62" s="24" t="str">
        <x:f>IF(AND($A62="Yes",$B62&lt;&gt;""),COUNTIFS($B$5:$B62,$B62,$A$5:$A62,"Yes"),"")</x:f>
      </x:c>
      <x:c r="N62" s="24" t="str">
        <x:f>IF(OR($A62&lt;&gt;"Yes",$B62="",$D62=""),"",$B62&amp;"|"&amp;$D62)</x:f>
      </x:c>
      <x:c r="O62" s="24" t="str">
        <x:f>IF($M62="","",$B62&amp;"|"&amp;TEXT($M62,"000"))</x:f>
      </x:c>
      <x:c r="P62" s="24" t="str">
        <x:f>IF(Generator!$E$6="","",IFERROR(INDEX($D$5:$D$64,MATCH(Generator!$E$6&amp;"|058",$O$5:$O$64,0)),""))</x:f>
        <x:v>Current Draft Scope</x:v>
      </x:c>
    </x:row>
    <x:row r="63">
      <x:c r="A63" s="79" t="str">
        <x:v>No</x:v>
      </x:c>
      <x:c r="B63" s="79" t="str"/>
      <x:c r="C63" s="79" t="str">
        <x:v>LOC_059</x:v>
      </x:c>
      <x:c r="D63" s="79" t="str">
        <x:v>Location 059</x:v>
      </x:c>
      <x:c r="E63" s="79" t="n">
        <x:v>590</x:v>
      </x:c>
      <x:c r="F63" s="80" t="str">
        <x:f>IF(A63&lt;&gt;"Yes","",IF(H63=0,"","("&amp;XLOOKUP(C63,ScopeRulesTbl[Rule Key (helper)],ScopeRulesTbl[Scope Accumulator (helper)],"",0,-1)&amp;")"))</x:f>
      </x:c>
      <x:c r="G63" s="80" t="str">
        <x:f>IF(OR(A63&lt;&gt;"Yes",F63=""),"","{""label"":"""&amp;D63&amp;""",""value"":"""&amp;SUBSTITUTE(F63,CHAR(34),"\"&amp;CHAR(34))&amp;"""}")</x:f>
      </x:c>
      <x:c r="H63" s="80" t="n">
        <x:f>IF($C63="","",COUNTIFS(ScopeRulesTbl[Use?],"Yes",ScopeRulesTbl[Location ID],$C63))</x:f>
        <x:v>0</x:v>
      </x:c>
      <x:c r="I63" s="80" t="str">
        <x:f>IF($A63&lt;&gt;"Yes","Disabled",IF($B63="","Missing NOC ID",IF(COUNTIF(NOCsTbl[NOC ID],$B63)=0,"NOC not found",IF($C63="","Missing Location ID",IF(COUNTIF(LocationsTbl[Location ID],$C63)&gt;1,"Duplicate Location ID",IF($D63="","Missing display name",IF($H63=0,"No enabled rules",IF($F63="","No usable scope","OK"))))))))</x:f>
        <x:v>Disabled</x:v>
      </x:c>
      <x:c r="J63" s="79" t="str"/>
      <x:c r="K63" s="118" t="str">
        <x:f>IF(AND(A63="Yes",I63="OK",F63&lt;&gt;""),B63,"")</x:f>
      </x:c>
      <x:c r="L63" s="118" t="str">
        <x:f>IF(K63="","",IF(COUNTIF($K$5:K62,K63)=0,F63,XLOOKUP(K63,$K$5:K62,$L$5:L62,"",0,-1)&amp;" OR "&amp;F63))</x:f>
      </x:c>
      <x:c r="M63" s="24" t="str">
        <x:f>IF(AND($A63="Yes",$B63&lt;&gt;""),COUNTIFS($B$5:$B63,$B63,$A$5:$A63,"Yes"),"")</x:f>
      </x:c>
      <x:c r="N63" s="24" t="str">
        <x:f>IF(OR($A63&lt;&gt;"Yes",$B63="",$D63=""),"",$B63&amp;"|"&amp;$D63)</x:f>
      </x:c>
      <x:c r="O63" s="24" t="str">
        <x:f>IF($M63="","",$B63&amp;"|"&amp;TEXT($M63,"000"))</x:f>
      </x:c>
      <x:c r="P63" s="24" t="str">
        <x:f>IF(Generator!$E$6="","",IFERROR(INDEX($D$5:$D$64,MATCH(Generator!$E$6&amp;"|059",$O$5:$O$64,0)),""))</x:f>
        <x:v>Current Draft Scope</x:v>
      </x:c>
    </x:row>
    <x:row r="64">
      <x:c r="A64" s="79" t="str">
        <x:v>No</x:v>
      </x:c>
      <x:c r="B64" s="79" t="str"/>
      <x:c r="C64" s="79" t="str">
        <x:v>LOC_060</x:v>
      </x:c>
      <x:c r="D64" s="79" t="str">
        <x:v>Location 060</x:v>
      </x:c>
      <x:c r="E64" s="79" t="n">
        <x:v>600</x:v>
      </x:c>
      <x:c r="F64" s="80" t="str">
        <x:f>IF(A64&lt;&gt;"Yes","",IF(H64=0,"","("&amp;XLOOKUP(C64,ScopeRulesTbl[Rule Key (helper)],ScopeRulesTbl[Scope Accumulator (helper)],"",0,-1)&amp;")"))</x:f>
      </x:c>
      <x:c r="G64" s="80" t="str">
        <x:f>IF(OR(A64&lt;&gt;"Yes",F64=""),"","{""label"":"""&amp;D64&amp;""",""value"":"""&amp;SUBSTITUTE(F64,CHAR(34),"\"&amp;CHAR(34))&amp;"""}")</x:f>
      </x:c>
      <x:c r="H64" s="80" t="n">
        <x:f>IF($C64="","",COUNTIFS(ScopeRulesTbl[Use?],"Yes",ScopeRulesTbl[Location ID],$C64))</x:f>
        <x:v>0</x:v>
      </x:c>
      <x:c r="I64" s="80" t="str">
        <x:f>IF($A64&lt;&gt;"Yes","Disabled",IF($B64="","Missing NOC ID",IF(COUNTIF(NOCsTbl[NOC ID],$B64)=0,"NOC not found",IF($C64="","Missing Location ID",IF(COUNTIF(LocationsTbl[Location ID],$C64)&gt;1,"Duplicate Location ID",IF($D64="","Missing display name",IF($H64=0,"No enabled rules",IF($F64="","No usable scope","OK"))))))))</x:f>
        <x:v>Disabled</x:v>
      </x:c>
      <x:c r="J64" s="79" t="str"/>
      <x:c r="K64" s="118" t="str">
        <x:f>IF(AND(A64="Yes",I64="OK",F64&lt;&gt;""),B64,"")</x:f>
      </x:c>
      <x:c r="L64" s="118" t="str">
        <x:f>IF(K64="","",IF(COUNTIF($K$5:K63,K64)=0,F64,XLOOKUP(K64,$K$5:K63,$L$5:L63,"",0,-1)&amp;" OR "&amp;F64))</x:f>
      </x:c>
      <x:c r="M64" s="24" t="str">
        <x:f>IF(AND($A64="Yes",$B64&lt;&gt;""),COUNTIFS($B$5:$B64,$B64,$A$5:$A64,"Yes"),"")</x:f>
      </x:c>
      <x:c r="N64" s="24" t="str">
        <x:f>IF(OR($A64&lt;&gt;"Yes",$B64="",$D64=""),"",$B64&amp;"|"&amp;$D64)</x:f>
      </x:c>
      <x:c r="O64" s="24" t="str">
        <x:f>IF($M64="","",$B64&amp;"|"&amp;TEXT($M64,"000"))</x:f>
      </x:c>
      <x:c r="P64" s="24" t="str">
        <x:f>IF(Generator!$E$6="","",IFERROR(INDEX($D$5:$D$64,MATCH(Generator!$E$6&amp;"|060",$O$5:$O$64,0)),""))</x:f>
        <x:v>Current Draft Scope</x:v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sqref="B5:B64">
      <x:formula1>NOCs!$B$5:$B$44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881121f96647f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Use Field Match for host/IP/prefix rules; use Raw SPL only for exceptions. The table expands as needed and replaces fixed Host/IP slots.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Rule Key (helper)</x:v>
      </x:c>
      <x:c r="K4" s="120" t="str">
        <x:v>Scope Accumulator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79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ID",IF(COUNTIF(LocationsTbl[Location ID],$B5)=0,"Location not found",IF($C5="","Missing Rule Type",IF(AND($C5="Field Match",$D5=""),"Missing field",IF($F5="","Missing match/expression",IF($G5="","Invalid rule","OK")))))))</x:f>
        <x:v>OK</x:v>
      </x:c>
      <x:c r="I5" s="79" t="str">
        <x:v>Prior V3 sample</x:v>
      </x:c>
      <x:c r="J5" s="118" t="str">
        <x:f>IF(AND(A5="Yes",H5="OK"),B5,"")</x:f>
        <x:v>LOC_CURRENT</x:v>
      </x:c>
      <x:c r="K5" s="118" t="str">
        <x:f>IF(J5="","",G5)</x:f>
        <x:v>host="syr*"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79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ID",IF(COUNTIF(LocationsTbl[Location ID],$B6)=0,"Location not found",IF($C6="","Missing Rule Type",IF(AND($C6="Field Match",$D6=""),"Missing field",IF($F6="","Missing match/expression",IF($G6="","Invalid rule","OK")))))))</x:f>
        <x:v>OK</x:v>
      </x:c>
      <x:c r="I6" s="79" t="str">
        <x:v>Prior V3 sample</x:v>
      </x:c>
      <x:c r="J6" s="118" t="str">
        <x:f>IF(AND(A6="Yes",H6="OK"),B6,"")</x:f>
        <x:v>LOC_CURRENT</x:v>
      </x:c>
      <x:c r="K6" s="118" t="str">
        <x:f>IF(J6="","",IF(COUNTIF($J$5:J5,J6)=0,G6,XLOOKUP(J6,$J$5:J5,$K$5:K5,"",0,-1)&amp;" OR "&amp;G6))</x:f>
        <x:v>host="syr*" OR host="salep*"</x:v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79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ID",IF(COUNTIF(LocationsTbl[Location ID],$B7)=0,"Location not found",IF($C7="","Missing Rule Type",IF(AND($C7="Field Match",$D7=""),"Missing field",IF($F7="","Missing match/expression",IF($G7="","Invalid rule","OK")))))))</x:f>
        <x:v>OK</x:v>
      </x:c>
      <x:c r="I7" s="79" t="str">
        <x:v>Prior V3 sample</x:v>
      </x:c>
      <x:c r="J7" s="118" t="str">
        <x:f>IF(AND(A7="Yes",H7="OK"),B7,"")</x:f>
        <x:v>LOC_CURRENT</x:v>
      </x:c>
      <x:c r="K7" s="118" t="str">
        <x:f>IF(J7="","",IF(COUNTIF($J$5:J6,J7)=0,G7,XLOOKUP(J7,$J$5:J6,$K$5:K6,"",0,-1)&amp;" OR "&amp;G7))</x:f>
        <x:v>host="syr*" OR host="salep*" OR host="144.219.*"</x:v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79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ID",IF(COUNTIF(LocationsTbl[Location ID],$B8)=0,"Location not found",IF($C8="","Missing Rule Type",IF(AND($C8="Field Match",$D8=""),"Missing field",IF($F8="","Missing match/expression",IF($G8="","Invalid rule","OK")))))))</x:f>
        <x:v>OK</x:v>
      </x:c>
      <x:c r="I8" s="79" t="str">
        <x:v>Prior V3 sample</x:v>
      </x:c>
      <x:c r="J8" s="118" t="str">
        <x:f>IF(AND(A8="Yes",H8="OK"),B8,"")</x:f>
        <x:v>LOC_CURRENT</x:v>
      </x:c>
      <x:c r="K8" s="118" t="str">
        <x:f>IF(J8="","",IF(COUNTIF($J$5:J7,J8)=0,G8,XLOOKUP(J8,$J$5:J7,$K$5:K7,"",0,-1)&amp;" OR "&amp;G8))</x:f>
        <x:v>host="syr*" OR host="salep*" OR host="144.219.*" OR host="144.221.*"</x:v>
      </x:c>
    </x:row>
    <x:row r="9">
      <x:c r="A9" s="79" t="str">
        <x:v>No</x:v>
      </x:c>
      <x:c r="B9" s="79" t="str"/>
      <x:c r="C9" s="79" t="str">
        <x:v>Field Match</x:v>
      </x:c>
      <x:c r="D9" s="79" t="str">
        <x:v>host</x:v>
      </x:c>
      <x:c r="E9" s="79" t="str">
        <x:v>=</x:v>
      </x:c>
      <x:c r="F9" s="79" t="str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ID",IF(COUNTIF(LocationsTbl[Location ID],$B9)=0,"Location not found",IF($C9="","Missing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IF(AND(A9="Yes",H9="OK"),B9,"")</x:f>
      </x:c>
      <x:c r="K9" s="118" t="str">
        <x:f>IF(J9="","",IF(COUNTIF($J$5:J8,J9)=0,G9,XLOOKUP(J9,$J$5:J8,$K$5:K8,"",0,-1)&amp;" OR "&amp;G9))</x:f>
      </x:c>
    </x:row>
    <x:row r="10">
      <x:c r="A10" s="79" t="str">
        <x:v>No</x:v>
      </x:c>
      <x:c r="B10" s="79" t="str"/>
      <x:c r="C10" s="79" t="str">
        <x:v>Field Match</x:v>
      </x:c>
      <x:c r="D10" s="79" t="str">
        <x:v>host</x:v>
      </x:c>
      <x:c r="E10" s="79" t="str">
        <x:v>=</x:v>
      </x:c>
      <x:c r="F10" s="79" t="str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ID",IF(COUNTIF(LocationsTbl[Location ID],$B10)=0,"Location not found",IF($C10="","Missing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IF(AND(A10="Yes",H10="OK"),B10,"")</x:f>
      </x:c>
      <x:c r="K10" s="118" t="str">
        <x:f>IF(J10="","",IF(COUNTIF($J$5:J9,J10)=0,G10,XLOOKUP(J10,$J$5:J9,$K$5:K9,"",0,-1)&amp;" OR "&amp;G10))</x:f>
      </x:c>
    </x:row>
    <x:row r="11">
      <x:c r="A11" s="79" t="str">
        <x:v>No</x:v>
      </x:c>
      <x:c r="B11" s="79" t="str"/>
      <x:c r="C11" s="79" t="str">
        <x:v>Field Match</x:v>
      </x:c>
      <x:c r="D11" s="79" t="str">
        <x:v>host</x:v>
      </x:c>
      <x:c r="E11" s="79" t="str">
        <x:v>=</x:v>
      </x:c>
      <x:c r="F11" s="79" t="str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ID",IF(COUNTIF(LocationsTbl[Location ID],$B11)=0,"Location not found",IF($C11="","Missing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IF(AND(A11="Yes",H11="OK"),B11,"")</x:f>
      </x:c>
      <x:c r="K11" s="118" t="str">
        <x:f>IF(J11="","",IF(COUNTIF($J$5:J10,J11)=0,G11,XLOOKUP(J11,$J$5:J10,$K$5:K10,"",0,-1)&amp;" OR "&amp;G11))</x:f>
      </x:c>
    </x:row>
    <x:row r="12">
      <x:c r="A12" s="79" t="str">
        <x:v>No</x:v>
      </x:c>
      <x:c r="B12" s="79" t="str"/>
      <x:c r="C12" s="79" t="str">
        <x:v>Field Match</x:v>
      </x:c>
      <x:c r="D12" s="79" t="str">
        <x:v>host</x:v>
      </x:c>
      <x:c r="E12" s="79" t="str">
        <x:v>=</x:v>
      </x:c>
      <x:c r="F12" s="79" t="str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ID",IF(COUNTIF(LocationsTbl[Location ID],$B12)=0,"Location not found",IF($C12="","Missing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IF(AND(A12="Yes",H12="OK"),B12,"")</x:f>
      </x:c>
      <x:c r="K12" s="118" t="str">
        <x:f>IF(J12="","",IF(COUNTIF($J$5:J11,J12)=0,G12,XLOOKUP(J12,$J$5:J11,$K$5:K11,"",0,-1)&amp;" OR "&amp;G12))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79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ID",IF(COUNTIF(LocationsTbl[Location ID],$B13)=0,"Location not found",IF($C13="","Missing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IF(AND(A13="Yes",H13="OK"),B13,"")</x:f>
      </x:c>
      <x:c r="K13" s="118" t="str">
        <x:f>IF(J13="","",IF(COUNTIF($J$5:J12,J13)=0,G13,XLOOKUP(J13,$J$5:J12,$K$5:K12,"",0,-1)&amp;" OR "&amp;G13))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79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ID",IF(COUNTIF(LocationsTbl[Location ID],$B14)=0,"Location not found",IF($C14="","Missing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IF(AND(A14="Yes",H14="OK"),B14,"")</x:f>
      </x:c>
      <x:c r="K14" s="118" t="str">
        <x:f>IF(J14="","",IF(COUNTIF($J$5:J13,J14)=0,G14,XLOOKUP(J14,$J$5:J13,$K$5:K13,"",0,-1)&amp;" OR "&amp;G14))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79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ID",IF(COUNTIF(LocationsTbl[Location ID],$B15)=0,"Location not found",IF($C15="","Missing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IF(AND(A15="Yes",H15="OK"),B15,"")</x:f>
      </x:c>
      <x:c r="K15" s="118" t="str">
        <x:f>IF(J15="","",IF(COUNTIF($J$5:J14,J15)=0,G15,XLOOKUP(J15,$J$5:J14,$K$5:K14,"",0,-1)&amp;" OR "&amp;G15))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79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ID",IF(COUNTIF(LocationsTbl[Location ID],$B16)=0,"Location not found",IF($C16="","Missing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IF(AND(A16="Yes",H16="OK"),B16,"")</x:f>
      </x:c>
      <x:c r="K16" s="118" t="str">
        <x:f>IF(J16="","",IF(COUNTIF($J$5:J15,J16)=0,G16,XLOOKUP(J16,$J$5:J15,$K$5:K15,"",0,-1)&amp;" OR "&amp;G16))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79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ID",IF(COUNTIF(LocationsTbl[Location ID],$B17)=0,"Location not found",IF($C17="","Missing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IF(AND(A17="Yes",H17="OK"),B17,"")</x:f>
      </x:c>
      <x:c r="K17" s="118" t="str">
        <x:f>IF(J17="","",IF(COUNTIF($J$5:J16,J17)=0,G17,XLOOKUP(J17,$J$5:J16,$K$5:K16,"",0,-1)&amp;" OR "&amp;G17))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79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ID",IF(COUNTIF(LocationsTbl[Location ID],$B18)=0,"Location not found",IF($C18="","Missing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IF(AND(A18="Yes",H18="OK"),B18,"")</x:f>
      </x:c>
      <x:c r="K18" s="118" t="str">
        <x:f>IF(J18="","",IF(COUNTIF($J$5:J17,J18)=0,G18,XLOOKUP(J18,$J$5:J17,$K$5:K17,"",0,-1)&amp;" OR "&amp;G18))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79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ID",IF(COUNTIF(LocationsTbl[Location ID],$B19)=0,"Location not found",IF($C19="","Missing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IF(AND(A19="Yes",H19="OK"),B19,"")</x:f>
      </x:c>
      <x:c r="K19" s="118" t="str">
        <x:f>IF(J19="","",IF(COUNTIF($J$5:J18,J19)=0,G19,XLOOKUP(J19,$J$5:J18,$K$5:K18,"",0,-1)&amp;" OR "&amp;G19))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79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ID",IF(COUNTIF(LocationsTbl[Location ID],$B20)=0,"Location not found",IF($C20="","Missing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IF(AND(A20="Yes",H20="OK"),B20,"")</x:f>
      </x:c>
      <x:c r="K20" s="118" t="str">
        <x:f>IF(J20="","",IF(COUNTIF($J$5:J19,J20)=0,G20,XLOOKUP(J20,$J$5:J19,$K$5:K19,"",0,-1)&amp;" OR "&amp;G20))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79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ID",IF(COUNTIF(LocationsTbl[Location ID],$B21)=0,"Location not found",IF($C21="","Missing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IF(AND(A21="Yes",H21="OK"),B21,"")</x:f>
      </x:c>
      <x:c r="K21" s="118" t="str">
        <x:f>IF(J21="","",IF(COUNTIF($J$5:J20,J21)=0,G21,XLOOKUP(J21,$J$5:J20,$K$5:K20,"",0,-1)&amp;" OR "&amp;G21))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79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ID",IF(COUNTIF(LocationsTbl[Location ID],$B22)=0,"Location not found",IF($C22="","Missing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IF(AND(A22="Yes",H22="OK"),B22,"")</x:f>
      </x:c>
      <x:c r="K22" s="118" t="str">
        <x:f>IF(J22="","",IF(COUNTIF($J$5:J21,J22)=0,G22,XLOOKUP(J22,$J$5:J21,$K$5:K21,"",0,-1)&amp;" OR "&amp;G22))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79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ID",IF(COUNTIF(LocationsTbl[Location ID],$B23)=0,"Location not found",IF($C23="","Missing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IF(AND(A23="Yes",H23="OK"),B23,"")</x:f>
      </x:c>
      <x:c r="K23" s="118" t="str">
        <x:f>IF(J23="","",IF(COUNTIF($J$5:J22,J23)=0,G23,XLOOKUP(J23,$J$5:J22,$K$5:K22,"",0,-1)&amp;" OR "&amp;G23))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79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ID",IF(COUNTIF(LocationsTbl[Location ID],$B24)=0,"Location not found",IF($C24="","Missing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IF(AND(A24="Yes",H24="OK"),B24,"")</x:f>
      </x:c>
      <x:c r="K24" s="118" t="str">
        <x:f>IF(J24="","",IF(COUNTIF($J$5:J23,J24)=0,G24,XLOOKUP(J24,$J$5:J23,$K$5:K23,"",0,-1)&amp;" OR "&amp;G24))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79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ID",IF(COUNTIF(LocationsTbl[Location ID],$B25)=0,"Location not found",IF($C25="","Missing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IF(AND(A25="Yes",H25="OK"),B25,"")</x:f>
      </x:c>
      <x:c r="K25" s="118" t="str">
        <x:f>IF(J25="","",IF(COUNTIF($J$5:J24,J25)=0,G25,XLOOKUP(J25,$J$5:J24,$K$5:K24,"",0,-1)&amp;" OR "&amp;G25))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79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ID",IF(COUNTIF(LocationsTbl[Location ID],$B26)=0,"Location not found",IF($C26="","Missing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IF(AND(A26="Yes",H26="OK"),B26,"")</x:f>
      </x:c>
      <x:c r="K26" s="118" t="str">
        <x:f>IF(J26="","",IF(COUNTIF($J$5:J25,J26)=0,G26,XLOOKUP(J26,$J$5:J25,$K$5:K25,"",0,-1)&amp;" OR "&amp;G26))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79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ID",IF(COUNTIF(LocationsTbl[Location ID],$B27)=0,"Location not found",IF($C27="","Missing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IF(AND(A27="Yes",H27="OK"),B27,"")</x:f>
      </x:c>
      <x:c r="K27" s="118" t="str">
        <x:f>IF(J27="","",IF(COUNTIF($J$5:J26,J27)=0,G27,XLOOKUP(J27,$J$5:J26,$K$5:K26,"",0,-1)&amp;" OR "&amp;G27))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79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ID",IF(COUNTIF(LocationsTbl[Location ID],$B28)=0,"Location not found",IF($C28="","Missing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IF(AND(A28="Yes",H28="OK"),B28,"")</x:f>
      </x:c>
      <x:c r="K28" s="118" t="str">
        <x:f>IF(J28="","",IF(COUNTIF($J$5:J27,J28)=0,G28,XLOOKUP(J28,$J$5:J27,$K$5:K27,"",0,-1)&amp;" OR "&amp;G28))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79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ID",IF(COUNTIF(LocationsTbl[Location ID],$B29)=0,"Location not found",IF($C29="","Missing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IF(AND(A29="Yes",H29="OK"),B29,"")</x:f>
      </x:c>
      <x:c r="K29" s="118" t="str">
        <x:f>IF(J29="","",IF(COUNTIF($J$5:J28,J29)=0,G29,XLOOKUP(J29,$J$5:J28,$K$5:K28,"",0,-1)&amp;" OR "&amp;G29))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79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ID",IF(COUNTIF(LocationsTbl[Location ID],$B30)=0,"Location not found",IF($C30="","Missing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IF(AND(A30="Yes",H30="OK"),B30,"")</x:f>
      </x:c>
      <x:c r="K30" s="118" t="str">
        <x:f>IF(J30="","",IF(COUNTIF($J$5:J29,J30)=0,G30,XLOOKUP(J30,$J$5:J29,$K$5:K29,"",0,-1)&amp;" OR "&amp;G30))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79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ID",IF(COUNTIF(LocationsTbl[Location ID],$B31)=0,"Location not found",IF($C31="","Missing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IF(AND(A31="Yes",H31="OK"),B31,"")</x:f>
      </x:c>
      <x:c r="K31" s="118" t="str">
        <x:f>IF(J31="","",IF(COUNTIF($J$5:J30,J31)=0,G31,XLOOKUP(J31,$J$5:J30,$K$5:K30,"",0,-1)&amp;" OR "&amp;G31))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79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ID",IF(COUNTIF(LocationsTbl[Location ID],$B32)=0,"Location not found",IF($C32="","Missing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IF(AND(A32="Yes",H32="OK"),B32,"")</x:f>
      </x:c>
      <x:c r="K32" s="118" t="str">
        <x:f>IF(J32="","",IF(COUNTIF($J$5:J31,J32)=0,G32,XLOOKUP(J32,$J$5:J31,$K$5:K31,"",0,-1)&amp;" OR "&amp;G32))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79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ID",IF(COUNTIF(LocationsTbl[Location ID],$B33)=0,"Location not found",IF($C33="","Missing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IF(AND(A33="Yes",H33="OK"),B33,"")</x:f>
      </x:c>
      <x:c r="K33" s="118" t="str">
        <x:f>IF(J33="","",IF(COUNTIF($J$5:J32,J33)=0,G33,XLOOKUP(J33,$J$5:J32,$K$5:K32,"",0,-1)&amp;" OR "&amp;G33))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79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ID",IF(COUNTIF(LocationsTbl[Location ID],$B34)=0,"Location not found",IF($C34="","Missing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IF(AND(A34="Yes",H34="OK"),B34,"")</x:f>
      </x:c>
      <x:c r="K34" s="118" t="str">
        <x:f>IF(J34="","",IF(COUNTIF($J$5:J33,J34)=0,G34,XLOOKUP(J34,$J$5:J33,$K$5:K33,"",0,-1)&amp;" OR "&amp;G34))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79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ID",IF(COUNTIF(LocationsTbl[Location ID],$B35)=0,"Location not found",IF($C35="","Missing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IF(AND(A35="Yes",H35="OK"),B35,"")</x:f>
      </x:c>
      <x:c r="K35" s="118" t="str">
        <x:f>IF(J35="","",IF(COUNTIF($J$5:J34,J35)=0,G35,XLOOKUP(J35,$J$5:J34,$K$5:K34,"",0,-1)&amp;" OR "&amp;G35))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79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ID",IF(COUNTIF(LocationsTbl[Location ID],$B36)=0,"Location not found",IF($C36="","Missing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IF(AND(A36="Yes",H36="OK"),B36,"")</x:f>
      </x:c>
      <x:c r="K36" s="118" t="str">
        <x:f>IF(J36="","",IF(COUNTIF($J$5:J35,J36)=0,G36,XLOOKUP(J36,$J$5:J35,$K$5:K35,"",0,-1)&amp;" OR "&amp;G36))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79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ID",IF(COUNTIF(LocationsTbl[Location ID],$B37)=0,"Location not found",IF($C37="","Missing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IF(AND(A37="Yes",H37="OK"),B37,"")</x:f>
      </x:c>
      <x:c r="K37" s="118" t="str">
        <x:f>IF(J37="","",IF(COUNTIF($J$5:J36,J37)=0,G37,XLOOKUP(J37,$J$5:J36,$K$5:K36,"",0,-1)&amp;" OR "&amp;G37))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79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ID",IF(COUNTIF(LocationsTbl[Location ID],$B38)=0,"Location not found",IF($C38="","Missing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IF(AND(A38="Yes",H38="OK"),B38,"")</x:f>
      </x:c>
      <x:c r="K38" s="118" t="str">
        <x:f>IF(J38="","",IF(COUNTIF($J$5:J37,J38)=0,G38,XLOOKUP(J38,$J$5:J37,$K$5:K37,"",0,-1)&amp;" OR "&amp;G38))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79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ID",IF(COUNTIF(LocationsTbl[Location ID],$B39)=0,"Location not found",IF($C39="","Missing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IF(AND(A39="Yes",H39="OK"),B39,"")</x:f>
      </x:c>
      <x:c r="K39" s="118" t="str">
        <x:f>IF(J39="","",IF(COUNTIF($J$5:J38,J39)=0,G39,XLOOKUP(J39,$J$5:J38,$K$5:K38,"",0,-1)&amp;" OR "&amp;G39))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79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ID",IF(COUNTIF(LocationsTbl[Location ID],$B40)=0,"Location not found",IF($C40="","Missing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IF(AND(A40="Yes",H40="OK"),B40,"")</x:f>
      </x:c>
      <x:c r="K40" s="118" t="str">
        <x:f>IF(J40="","",IF(COUNTIF($J$5:J39,J40)=0,G40,XLOOKUP(J40,$J$5:J39,$K$5:K39,"",0,-1)&amp;" OR "&amp;G40))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79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ID",IF(COUNTIF(LocationsTbl[Location ID],$B41)=0,"Location not found",IF($C41="","Missing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IF(AND(A41="Yes",H41="OK"),B41,"")</x:f>
      </x:c>
      <x:c r="K41" s="118" t="str">
        <x:f>IF(J41="","",IF(COUNTIF($J$5:J40,J41)=0,G41,XLOOKUP(J41,$J$5:J40,$K$5:K40,"",0,-1)&amp;" OR "&amp;G41))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79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ID",IF(COUNTIF(LocationsTbl[Location ID],$B42)=0,"Location not found",IF($C42="","Missing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IF(AND(A42="Yes",H42="OK"),B42,"")</x:f>
      </x:c>
      <x:c r="K42" s="118" t="str">
        <x:f>IF(J42="","",IF(COUNTIF($J$5:J41,J42)=0,G42,XLOOKUP(J42,$J$5:J41,$K$5:K41,"",0,-1)&amp;" OR "&amp;G42))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79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ID",IF(COUNTIF(LocationsTbl[Location ID],$B43)=0,"Location not found",IF($C43="","Missing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IF(AND(A43="Yes",H43="OK"),B43,"")</x:f>
      </x:c>
      <x:c r="K43" s="118" t="str">
        <x:f>IF(J43="","",IF(COUNTIF($J$5:J42,J43)=0,G43,XLOOKUP(J43,$J$5:J42,$K$5:K42,"",0,-1)&amp;" OR "&amp;G43))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79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ID",IF(COUNTIF(LocationsTbl[Location ID],$B44)=0,"Location not found",IF($C44="","Missing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IF(AND(A44="Yes",H44="OK"),B44,"")</x:f>
      </x:c>
      <x:c r="K44" s="118" t="str">
        <x:f>IF(J44="","",IF(COUNTIF($J$5:J43,J44)=0,G44,XLOOKUP(J44,$J$5:J43,$K$5:K43,"",0,-1)&amp;" OR "&amp;G44))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79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ID",IF(COUNTIF(LocationsTbl[Location ID],$B45)=0,"Location not found",IF($C45="","Missing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IF(AND(A45="Yes",H45="OK"),B45,"")</x:f>
      </x:c>
      <x:c r="K45" s="118" t="str">
        <x:f>IF(J45="","",IF(COUNTIF($J$5:J44,J45)=0,G45,XLOOKUP(J45,$J$5:J44,$K$5:K44,"",0,-1)&amp;" OR "&amp;G45))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79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ID",IF(COUNTIF(LocationsTbl[Location ID],$B46)=0,"Location not found",IF($C46="","Missing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IF(AND(A46="Yes",H46="OK"),B46,"")</x:f>
      </x:c>
      <x:c r="K46" s="118" t="str">
        <x:f>IF(J46="","",IF(COUNTIF($J$5:J45,J46)=0,G46,XLOOKUP(J46,$J$5:J45,$K$5:K45,"",0,-1)&amp;" OR "&amp;G46))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79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ID",IF(COUNTIF(LocationsTbl[Location ID],$B47)=0,"Location not found",IF($C47="","Missing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IF(AND(A47="Yes",H47="OK"),B47,"")</x:f>
      </x:c>
      <x:c r="K47" s="118" t="str">
        <x:f>IF(J47="","",IF(COUNTIF($J$5:J46,J47)=0,G47,XLOOKUP(J47,$J$5:J46,$K$5:K46,"",0,-1)&amp;" OR "&amp;G47))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79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ID",IF(COUNTIF(LocationsTbl[Location ID],$B48)=0,"Location not found",IF($C48="","Missing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IF(AND(A48="Yes",H48="OK"),B48,"")</x:f>
      </x:c>
      <x:c r="K48" s="118" t="str">
        <x:f>IF(J48="","",IF(COUNTIF($J$5:J47,J48)=0,G48,XLOOKUP(J48,$J$5:J47,$K$5:K47,"",0,-1)&amp;" OR "&amp;G48))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79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ID",IF(COUNTIF(LocationsTbl[Location ID],$B49)=0,"Location not found",IF($C49="","Missing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IF(AND(A49="Yes",H49="OK"),B49,"")</x:f>
      </x:c>
      <x:c r="K49" s="118" t="str">
        <x:f>IF(J49="","",IF(COUNTIF($J$5:J48,J49)=0,G49,XLOOKUP(J49,$J$5:J48,$K$5:K48,"",0,-1)&amp;" OR "&amp;G49))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79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ID",IF(COUNTIF(LocationsTbl[Location ID],$B50)=0,"Location not found",IF($C50="","Missing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IF(AND(A50="Yes",H50="OK"),B50,"")</x:f>
      </x:c>
      <x:c r="K50" s="118" t="str">
        <x:f>IF(J50="","",IF(COUNTIF($J$5:J49,J50)=0,G50,XLOOKUP(J50,$J$5:J49,$K$5:K49,"",0,-1)&amp;" OR "&amp;G50))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79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ID",IF(COUNTIF(LocationsTbl[Location ID],$B51)=0,"Location not found",IF($C51="","Missing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IF(AND(A51="Yes",H51="OK"),B51,"")</x:f>
      </x:c>
      <x:c r="K51" s="118" t="str">
        <x:f>IF(J51="","",IF(COUNTIF($J$5:J50,J51)=0,G51,XLOOKUP(J51,$J$5:J50,$K$5:K50,"",0,-1)&amp;" OR "&amp;G51))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79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ID",IF(COUNTIF(LocationsTbl[Location ID],$B52)=0,"Location not found",IF($C52="","Missing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IF(AND(A52="Yes",H52="OK"),B52,"")</x:f>
      </x:c>
      <x:c r="K52" s="118" t="str">
        <x:f>IF(J52="","",IF(COUNTIF($J$5:J51,J52)=0,G52,XLOOKUP(J52,$J$5:J51,$K$5:K51,"",0,-1)&amp;" OR "&amp;G52))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79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ID",IF(COUNTIF(LocationsTbl[Location ID],$B53)=0,"Location not found",IF($C53="","Missing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IF(AND(A53="Yes",H53="OK"),B53,"")</x:f>
      </x:c>
      <x:c r="K53" s="118" t="str">
        <x:f>IF(J53="","",IF(COUNTIF($J$5:J52,J53)=0,G53,XLOOKUP(J53,$J$5:J52,$K$5:K52,"",0,-1)&amp;" OR "&amp;G53))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79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ID",IF(COUNTIF(LocationsTbl[Location ID],$B54)=0,"Location not found",IF($C54="","Missing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IF(AND(A54="Yes",H54="OK"),B54,"")</x:f>
      </x:c>
      <x:c r="K54" s="118" t="str">
        <x:f>IF(J54="","",IF(COUNTIF($J$5:J53,J54)=0,G54,XLOOKUP(J54,$J$5:J53,$K$5:K53,"",0,-1)&amp;" OR "&amp;G54))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79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ID",IF(COUNTIF(LocationsTbl[Location ID],$B55)=0,"Location not found",IF($C55="","Missing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IF(AND(A55="Yes",H55="OK"),B55,"")</x:f>
      </x:c>
      <x:c r="K55" s="118" t="str">
        <x:f>IF(J55="","",IF(COUNTIF($J$5:J54,J55)=0,G55,XLOOKUP(J55,$J$5:J54,$K$5:K54,"",0,-1)&amp;" OR "&amp;G55))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79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ID",IF(COUNTIF(LocationsTbl[Location ID],$B56)=0,"Location not found",IF($C56="","Missing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IF(AND(A56="Yes",H56="OK"),B56,"")</x:f>
      </x:c>
      <x:c r="K56" s="118" t="str">
        <x:f>IF(J56="","",IF(COUNTIF($J$5:J55,J56)=0,G56,XLOOKUP(J56,$J$5:J55,$K$5:K55,"",0,-1)&amp;" OR "&amp;G56))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79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ID",IF(COUNTIF(LocationsTbl[Location ID],$B57)=0,"Location not found",IF($C57="","Missing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IF(AND(A57="Yes",H57="OK"),B57,"")</x:f>
      </x:c>
      <x:c r="K57" s="118" t="str">
        <x:f>IF(J57="","",IF(COUNTIF($J$5:J56,J57)=0,G57,XLOOKUP(J57,$J$5:J56,$K$5:K56,"",0,-1)&amp;" OR "&amp;G57))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79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ID",IF(COUNTIF(LocationsTbl[Location ID],$B58)=0,"Location not found",IF($C58="","Missing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IF(AND(A58="Yes",H58="OK"),B58,"")</x:f>
      </x:c>
      <x:c r="K58" s="118" t="str">
        <x:f>IF(J58="","",IF(COUNTIF($J$5:J57,J58)=0,G58,XLOOKUP(J58,$J$5:J57,$K$5:K57,"",0,-1)&amp;" OR "&amp;G58))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79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ID",IF(COUNTIF(LocationsTbl[Location ID],$B59)=0,"Location not found",IF($C59="","Missing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IF(AND(A59="Yes",H59="OK"),B59,"")</x:f>
      </x:c>
      <x:c r="K59" s="118" t="str">
        <x:f>IF(J59="","",IF(COUNTIF($J$5:J58,J59)=0,G59,XLOOKUP(J59,$J$5:J58,$K$5:K58,"",0,-1)&amp;" OR "&amp;G59))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79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ID",IF(COUNTIF(LocationsTbl[Location ID],$B60)=0,"Location not found",IF($C60="","Missing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IF(AND(A60="Yes",H60="OK"),B60,"")</x:f>
      </x:c>
      <x:c r="K60" s="118" t="str">
        <x:f>IF(J60="","",IF(COUNTIF($J$5:J59,J60)=0,G60,XLOOKUP(J60,$J$5:J59,$K$5:K59,"",0,-1)&amp;" OR "&amp;G60))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79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ID",IF(COUNTIF(LocationsTbl[Location ID],$B61)=0,"Location not found",IF($C61="","Missing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IF(AND(A61="Yes",H61="OK"),B61,"")</x:f>
      </x:c>
      <x:c r="K61" s="118" t="str">
        <x:f>IF(J61="","",IF(COUNTIF($J$5:J60,J61)=0,G61,XLOOKUP(J61,$J$5:J60,$K$5:K60,"",0,-1)&amp;" OR "&amp;G61))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79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ID",IF(COUNTIF(LocationsTbl[Location ID],$B62)=0,"Location not found",IF($C62="","Missing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IF(AND(A62="Yes",H62="OK"),B62,"")</x:f>
      </x:c>
      <x:c r="K62" s="118" t="str">
        <x:f>IF(J62="","",IF(COUNTIF($J$5:J61,J62)=0,G62,XLOOKUP(J62,$J$5:J61,$K$5:K61,"",0,-1)&amp;" OR "&amp;G62))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79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ID",IF(COUNTIF(LocationsTbl[Location ID],$B63)=0,"Location not found",IF($C63="","Missing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IF(AND(A63="Yes",H63="OK"),B63,"")</x:f>
      </x:c>
      <x:c r="K63" s="118" t="str">
        <x:f>IF(J63="","",IF(COUNTIF($J$5:J62,J63)=0,G63,XLOOKUP(J63,$J$5:J62,$K$5:K62,"",0,-1)&amp;" OR "&amp;G63))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79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ID",IF(COUNTIF(LocationsTbl[Location ID],$B64)=0,"Location not found",IF($C64="","Missing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IF(AND(A64="Yes",H64="OK"),B64,"")</x:f>
      </x:c>
      <x:c r="K64" s="118" t="str">
        <x:f>IF(J64="","",IF(COUNTIF($J$5:J63,J64)=0,G64,XLOOKUP(J64,$J$5:J63,$K$5:K63,"",0,-1)&amp;" OR "&amp;G64))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79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ID",IF(COUNTIF(LocationsTbl[Location ID],$B65)=0,"Location not found",IF($C65="","Missing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IF(AND(A65="Yes",H65="OK"),B65,"")</x:f>
      </x:c>
      <x:c r="K65" s="118" t="str">
        <x:f>IF(J65="","",IF(COUNTIF($J$5:J64,J65)=0,G65,XLOOKUP(J65,$J$5:J64,$K$5:K64,"",0,-1)&amp;" OR "&amp;G65))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79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ID",IF(COUNTIF(LocationsTbl[Location ID],$B66)=0,"Location not found",IF($C66="","Missing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IF(AND(A66="Yes",H66="OK"),B66,"")</x:f>
      </x:c>
      <x:c r="K66" s="118" t="str">
        <x:f>IF(J66="","",IF(COUNTIF($J$5:J65,J66)=0,G66,XLOOKUP(J66,$J$5:J65,$K$5:K65,"",0,-1)&amp;" OR "&amp;G66))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79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ID",IF(COUNTIF(LocationsTbl[Location ID],$B67)=0,"Location not found",IF($C67="","Missing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IF(AND(A67="Yes",H67="OK"),B67,"")</x:f>
      </x:c>
      <x:c r="K67" s="118" t="str">
        <x:f>IF(J67="","",IF(COUNTIF($J$5:J66,J67)=0,G67,XLOOKUP(J67,$J$5:J66,$K$5:K66,"",0,-1)&amp;" OR "&amp;G67))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79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ID",IF(COUNTIF(LocationsTbl[Location ID],$B68)=0,"Location not found",IF($C68="","Missing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IF(AND(A68="Yes",H68="OK"),B68,"")</x:f>
      </x:c>
      <x:c r="K68" s="118" t="str">
        <x:f>IF(J68="","",IF(COUNTIF($J$5:J67,J68)=0,G68,XLOOKUP(J68,$J$5:J67,$K$5:K67,"",0,-1)&amp;" OR "&amp;G68))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79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ID",IF(COUNTIF(LocationsTbl[Location ID],$B69)=0,"Location not found",IF($C69="","Missing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IF(AND(A69="Yes",H69="OK"),B69,"")</x:f>
      </x:c>
      <x:c r="K69" s="118" t="str">
        <x:f>IF(J69="","",IF(COUNTIF($J$5:J68,J69)=0,G69,XLOOKUP(J69,$J$5:J68,$K$5:K68,"",0,-1)&amp;" OR "&amp;G69))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79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ID",IF(COUNTIF(LocationsTbl[Location ID],$B70)=0,"Location not found",IF($C70="","Missing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IF(AND(A70="Yes",H70="OK"),B70,"")</x:f>
      </x:c>
      <x:c r="K70" s="118" t="str">
        <x:f>IF(J70="","",IF(COUNTIF($J$5:J69,J70)=0,G70,XLOOKUP(J70,$J$5:J69,$K$5:K69,"",0,-1)&amp;" OR "&amp;G70))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79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ID",IF(COUNTIF(LocationsTbl[Location ID],$B71)=0,"Location not found",IF($C71="","Missing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IF(AND(A71="Yes",H71="OK"),B71,"")</x:f>
      </x:c>
      <x:c r="K71" s="118" t="str">
        <x:f>IF(J71="","",IF(COUNTIF($J$5:J70,J71)=0,G71,XLOOKUP(J71,$J$5:J70,$K$5:K70,"",0,-1)&amp;" OR "&amp;G71))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79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ID",IF(COUNTIF(LocationsTbl[Location ID],$B72)=0,"Location not found",IF($C72="","Missing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IF(AND(A72="Yes",H72="OK"),B72,"")</x:f>
      </x:c>
      <x:c r="K72" s="118" t="str">
        <x:f>IF(J72="","",IF(COUNTIF($J$5:J71,J72)=0,G72,XLOOKUP(J72,$J$5:J71,$K$5:K71,"",0,-1)&amp;" OR "&amp;G72))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79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ID",IF(COUNTIF(LocationsTbl[Location ID],$B73)=0,"Location not found",IF($C73="","Missing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IF(AND(A73="Yes",H73="OK"),B73,"")</x:f>
      </x:c>
      <x:c r="K73" s="118" t="str">
        <x:f>IF(J73="","",IF(COUNTIF($J$5:J72,J73)=0,G73,XLOOKUP(J73,$J$5:J72,$K$5:K72,"",0,-1)&amp;" OR "&amp;G73))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79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ID",IF(COUNTIF(LocationsTbl[Location ID],$B74)=0,"Location not found",IF($C74="","Missing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IF(AND(A74="Yes",H74="OK"),B74,"")</x:f>
      </x:c>
      <x:c r="K74" s="118" t="str">
        <x:f>IF(J74="","",IF(COUNTIF($J$5:J73,J74)=0,G74,XLOOKUP(J74,$J$5:J73,$K$5:K73,"",0,-1)&amp;" OR "&amp;G74))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79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ID",IF(COUNTIF(LocationsTbl[Location ID],$B75)=0,"Location not found",IF($C75="","Missing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IF(AND(A75="Yes",H75="OK"),B75,"")</x:f>
      </x:c>
      <x:c r="K75" s="118" t="str">
        <x:f>IF(J75="","",IF(COUNTIF($J$5:J74,J75)=0,G75,XLOOKUP(J75,$J$5:J74,$K$5:K74,"",0,-1)&amp;" OR "&amp;G75))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79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ID",IF(COUNTIF(LocationsTbl[Location ID],$B76)=0,"Location not found",IF($C76="","Missing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IF(AND(A76="Yes",H76="OK"),B76,"")</x:f>
      </x:c>
      <x:c r="K76" s="118" t="str">
        <x:f>IF(J76="","",IF(COUNTIF($J$5:J75,J76)=0,G76,XLOOKUP(J76,$J$5:J75,$K$5:K75,"",0,-1)&amp;" OR "&amp;G76))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79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ID",IF(COUNTIF(LocationsTbl[Location ID],$B77)=0,"Location not found",IF($C77="","Missing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IF(AND(A77="Yes",H77="OK"),B77,"")</x:f>
      </x:c>
      <x:c r="K77" s="118" t="str">
        <x:f>IF(J77="","",IF(COUNTIF($J$5:J76,J77)=0,G77,XLOOKUP(J77,$J$5:J76,$K$5:K76,"",0,-1)&amp;" OR "&amp;G77))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79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ID",IF(COUNTIF(LocationsTbl[Location ID],$B78)=0,"Location not found",IF($C78="","Missing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IF(AND(A78="Yes",H78="OK"),B78,"")</x:f>
      </x:c>
      <x:c r="K78" s="118" t="str">
        <x:f>IF(J78="","",IF(COUNTIF($J$5:J77,J78)=0,G78,XLOOKUP(J78,$J$5:J77,$K$5:K77,"",0,-1)&amp;" OR "&amp;G78))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79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ID",IF(COUNTIF(LocationsTbl[Location ID],$B79)=0,"Location not found",IF($C79="","Missing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IF(AND(A79="Yes",H79="OK"),B79,"")</x:f>
      </x:c>
      <x:c r="K79" s="118" t="str">
        <x:f>IF(J79="","",IF(COUNTIF($J$5:J78,J79)=0,G79,XLOOKUP(J79,$J$5:J78,$K$5:K78,"",0,-1)&amp;" OR "&amp;G79))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79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ID",IF(COUNTIF(LocationsTbl[Location ID],$B80)=0,"Location not found",IF($C80="","Missing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IF(AND(A80="Yes",H80="OK"),B80,"")</x:f>
      </x:c>
      <x:c r="K80" s="118" t="str">
        <x:f>IF(J80="","",IF(COUNTIF($J$5:J79,J80)=0,G80,XLOOKUP(J80,$J$5:J79,$K$5:K79,"",0,-1)&amp;" OR "&amp;G80))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79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ID",IF(COUNTIF(LocationsTbl[Location ID],$B81)=0,"Location not found",IF($C81="","Missing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IF(AND(A81="Yes",H81="OK"),B81,"")</x:f>
      </x:c>
      <x:c r="K81" s="118" t="str">
        <x:f>IF(J81="","",IF(COUNTIF($J$5:J80,J81)=0,G81,XLOOKUP(J81,$J$5:J80,$K$5:K80,"",0,-1)&amp;" OR "&amp;G81))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79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ID",IF(COUNTIF(LocationsTbl[Location ID],$B82)=0,"Location not found",IF($C82="","Missing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IF(AND(A82="Yes",H82="OK"),B82,"")</x:f>
      </x:c>
      <x:c r="K82" s="118" t="str">
        <x:f>IF(J82="","",IF(COUNTIF($J$5:J81,J82)=0,G82,XLOOKUP(J82,$J$5:J81,$K$5:K81,"",0,-1)&amp;" OR "&amp;G82))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79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ID",IF(COUNTIF(LocationsTbl[Location ID],$B83)=0,"Location not found",IF($C83="","Missing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IF(AND(A83="Yes",H83="OK"),B83,"")</x:f>
      </x:c>
      <x:c r="K83" s="118" t="str">
        <x:f>IF(J83="","",IF(COUNTIF($J$5:J82,J83)=0,G83,XLOOKUP(J83,$J$5:J82,$K$5:K82,"",0,-1)&amp;" OR "&amp;G83))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79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ID",IF(COUNTIF(LocationsTbl[Location ID],$B84)=0,"Location not found",IF($C84="","Missing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IF(AND(A84="Yes",H84="OK"),B84,"")</x:f>
      </x:c>
      <x:c r="K84" s="118" t="str">
        <x:f>IF(J84="","",IF(COUNTIF($J$5:J83,J84)=0,G84,XLOOKUP(J84,$J$5:J83,$K$5:K83,"",0,-1)&amp;" OR "&amp;G84))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79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ID",IF(COUNTIF(LocationsTbl[Location ID],$B85)=0,"Location not found",IF($C85="","Missing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IF(AND(A85="Yes",H85="OK"),B85,"")</x:f>
      </x:c>
      <x:c r="K85" s="118" t="str">
        <x:f>IF(J85="","",IF(COUNTIF($J$5:J84,J85)=0,G85,XLOOKUP(J85,$J$5:J84,$K$5:K84,"",0,-1)&amp;" OR "&amp;G85))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79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ID",IF(COUNTIF(LocationsTbl[Location ID],$B86)=0,"Location not found",IF($C86="","Missing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IF(AND(A86="Yes",H86="OK"),B86,"")</x:f>
      </x:c>
      <x:c r="K86" s="118" t="str">
        <x:f>IF(J86="","",IF(COUNTIF($J$5:J85,J86)=0,G86,XLOOKUP(J86,$J$5:J85,$K$5:K85,"",0,-1)&amp;" OR "&amp;G86))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79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ID",IF(COUNTIF(LocationsTbl[Location ID],$B87)=0,"Location not found",IF($C87="","Missing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IF(AND(A87="Yes",H87="OK"),B87,"")</x:f>
      </x:c>
      <x:c r="K87" s="118" t="str">
        <x:f>IF(J87="","",IF(COUNTIF($J$5:J86,J87)=0,G87,XLOOKUP(J87,$J$5:J86,$K$5:K86,"",0,-1)&amp;" OR "&amp;G87))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79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ID",IF(COUNTIF(LocationsTbl[Location ID],$B88)=0,"Location not found",IF($C88="","Missing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IF(AND(A88="Yes",H88="OK"),B88,"")</x:f>
      </x:c>
      <x:c r="K88" s="118" t="str">
        <x:f>IF(J88="","",IF(COUNTIF($J$5:J87,J88)=0,G88,XLOOKUP(J88,$J$5:J87,$K$5:K87,"",0,-1)&amp;" OR "&amp;G88))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79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ID",IF(COUNTIF(LocationsTbl[Location ID],$B89)=0,"Location not found",IF($C89="","Missing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IF(AND(A89="Yes",H89="OK"),B89,"")</x:f>
      </x:c>
      <x:c r="K89" s="118" t="str">
        <x:f>IF(J89="","",IF(COUNTIF($J$5:J88,J89)=0,G89,XLOOKUP(J89,$J$5:J88,$K$5:K88,"",0,-1)&amp;" OR "&amp;G89))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79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ID",IF(COUNTIF(LocationsTbl[Location ID],$B90)=0,"Location not found",IF($C90="","Missing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IF(AND(A90="Yes",H90="OK"),B90,"")</x:f>
      </x:c>
      <x:c r="K90" s="118" t="str">
        <x:f>IF(J90="","",IF(COUNTIF($J$5:J89,J90)=0,G90,XLOOKUP(J90,$J$5:J89,$K$5:K89,"",0,-1)&amp;" OR "&amp;G90))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79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ID",IF(COUNTIF(LocationsTbl[Location ID],$B91)=0,"Location not found",IF($C91="","Missing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IF(AND(A91="Yes",H91="OK"),B91,"")</x:f>
      </x:c>
      <x:c r="K91" s="118" t="str">
        <x:f>IF(J91="","",IF(COUNTIF($J$5:J90,J91)=0,G91,XLOOKUP(J91,$J$5:J90,$K$5:K90,"",0,-1)&amp;" OR "&amp;G91))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79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ID",IF(COUNTIF(LocationsTbl[Location ID],$B92)=0,"Location not found",IF($C92="","Missing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IF(AND(A92="Yes",H92="OK"),B92,"")</x:f>
      </x:c>
      <x:c r="K92" s="118" t="str">
        <x:f>IF(J92="","",IF(COUNTIF($J$5:J91,J92)=0,G92,XLOOKUP(J92,$J$5:J91,$K$5:K91,"",0,-1)&amp;" OR "&amp;G92))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79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ID",IF(COUNTIF(LocationsTbl[Location ID],$B93)=0,"Location not found",IF($C93="","Missing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IF(AND(A93="Yes",H93="OK"),B93,"")</x:f>
      </x:c>
      <x:c r="K93" s="118" t="str">
        <x:f>IF(J93="","",IF(COUNTIF($J$5:J92,J93)=0,G93,XLOOKUP(J93,$J$5:J92,$K$5:K92,"",0,-1)&amp;" OR "&amp;G93))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79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ID",IF(COUNTIF(LocationsTbl[Location ID],$B94)=0,"Location not found",IF($C94="","Missing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IF(AND(A94="Yes",H94="OK"),B94,"")</x:f>
      </x:c>
      <x:c r="K94" s="118" t="str">
        <x:f>IF(J94="","",IF(COUNTIF($J$5:J93,J94)=0,G94,XLOOKUP(J94,$J$5:J93,$K$5:K93,"",0,-1)&amp;" OR "&amp;G94))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79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ID",IF(COUNTIF(LocationsTbl[Location ID],$B95)=0,"Location not found",IF($C95="","Missing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IF(AND(A95="Yes",H95="OK"),B95,"")</x:f>
      </x:c>
      <x:c r="K95" s="118" t="str">
        <x:f>IF(J95="","",IF(COUNTIF($J$5:J94,J95)=0,G95,XLOOKUP(J95,$J$5:J94,$K$5:K94,"",0,-1)&amp;" OR "&amp;G95))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79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ID",IF(COUNTIF(LocationsTbl[Location ID],$B96)=0,"Location not found",IF($C96="","Missing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IF(AND(A96="Yes",H96="OK"),B96,"")</x:f>
      </x:c>
      <x:c r="K96" s="118" t="str">
        <x:f>IF(J96="","",IF(COUNTIF($J$5:J95,J96)=0,G96,XLOOKUP(J96,$J$5:J95,$K$5:K95,"",0,-1)&amp;" OR "&amp;G96))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79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ID",IF(COUNTIF(LocationsTbl[Location ID],$B97)=0,"Location not found",IF($C97="","Missing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IF(AND(A97="Yes",H97="OK"),B97,"")</x:f>
      </x:c>
      <x:c r="K97" s="118" t="str">
        <x:f>IF(J97="","",IF(COUNTIF($J$5:J96,J97)=0,G97,XLOOKUP(J97,$J$5:J96,$K$5:K96,"",0,-1)&amp;" OR "&amp;G97))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79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ID",IF(COUNTIF(LocationsTbl[Location ID],$B98)=0,"Location not found",IF($C98="","Missing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IF(AND(A98="Yes",H98="OK"),B98,"")</x:f>
      </x:c>
      <x:c r="K98" s="118" t="str">
        <x:f>IF(J98="","",IF(COUNTIF($J$5:J97,J98)=0,G98,XLOOKUP(J98,$J$5:J97,$K$5:K97,"",0,-1)&amp;" OR "&amp;G98))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79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ID",IF(COUNTIF(LocationsTbl[Location ID],$B99)=0,"Location not found",IF($C99="","Missing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IF(AND(A99="Yes",H99="OK"),B99,"")</x:f>
      </x:c>
      <x:c r="K99" s="118" t="str">
        <x:f>IF(J99="","",IF(COUNTIF($J$5:J98,J99)=0,G99,XLOOKUP(J99,$J$5:J98,$K$5:K98,"",0,-1)&amp;" OR "&amp;G99))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79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ID",IF(COUNTIF(LocationsTbl[Location ID],$B100)=0,"Location not found",IF($C100="","Missing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IF(AND(A100="Yes",H100="OK"),B100,"")</x:f>
      </x:c>
      <x:c r="K100" s="118" t="str">
        <x:f>IF(J100="","",IF(COUNTIF($J$5:J99,J100)=0,G100,XLOOKUP(J100,$J$5:J99,$K$5:K99,"",0,-1)&amp;" OR "&amp;G100))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79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ID",IF(COUNTIF(LocationsTbl[Location ID],$B101)=0,"Location not found",IF($C101="","Missing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IF(AND(A101="Yes",H101="OK"),B101,"")</x:f>
      </x:c>
      <x:c r="K101" s="118" t="str">
        <x:f>IF(J101="","",IF(COUNTIF($J$5:J100,J101)=0,G101,XLOOKUP(J101,$J$5:J100,$K$5:K100,"",0,-1)&amp;" OR "&amp;G101))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79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ID",IF(COUNTIF(LocationsTbl[Location ID],$B102)=0,"Location not found",IF($C102="","Missing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IF(AND(A102="Yes",H102="OK"),B102,"")</x:f>
      </x:c>
      <x:c r="K102" s="118" t="str">
        <x:f>IF(J102="","",IF(COUNTIF($J$5:J101,J102)=0,G102,XLOOKUP(J102,$J$5:J101,$K$5:K101,"",0,-1)&amp;" OR "&amp;G102))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79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ID",IF(COUNTIF(LocationsTbl[Location ID],$B103)=0,"Location not found",IF($C103="","Missing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IF(AND(A103="Yes",H103="OK"),B103,"")</x:f>
      </x:c>
      <x:c r="K103" s="118" t="str">
        <x:f>IF(J103="","",IF(COUNTIF($J$5:J102,J103)=0,G103,XLOOKUP(J103,$J$5:J102,$K$5:K102,"",0,-1)&amp;" OR "&amp;G103))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79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ID",IF(COUNTIF(LocationsTbl[Location ID],$B104)=0,"Location not found",IF($C104="","Missing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IF(AND(A104="Yes",H104="OK"),B104,"")</x:f>
      </x:c>
      <x:c r="K104" s="118" t="str">
        <x:f>IF(J104="","",IF(COUNTIF($J$5:J103,J104)=0,G104,XLOOKUP(J104,$J$5:J103,$K$5:K103,"",0,-1)&amp;" OR "&amp;G104))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sqref="B5:B104">
      <x:formula1>Locations!$C$5:$C$64</x:formula1>
    </x:dataValidation>
    <x:dataValidation type="list" sqref="C5:C104">
      <x:formula1>"Field Match,Raw SPL"</x:formula1>
    </x:dataValidation>
    <x:dataValidation type="list" sqref="E5:E104">
      <x:formula1>"=,!="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1552fb877042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Formula-driven export for Dashboard Studio inputs. Rows 5–124 reserve 120 NOCs; rows 125–724 reserve 600 Locations. Blank rows are intentional and are ignored by the supplied input SPL. If you ever exceed those counts, copy the final formula rows downward.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IF(AND(NOCs!A5="Yes",NOCs!I5="OK"),NOCs!B5,"")</x:f>
        <x:v>NOC_CURRENT</x:v>
      </x:c>
      <x:c r="B5" s="127" t="str">
        <x:f>IF($A5="","",NOCs!C5)</x:f>
        <x:v>Current / Sample NOC</x:v>
      </x:c>
      <x:c r="C5" s="127" t="str">
        <x:f>IF($A5="","","__ALL__")</x:f>
        <x:v>__ALL__</x:v>
      </x:c>
      <x:c r="D5" s="127" t="str">
        <x:f>IF($A5="","","All Locations")</x:f>
        <x:v>All Locations</x:v>
      </x:c>
      <x:c r="E5" s="127" t="str">
        <x:f>IF($A5="","",NOCs!E5)</x:f>
        <x:v>((host="syr*" OR host="salep*" OR host="144.219.*" OR host="144.221.*"))</x:v>
      </x:c>
      <x:c r="F5" s="127" t="n">
        <x:f>IF($A5="","",0)</x:f>
        <x:v>0</x:v>
      </x:c>
      <x:c r="G5" s="127" t="str">
        <x:f>IF($A5="","","ALL")</x:f>
        <x:v>ALL</x:v>
      </x:c>
      <x:c r="H5" s="127" t="str">
        <x:f>IF($A5="","","OK")</x:f>
        <x:v>OK</x:v>
      </x:c>
    </x:row>
    <x:row r="6">
      <x:c r="A6" s="127" t="str">
        <x:f>IF(AND(NOCs!A6="Yes",NOCs!I6="OK"),NOCs!B6,"")</x:f>
      </x:c>
      <x:c r="B6" s="127" t="str">
        <x:f>IF($A6="","",NOCs!C6)</x:f>
      </x:c>
      <x:c r="C6" s="127" t="str">
        <x:f>IF($A6="","","__ALL__")</x:f>
      </x:c>
      <x:c r="D6" s="127" t="str">
        <x:f>IF($A6="","","All Locations")</x:f>
      </x:c>
      <x:c r="E6" s="127" t="str">
        <x:f>IF($A6="","",NOCs!E6)</x:f>
      </x:c>
      <x:c r="F6" s="127" t="str">
        <x:f>IF($A6="","",0)</x:f>
      </x:c>
      <x:c r="G6" s="127" t="str">
        <x:f>IF($A6="","","ALL")</x:f>
      </x:c>
      <x:c r="H6" s="127" t="str">
        <x:f>IF($A6="","","OK")</x:f>
      </x:c>
    </x:row>
    <x:row r="7">
      <x:c r="A7" s="127" t="str">
        <x:f>IF(AND(NOCs!A7="Yes",NOCs!I7="OK"),NOCs!B7,"")</x:f>
      </x:c>
      <x:c r="B7" s="127" t="str">
        <x:f>IF($A7="","",NOCs!C7)</x:f>
      </x:c>
      <x:c r="C7" s="127" t="str">
        <x:f>IF($A7="","","__ALL__")</x:f>
      </x:c>
      <x:c r="D7" s="127" t="str">
        <x:f>IF($A7="","","All Locations")</x:f>
      </x:c>
      <x:c r="E7" s="127" t="str">
        <x:f>IF($A7="","",NOCs!E7)</x:f>
      </x:c>
      <x:c r="F7" s="127" t="str">
        <x:f>IF($A7="","",0)</x:f>
      </x:c>
      <x:c r="G7" s="127" t="str">
        <x:f>IF($A7="","","ALL")</x:f>
      </x:c>
      <x:c r="H7" s="127" t="str">
        <x:f>IF($A7="","","OK")</x:f>
      </x:c>
    </x:row>
    <x:row r="8">
      <x:c r="A8" s="127" t="str">
        <x:f>IF(AND(NOCs!A8="Yes",NOCs!I8="OK"),NOCs!B8,"")</x:f>
      </x:c>
      <x:c r="B8" s="127" t="str">
        <x:f>IF($A8="","",NOCs!C8)</x:f>
      </x:c>
      <x:c r="C8" s="127" t="str">
        <x:f>IF($A8="","","__ALL__")</x:f>
      </x:c>
      <x:c r="D8" s="127" t="str">
        <x:f>IF($A8="","","All Locations")</x:f>
      </x:c>
      <x:c r="E8" s="127" t="str">
        <x:f>IF($A8="","",NOCs!E8)</x:f>
      </x:c>
      <x:c r="F8" s="127" t="str">
        <x:f>IF($A8="","",0)</x:f>
      </x:c>
      <x:c r="G8" s="127" t="str">
        <x:f>IF($A8="","","ALL")</x:f>
      </x:c>
      <x:c r="H8" s="127" t="str">
        <x:f>IF($A8="","","OK")</x:f>
      </x:c>
    </x:row>
    <x:row r="9">
      <x:c r="A9" s="127" t="str">
        <x:f>IF(AND(NOCs!A9="Yes",NOCs!I9="OK"),NOCs!B9,"")</x:f>
      </x:c>
      <x:c r="B9" s="127" t="str">
        <x:f>IF($A9="","",NOCs!C9)</x:f>
      </x:c>
      <x:c r="C9" s="127" t="str">
        <x:f>IF($A9="","","__ALL__")</x:f>
      </x:c>
      <x:c r="D9" s="127" t="str">
        <x:f>IF($A9="","","All Locations")</x:f>
      </x:c>
      <x:c r="E9" s="127" t="str">
        <x:f>IF($A9="","",NOCs!E9)</x:f>
      </x:c>
      <x:c r="F9" s="127" t="str">
        <x:f>IF($A9="","",0)</x:f>
      </x:c>
      <x:c r="G9" s="127" t="str">
        <x:f>IF($A9="","","ALL")</x:f>
      </x:c>
      <x:c r="H9" s="127" t="str">
        <x:f>IF($A9="","","OK")</x:f>
      </x:c>
    </x:row>
    <x:row r="10">
      <x:c r="A10" s="127" t="str">
        <x:f>IF(AND(NOCs!A10="Yes",NOCs!I10="OK"),NOCs!B10,"")</x:f>
      </x:c>
      <x:c r="B10" s="127" t="str">
        <x:f>IF($A10="","",NOCs!C10)</x:f>
      </x:c>
      <x:c r="C10" s="127" t="str">
        <x:f>IF($A10="","","__ALL__")</x:f>
      </x:c>
      <x:c r="D10" s="127" t="str">
        <x:f>IF($A10="","","All Locations")</x:f>
      </x:c>
      <x:c r="E10" s="127" t="str">
        <x:f>IF($A10="","",NOCs!E10)</x:f>
      </x:c>
      <x:c r="F10" s="127" t="str">
        <x:f>IF($A10="","",0)</x:f>
      </x:c>
      <x:c r="G10" s="127" t="str">
        <x:f>IF($A10="","","ALL")</x:f>
      </x:c>
      <x:c r="H10" s="127" t="str">
        <x:f>IF($A10="","","OK")</x:f>
      </x:c>
    </x:row>
    <x:row r="11">
      <x:c r="A11" s="127" t="str">
        <x:f>IF(AND(NOCs!A11="Yes",NOCs!I11="OK"),NOCs!B11,"")</x:f>
      </x:c>
      <x:c r="B11" s="127" t="str">
        <x:f>IF($A11="","",NOCs!C11)</x:f>
      </x:c>
      <x:c r="C11" s="127" t="str">
        <x:f>IF($A11="","","__ALL__")</x:f>
      </x:c>
      <x:c r="D11" s="127" t="str">
        <x:f>IF($A11="","","All Locations")</x:f>
      </x:c>
      <x:c r="E11" s="127" t="str">
        <x:f>IF($A11="","",NOCs!E11)</x:f>
      </x:c>
      <x:c r="F11" s="127" t="str">
        <x:f>IF($A11="","",0)</x:f>
      </x:c>
      <x:c r="G11" s="127" t="str">
        <x:f>IF($A11="","","ALL")</x:f>
      </x:c>
      <x:c r="H11" s="127" t="str">
        <x:f>IF($A11="","","OK")</x:f>
      </x:c>
    </x:row>
    <x:row r="12">
      <x:c r="A12" s="127" t="str">
        <x:f>IF(AND(NOCs!A12="Yes",NOCs!I12="OK"),NOCs!B12,"")</x:f>
      </x:c>
      <x:c r="B12" s="127" t="str">
        <x:f>IF($A12="","",NOCs!C12)</x:f>
      </x:c>
      <x:c r="C12" s="127" t="str">
        <x:f>IF($A12="","","__ALL__")</x:f>
      </x:c>
      <x:c r="D12" s="127" t="str">
        <x:f>IF($A12="","","All Locations")</x:f>
      </x:c>
      <x:c r="E12" s="127" t="str">
        <x:f>IF($A12="","",NOCs!E12)</x:f>
      </x:c>
      <x:c r="F12" s="127" t="str">
        <x:f>IF($A12="","",0)</x:f>
      </x:c>
      <x:c r="G12" s="127" t="str">
        <x:f>IF($A12="","","ALL")</x:f>
      </x:c>
      <x:c r="H12" s="127" t="str">
        <x:f>IF($A12="","","OK")</x:f>
      </x:c>
    </x:row>
    <x:row r="13">
      <x:c r="A13" s="127" t="str">
        <x:f>IF(AND(NOCs!A13="Yes",NOCs!I13="OK"),NOCs!B13,"")</x:f>
      </x:c>
      <x:c r="B13" s="127" t="str">
        <x:f>IF($A13="","",NOCs!C13)</x:f>
      </x:c>
      <x:c r="C13" s="127" t="str">
        <x:f>IF($A13="","","__ALL__")</x:f>
      </x:c>
      <x:c r="D13" s="127" t="str">
        <x:f>IF($A13="","","All Locations")</x:f>
      </x:c>
      <x:c r="E13" s="127" t="str">
        <x:f>IF($A13="","",NOCs!E13)</x:f>
      </x:c>
      <x:c r="F13" s="127" t="str">
        <x:f>IF($A13="","",0)</x:f>
      </x:c>
      <x:c r="G13" s="127" t="str">
        <x:f>IF($A13="","","ALL")</x:f>
      </x:c>
      <x:c r="H13" s="127" t="str">
        <x:f>IF($A13="","","OK")</x:f>
      </x:c>
    </x:row>
    <x:row r="14">
      <x:c r="A14" s="127" t="str">
        <x:f>IF(AND(NOCs!A14="Yes",NOCs!I14="OK"),NOCs!B14,"")</x:f>
      </x:c>
      <x:c r="B14" s="127" t="str">
        <x:f>IF($A14="","",NOCs!C14)</x:f>
      </x:c>
      <x:c r="C14" s="127" t="str">
        <x:f>IF($A14="","","__ALL__")</x:f>
      </x:c>
      <x:c r="D14" s="127" t="str">
        <x:f>IF($A14="","","All Locations")</x:f>
      </x:c>
      <x:c r="E14" s="127" t="str">
        <x:f>IF($A14="","",NOCs!E14)</x:f>
      </x:c>
      <x:c r="F14" s="127" t="str">
        <x:f>IF($A14="","",0)</x:f>
      </x:c>
      <x:c r="G14" s="127" t="str">
        <x:f>IF($A14="","","ALL")</x:f>
      </x:c>
      <x:c r="H14" s="127" t="str">
        <x:f>IF($A14="","","OK")</x:f>
      </x:c>
    </x:row>
    <x:row r="15">
      <x:c r="A15" s="127" t="str">
        <x:f>IF(AND(NOCs!A15="Yes",NOCs!I15="OK"),NOCs!B15,"")</x:f>
      </x:c>
      <x:c r="B15" s="127" t="str">
        <x:f>IF($A15="","",NOCs!C15)</x:f>
      </x:c>
      <x:c r="C15" s="127" t="str">
        <x:f>IF($A15="","","__ALL__")</x:f>
      </x:c>
      <x:c r="D15" s="127" t="str">
        <x:f>IF($A15="","","All Locations")</x:f>
      </x:c>
      <x:c r="E15" s="127" t="str">
        <x:f>IF($A15="","",NOCs!E15)</x:f>
      </x:c>
      <x:c r="F15" s="127" t="str">
        <x:f>IF($A15="","",0)</x:f>
      </x:c>
      <x:c r="G15" s="127" t="str">
        <x:f>IF($A15="","","ALL")</x:f>
      </x:c>
      <x:c r="H15" s="127" t="str">
        <x:f>IF($A15="","","OK")</x:f>
      </x:c>
    </x:row>
    <x:row r="16">
      <x:c r="A16" s="127" t="str">
        <x:f>IF(AND(NOCs!A16="Yes",NOCs!I16="OK"),NOCs!B16,"")</x:f>
      </x:c>
      <x:c r="B16" s="127" t="str">
        <x:f>IF($A16="","",NOCs!C16)</x:f>
      </x:c>
      <x:c r="C16" s="127" t="str">
        <x:f>IF($A16="","","__ALL__")</x:f>
      </x:c>
      <x:c r="D16" s="127" t="str">
        <x:f>IF($A16="","","All Locations")</x:f>
      </x:c>
      <x:c r="E16" s="127" t="str">
        <x:f>IF($A16="","",NOCs!E16)</x:f>
      </x:c>
      <x:c r="F16" s="127" t="str">
        <x:f>IF($A16="","",0)</x:f>
      </x:c>
      <x:c r="G16" s="127" t="str">
        <x:f>IF($A16="","","ALL")</x:f>
      </x:c>
      <x:c r="H16" s="127" t="str">
        <x:f>IF($A16="","","OK")</x:f>
      </x:c>
    </x:row>
    <x:row r="17">
      <x:c r="A17" s="127" t="str">
        <x:f>IF(AND(NOCs!A17="Yes",NOCs!I17="OK"),NOCs!B17,"")</x:f>
      </x:c>
      <x:c r="B17" s="127" t="str">
        <x:f>IF($A17="","",NOCs!C17)</x:f>
      </x:c>
      <x:c r="C17" s="127" t="str">
        <x:f>IF($A17="","","__ALL__")</x:f>
      </x:c>
      <x:c r="D17" s="127" t="str">
        <x:f>IF($A17="","","All Locations")</x:f>
      </x:c>
      <x:c r="E17" s="127" t="str">
        <x:f>IF($A17="","",NOCs!E17)</x:f>
      </x:c>
      <x:c r="F17" s="127" t="str">
        <x:f>IF($A17="","",0)</x:f>
      </x:c>
      <x:c r="G17" s="127" t="str">
        <x:f>IF($A17="","","ALL")</x:f>
      </x:c>
      <x:c r="H17" s="127" t="str">
        <x:f>IF($A17="","","OK")</x:f>
      </x:c>
    </x:row>
    <x:row r="18">
      <x:c r="A18" s="127" t="str">
        <x:f>IF(AND(NOCs!A18="Yes",NOCs!I18="OK"),NOCs!B18,"")</x:f>
      </x:c>
      <x:c r="B18" s="127" t="str">
        <x:f>IF($A18="","",NOCs!C18)</x:f>
      </x:c>
      <x:c r="C18" s="127" t="str">
        <x:f>IF($A18="","","__ALL__")</x:f>
      </x:c>
      <x:c r="D18" s="127" t="str">
        <x:f>IF($A18="","","All Locations")</x:f>
      </x:c>
      <x:c r="E18" s="127" t="str">
        <x:f>IF($A18="","",NOCs!E18)</x:f>
      </x:c>
      <x:c r="F18" s="127" t="str">
        <x:f>IF($A18="","",0)</x:f>
      </x:c>
      <x:c r="G18" s="127" t="str">
        <x:f>IF($A18="","","ALL")</x:f>
      </x:c>
      <x:c r="H18" s="127" t="str">
        <x:f>IF($A18="","","OK")</x:f>
      </x:c>
    </x:row>
    <x:row r="19">
      <x:c r="A19" s="127" t="str">
        <x:f>IF(AND(NOCs!A19="Yes",NOCs!I19="OK"),NOCs!B19,"")</x:f>
      </x:c>
      <x:c r="B19" s="127" t="str">
        <x:f>IF($A19="","",NOCs!C19)</x:f>
      </x:c>
      <x:c r="C19" s="127" t="str">
        <x:f>IF($A19="","","__ALL__")</x:f>
      </x:c>
      <x:c r="D19" s="127" t="str">
        <x:f>IF($A19="","","All Locations")</x:f>
      </x:c>
      <x:c r="E19" s="127" t="str">
        <x:f>IF($A19="","",NOCs!E19)</x:f>
      </x:c>
      <x:c r="F19" s="127" t="str">
        <x:f>IF($A19="","",0)</x:f>
      </x:c>
      <x:c r="G19" s="127" t="str">
        <x:f>IF($A19="","","ALL")</x:f>
      </x:c>
      <x:c r="H19" s="127" t="str">
        <x:f>IF($A19="","","OK")</x:f>
      </x:c>
    </x:row>
    <x:row r="20">
      <x:c r="A20" s="127" t="str">
        <x:f>IF(AND(NOCs!A20="Yes",NOCs!I20="OK"),NOCs!B20,"")</x:f>
      </x:c>
      <x:c r="B20" s="127" t="str">
        <x:f>IF($A20="","",NOCs!C20)</x:f>
      </x:c>
      <x:c r="C20" s="127" t="str">
        <x:f>IF($A20="","","__ALL__")</x:f>
      </x:c>
      <x:c r="D20" s="127" t="str">
        <x:f>IF($A20="","","All Locations")</x:f>
      </x:c>
      <x:c r="E20" s="127" t="str">
        <x:f>IF($A20="","",NOCs!E20)</x:f>
      </x:c>
      <x:c r="F20" s="127" t="str">
        <x:f>IF($A20="","",0)</x:f>
      </x:c>
      <x:c r="G20" s="127" t="str">
        <x:f>IF($A20="","","ALL")</x:f>
      </x:c>
      <x:c r="H20" s="127" t="str">
        <x:f>IF($A20="","","OK")</x:f>
      </x:c>
    </x:row>
    <x:row r="21">
      <x:c r="A21" s="127" t="str">
        <x:f>IF(AND(NOCs!A21="Yes",NOCs!I21="OK"),NOCs!B21,"")</x:f>
      </x:c>
      <x:c r="B21" s="127" t="str">
        <x:f>IF($A21="","",NOCs!C21)</x:f>
      </x:c>
      <x:c r="C21" s="127" t="str">
        <x:f>IF($A21="","","__ALL__")</x:f>
      </x:c>
      <x:c r="D21" s="127" t="str">
        <x:f>IF($A21="","","All Locations")</x:f>
      </x:c>
      <x:c r="E21" s="127" t="str">
        <x:f>IF($A21="","",NOCs!E21)</x:f>
      </x:c>
      <x:c r="F21" s="127" t="str">
        <x:f>IF($A21="","",0)</x:f>
      </x:c>
      <x:c r="G21" s="127" t="str">
        <x:f>IF($A21="","","ALL")</x:f>
      </x:c>
      <x:c r="H21" s="127" t="str">
        <x:f>IF($A21="","","OK")</x:f>
      </x:c>
    </x:row>
    <x:row r="22">
      <x:c r="A22" s="127" t="str">
        <x:f>IF(AND(NOCs!A22="Yes",NOCs!I22="OK"),NOCs!B22,"")</x:f>
      </x:c>
      <x:c r="B22" s="127" t="str">
        <x:f>IF($A22="","",NOCs!C22)</x:f>
      </x:c>
      <x:c r="C22" s="127" t="str">
        <x:f>IF($A22="","","__ALL__")</x:f>
      </x:c>
      <x:c r="D22" s="127" t="str">
        <x:f>IF($A22="","","All Locations")</x:f>
      </x:c>
      <x:c r="E22" s="127" t="str">
        <x:f>IF($A22="","",NOCs!E22)</x:f>
      </x:c>
      <x:c r="F22" s="127" t="str">
        <x:f>IF($A22="","",0)</x:f>
      </x:c>
      <x:c r="G22" s="127" t="str">
        <x:f>IF($A22="","","ALL")</x:f>
      </x:c>
      <x:c r="H22" s="127" t="str">
        <x:f>IF($A22="","","OK")</x:f>
      </x:c>
    </x:row>
    <x:row r="23">
      <x:c r="A23" s="127" t="str">
        <x:f>IF(AND(NOCs!A23="Yes",NOCs!I23="OK"),NOCs!B23,"")</x:f>
      </x:c>
      <x:c r="B23" s="127" t="str">
        <x:f>IF($A23="","",NOCs!C23)</x:f>
      </x:c>
      <x:c r="C23" s="127" t="str">
        <x:f>IF($A23="","","__ALL__")</x:f>
      </x:c>
      <x:c r="D23" s="127" t="str">
        <x:f>IF($A23="","","All Locations")</x:f>
      </x:c>
      <x:c r="E23" s="127" t="str">
        <x:f>IF($A23="","",NOCs!E23)</x:f>
      </x:c>
      <x:c r="F23" s="127" t="str">
        <x:f>IF($A23="","",0)</x:f>
      </x:c>
      <x:c r="G23" s="127" t="str">
        <x:f>IF($A23="","","ALL")</x:f>
      </x:c>
      <x:c r="H23" s="127" t="str">
        <x:f>IF($A23="","","OK")</x:f>
      </x:c>
    </x:row>
    <x:row r="24">
      <x:c r="A24" s="127" t="str">
        <x:f>IF(AND(NOCs!A24="Yes",NOCs!I24="OK"),NOCs!B24,"")</x:f>
      </x:c>
      <x:c r="B24" s="127" t="str">
        <x:f>IF($A24="","",NOCs!C24)</x:f>
      </x:c>
      <x:c r="C24" s="127" t="str">
        <x:f>IF($A24="","","__ALL__")</x:f>
      </x:c>
      <x:c r="D24" s="127" t="str">
        <x:f>IF($A24="","","All Locations")</x:f>
      </x:c>
      <x:c r="E24" s="127" t="str">
        <x:f>IF($A24="","",NOCs!E24)</x:f>
      </x:c>
      <x:c r="F24" s="127" t="str">
        <x:f>IF($A24="","",0)</x:f>
      </x:c>
      <x:c r="G24" s="127" t="str">
        <x:f>IF($A24="","","ALL")</x:f>
      </x:c>
      <x:c r="H24" s="127" t="str">
        <x:f>IF($A24="","","OK")</x:f>
      </x:c>
    </x:row>
    <x:row r="25">
      <x:c r="A25" s="127" t="str">
        <x:f>IF(AND(NOCs!A25="Yes",NOCs!I25="OK"),NOCs!B25,"")</x:f>
      </x:c>
      <x:c r="B25" s="127" t="str">
        <x:f>IF($A25="","",NOCs!C25)</x:f>
      </x:c>
      <x:c r="C25" s="127" t="str">
        <x:f>IF($A25="","","__ALL__")</x:f>
      </x:c>
      <x:c r="D25" s="127" t="str">
        <x:f>IF($A25="","","All Locations")</x:f>
      </x:c>
      <x:c r="E25" s="127" t="str">
        <x:f>IF($A25="","",NOCs!E25)</x:f>
      </x:c>
      <x:c r="F25" s="127" t="str">
        <x:f>IF($A25="","",0)</x:f>
      </x:c>
      <x:c r="G25" s="127" t="str">
        <x:f>IF($A25="","","ALL")</x:f>
      </x:c>
      <x:c r="H25" s="127" t="str">
        <x:f>IF($A25="","","OK")</x:f>
      </x:c>
    </x:row>
    <x:row r="26">
      <x:c r="A26" s="127" t="str">
        <x:f>IF(AND(NOCs!A26="Yes",NOCs!I26="OK"),NOCs!B26,"")</x:f>
      </x:c>
      <x:c r="B26" s="127" t="str">
        <x:f>IF($A26="","",NOCs!C26)</x:f>
      </x:c>
      <x:c r="C26" s="127" t="str">
        <x:f>IF($A26="","","__ALL__")</x:f>
      </x:c>
      <x:c r="D26" s="127" t="str">
        <x:f>IF($A26="","","All Locations")</x:f>
      </x:c>
      <x:c r="E26" s="127" t="str">
        <x:f>IF($A26="","",NOCs!E26)</x:f>
      </x:c>
      <x:c r="F26" s="127" t="str">
        <x:f>IF($A26="","",0)</x:f>
      </x:c>
      <x:c r="G26" s="127" t="str">
        <x:f>IF($A26="","","ALL")</x:f>
      </x:c>
      <x:c r="H26" s="127" t="str">
        <x:f>IF($A26="","","OK")</x:f>
      </x:c>
    </x:row>
    <x:row r="27">
      <x:c r="A27" s="127" t="str">
        <x:f>IF(AND(NOCs!A27="Yes",NOCs!I27="OK"),NOCs!B27,"")</x:f>
      </x:c>
      <x:c r="B27" s="127" t="str">
        <x:f>IF($A27="","",NOCs!C27)</x:f>
      </x:c>
      <x:c r="C27" s="127" t="str">
        <x:f>IF($A27="","","__ALL__")</x:f>
      </x:c>
      <x:c r="D27" s="127" t="str">
        <x:f>IF($A27="","","All Locations")</x:f>
      </x:c>
      <x:c r="E27" s="127" t="str">
        <x:f>IF($A27="","",NOCs!E27)</x:f>
      </x:c>
      <x:c r="F27" s="127" t="str">
        <x:f>IF($A27="","",0)</x:f>
      </x:c>
      <x:c r="G27" s="127" t="str">
        <x:f>IF($A27="","","ALL")</x:f>
      </x:c>
      <x:c r="H27" s="127" t="str">
        <x:f>IF($A27="","","OK")</x:f>
      </x:c>
    </x:row>
    <x:row r="28">
      <x:c r="A28" s="127" t="str">
        <x:f>IF(AND(NOCs!A28="Yes",NOCs!I28="OK"),NOCs!B28,"")</x:f>
      </x:c>
      <x:c r="B28" s="127" t="str">
        <x:f>IF($A28="","",NOCs!C28)</x:f>
      </x:c>
      <x:c r="C28" s="127" t="str">
        <x:f>IF($A28="","","__ALL__")</x:f>
      </x:c>
      <x:c r="D28" s="127" t="str">
        <x:f>IF($A28="","","All Locations")</x:f>
      </x:c>
      <x:c r="E28" s="127" t="str">
        <x:f>IF($A28="","",NOCs!E28)</x:f>
      </x:c>
      <x:c r="F28" s="127" t="str">
        <x:f>IF($A28="","",0)</x:f>
      </x:c>
      <x:c r="G28" s="127" t="str">
        <x:f>IF($A28="","","ALL")</x:f>
      </x:c>
      <x:c r="H28" s="127" t="str">
        <x:f>IF($A28="","","OK")</x:f>
      </x:c>
    </x:row>
    <x:row r="29">
      <x:c r="A29" s="127" t="str">
        <x:f>IF(AND(NOCs!A29="Yes",NOCs!I29="OK"),NOCs!B29,"")</x:f>
      </x:c>
      <x:c r="B29" s="127" t="str">
        <x:f>IF($A29="","",NOCs!C29)</x:f>
      </x:c>
      <x:c r="C29" s="127" t="str">
        <x:f>IF($A29="","","__ALL__")</x:f>
      </x:c>
      <x:c r="D29" s="127" t="str">
        <x:f>IF($A29="","","All Locations")</x:f>
      </x:c>
      <x:c r="E29" s="127" t="str">
        <x:f>IF($A29="","",NOCs!E29)</x:f>
      </x:c>
      <x:c r="F29" s="127" t="str">
        <x:f>IF($A29="","",0)</x:f>
      </x:c>
      <x:c r="G29" s="127" t="str">
        <x:f>IF($A29="","","ALL")</x:f>
      </x:c>
      <x:c r="H29" s="127" t="str">
        <x:f>IF($A29="","","OK")</x:f>
      </x:c>
    </x:row>
    <x:row r="30">
      <x:c r="A30" s="127" t="str">
        <x:f>IF(AND(NOCs!A30="Yes",NOCs!I30="OK"),NOCs!B30,"")</x:f>
      </x:c>
      <x:c r="B30" s="127" t="str">
        <x:f>IF($A30="","",NOCs!C30)</x:f>
      </x:c>
      <x:c r="C30" s="127" t="str">
        <x:f>IF($A30="","","__ALL__")</x:f>
      </x:c>
      <x:c r="D30" s="127" t="str">
        <x:f>IF($A30="","","All Locations")</x:f>
      </x:c>
      <x:c r="E30" s="127" t="str">
        <x:f>IF($A30="","",NOCs!E30)</x:f>
      </x:c>
      <x:c r="F30" s="127" t="str">
        <x:f>IF($A30="","",0)</x:f>
      </x:c>
      <x:c r="G30" s="127" t="str">
        <x:f>IF($A30="","","ALL")</x:f>
      </x:c>
      <x:c r="H30" s="127" t="str">
        <x:f>IF($A30="","","OK")</x:f>
      </x:c>
    </x:row>
    <x:row r="31">
      <x:c r="A31" s="127" t="str">
        <x:f>IF(AND(NOCs!A31="Yes",NOCs!I31="OK"),NOCs!B31,"")</x:f>
      </x:c>
      <x:c r="B31" s="127" t="str">
        <x:f>IF($A31="","",NOCs!C31)</x:f>
      </x:c>
      <x:c r="C31" s="127" t="str">
        <x:f>IF($A31="","","__ALL__")</x:f>
      </x:c>
      <x:c r="D31" s="127" t="str">
        <x:f>IF($A31="","","All Locations")</x:f>
      </x:c>
      <x:c r="E31" s="127" t="str">
        <x:f>IF($A31="","",NOCs!E31)</x:f>
      </x:c>
      <x:c r="F31" s="127" t="str">
        <x:f>IF($A31="","",0)</x:f>
      </x:c>
      <x:c r="G31" s="127" t="str">
        <x:f>IF($A31="","","ALL")</x:f>
      </x:c>
      <x:c r="H31" s="127" t="str">
        <x:f>IF($A31="","","OK")</x:f>
      </x:c>
    </x:row>
    <x:row r="32">
      <x:c r="A32" s="127" t="str">
        <x:f>IF(AND(NOCs!A32="Yes",NOCs!I32="OK"),NOCs!B32,"")</x:f>
      </x:c>
      <x:c r="B32" s="127" t="str">
        <x:f>IF($A32="","",NOCs!C32)</x:f>
      </x:c>
      <x:c r="C32" s="127" t="str">
        <x:f>IF($A32="","","__ALL__")</x:f>
      </x:c>
      <x:c r="D32" s="127" t="str">
        <x:f>IF($A32="","","All Locations")</x:f>
      </x:c>
      <x:c r="E32" s="127" t="str">
        <x:f>IF($A32="","",NOCs!E32)</x:f>
      </x:c>
      <x:c r="F32" s="127" t="str">
        <x:f>IF($A32="","",0)</x:f>
      </x:c>
      <x:c r="G32" s="127" t="str">
        <x:f>IF($A32="","","ALL")</x:f>
      </x:c>
      <x:c r="H32" s="127" t="str">
        <x:f>IF($A32="","","OK")</x:f>
      </x:c>
    </x:row>
    <x:row r="33">
      <x:c r="A33" s="127" t="str">
        <x:f>IF(AND(NOCs!A33="Yes",NOCs!I33="OK"),NOCs!B33,"")</x:f>
      </x:c>
      <x:c r="B33" s="127" t="str">
        <x:f>IF($A33="","",NOCs!C33)</x:f>
      </x:c>
      <x:c r="C33" s="127" t="str">
        <x:f>IF($A33="","","__ALL__")</x:f>
      </x:c>
      <x:c r="D33" s="127" t="str">
        <x:f>IF($A33="","","All Locations")</x:f>
      </x:c>
      <x:c r="E33" s="127" t="str">
        <x:f>IF($A33="","",NOCs!E33)</x:f>
      </x:c>
      <x:c r="F33" s="127" t="str">
        <x:f>IF($A33="","",0)</x:f>
      </x:c>
      <x:c r="G33" s="127" t="str">
        <x:f>IF($A33="","","ALL")</x:f>
      </x:c>
      <x:c r="H33" s="127" t="str">
        <x:f>IF($A33="","","OK")</x:f>
      </x:c>
    </x:row>
    <x:row r="34">
      <x:c r="A34" s="127" t="str">
        <x:f>IF(AND(NOCs!A34="Yes",NOCs!I34="OK"),NOCs!B34,"")</x:f>
      </x:c>
      <x:c r="B34" s="127" t="str">
        <x:f>IF($A34="","",NOCs!C34)</x:f>
      </x:c>
      <x:c r="C34" s="127" t="str">
        <x:f>IF($A34="","","__ALL__")</x:f>
      </x:c>
      <x:c r="D34" s="127" t="str">
        <x:f>IF($A34="","","All Locations")</x:f>
      </x:c>
      <x:c r="E34" s="127" t="str">
        <x:f>IF($A34="","",NOCs!E34)</x:f>
      </x:c>
      <x:c r="F34" s="127" t="str">
        <x:f>IF($A34="","",0)</x:f>
      </x:c>
      <x:c r="G34" s="127" t="str">
        <x:f>IF($A34="","","ALL")</x:f>
      </x:c>
      <x:c r="H34" s="127" t="str">
        <x:f>IF($A34="","","OK")</x:f>
      </x:c>
    </x:row>
    <x:row r="35">
      <x:c r="A35" s="127" t="str">
        <x:f>IF(AND(NOCs!A35="Yes",NOCs!I35="OK"),NOCs!B35,"")</x:f>
      </x:c>
      <x:c r="B35" s="127" t="str">
        <x:f>IF($A35="","",NOCs!C35)</x:f>
      </x:c>
      <x:c r="C35" s="127" t="str">
        <x:f>IF($A35="","","__ALL__")</x:f>
      </x:c>
      <x:c r="D35" s="127" t="str">
        <x:f>IF($A35="","","All Locations")</x:f>
      </x:c>
      <x:c r="E35" s="127" t="str">
        <x:f>IF($A35="","",NOCs!E35)</x:f>
      </x:c>
      <x:c r="F35" s="127" t="str">
        <x:f>IF($A35="","",0)</x:f>
      </x:c>
      <x:c r="G35" s="127" t="str">
        <x:f>IF($A35="","","ALL")</x:f>
      </x:c>
      <x:c r="H35" s="127" t="str">
        <x:f>IF($A35="","","OK")</x:f>
      </x:c>
    </x:row>
    <x:row r="36">
      <x:c r="A36" s="127" t="str">
        <x:f>IF(AND(NOCs!A36="Yes",NOCs!I36="OK"),NOCs!B36,"")</x:f>
      </x:c>
      <x:c r="B36" s="127" t="str">
        <x:f>IF($A36="","",NOCs!C36)</x:f>
      </x:c>
      <x:c r="C36" s="127" t="str">
        <x:f>IF($A36="","","__ALL__")</x:f>
      </x:c>
      <x:c r="D36" s="127" t="str">
        <x:f>IF($A36="","","All Locations")</x:f>
      </x:c>
      <x:c r="E36" s="127" t="str">
        <x:f>IF($A36="","",NOCs!E36)</x:f>
      </x:c>
      <x:c r="F36" s="127" t="str">
        <x:f>IF($A36="","",0)</x:f>
      </x:c>
      <x:c r="G36" s="127" t="str">
        <x:f>IF($A36="","","ALL")</x:f>
      </x:c>
      <x:c r="H36" s="127" t="str">
        <x:f>IF($A36="","","OK")</x:f>
      </x:c>
    </x:row>
    <x:row r="37">
      <x:c r="A37" s="127" t="str">
        <x:f>IF(AND(NOCs!A37="Yes",NOCs!I37="OK"),NOCs!B37,"")</x:f>
      </x:c>
      <x:c r="B37" s="127" t="str">
        <x:f>IF($A37="","",NOCs!C37)</x:f>
      </x:c>
      <x:c r="C37" s="127" t="str">
        <x:f>IF($A37="","","__ALL__")</x:f>
      </x:c>
      <x:c r="D37" s="127" t="str">
        <x:f>IF($A37="","","All Locations")</x:f>
      </x:c>
      <x:c r="E37" s="127" t="str">
        <x:f>IF($A37="","",NOCs!E37)</x:f>
      </x:c>
      <x:c r="F37" s="127" t="str">
        <x:f>IF($A37="","",0)</x:f>
      </x:c>
      <x:c r="G37" s="127" t="str">
        <x:f>IF($A37="","","ALL")</x:f>
      </x:c>
      <x:c r="H37" s="127" t="str">
        <x:f>IF($A37="","","OK")</x:f>
      </x:c>
    </x:row>
    <x:row r="38">
      <x:c r="A38" s="127" t="str">
        <x:f>IF(AND(NOCs!A38="Yes",NOCs!I38="OK"),NOCs!B38,"")</x:f>
      </x:c>
      <x:c r="B38" s="127" t="str">
        <x:f>IF($A38="","",NOCs!C38)</x:f>
      </x:c>
      <x:c r="C38" s="127" t="str">
        <x:f>IF($A38="","","__ALL__")</x:f>
      </x:c>
      <x:c r="D38" s="127" t="str">
        <x:f>IF($A38="","","All Locations")</x:f>
      </x:c>
      <x:c r="E38" s="127" t="str">
        <x:f>IF($A38="","",NOCs!E38)</x:f>
      </x:c>
      <x:c r="F38" s="127" t="str">
        <x:f>IF($A38="","",0)</x:f>
      </x:c>
      <x:c r="G38" s="127" t="str">
        <x:f>IF($A38="","","ALL")</x:f>
      </x:c>
      <x:c r="H38" s="127" t="str">
        <x:f>IF($A38="","","OK")</x:f>
      </x:c>
    </x:row>
    <x:row r="39">
      <x:c r="A39" s="127" t="str">
        <x:f>IF(AND(NOCs!A39="Yes",NOCs!I39="OK"),NOCs!B39,"")</x:f>
      </x:c>
      <x:c r="B39" s="127" t="str">
        <x:f>IF($A39="","",NOCs!C39)</x:f>
      </x:c>
      <x:c r="C39" s="127" t="str">
        <x:f>IF($A39="","","__ALL__")</x:f>
      </x:c>
      <x:c r="D39" s="127" t="str">
        <x:f>IF($A39="","","All Locations")</x:f>
      </x:c>
      <x:c r="E39" s="127" t="str">
        <x:f>IF($A39="","",NOCs!E39)</x:f>
      </x:c>
      <x:c r="F39" s="127" t="str">
        <x:f>IF($A39="","",0)</x:f>
      </x:c>
      <x:c r="G39" s="127" t="str">
        <x:f>IF($A39="","","ALL")</x:f>
      </x:c>
      <x:c r="H39" s="127" t="str">
        <x:f>IF($A39="","","OK")</x:f>
      </x:c>
    </x:row>
    <x:row r="40">
      <x:c r="A40" s="127" t="str">
        <x:f>IF(AND(NOCs!A40="Yes",NOCs!I40="OK"),NOCs!B40,"")</x:f>
      </x:c>
      <x:c r="B40" s="127" t="str">
        <x:f>IF($A40="","",NOCs!C40)</x:f>
      </x:c>
      <x:c r="C40" s="127" t="str">
        <x:f>IF($A40="","","__ALL__")</x:f>
      </x:c>
      <x:c r="D40" s="127" t="str">
        <x:f>IF($A40="","","All Locations")</x:f>
      </x:c>
      <x:c r="E40" s="127" t="str">
        <x:f>IF($A40="","",NOCs!E40)</x:f>
      </x:c>
      <x:c r="F40" s="127" t="str">
        <x:f>IF($A40="","",0)</x:f>
      </x:c>
      <x:c r="G40" s="127" t="str">
        <x:f>IF($A40="","","ALL")</x:f>
      </x:c>
      <x:c r="H40" s="127" t="str">
        <x:f>IF($A40="","","OK")</x:f>
      </x:c>
    </x:row>
    <x:row r="41">
      <x:c r="A41" s="127" t="str">
        <x:f>IF(AND(NOCs!A41="Yes",NOCs!I41="OK"),NOCs!B41,"")</x:f>
      </x:c>
      <x:c r="B41" s="127" t="str">
        <x:f>IF($A41="","",NOCs!C41)</x:f>
      </x:c>
      <x:c r="C41" s="127" t="str">
        <x:f>IF($A41="","","__ALL__")</x:f>
      </x:c>
      <x:c r="D41" s="127" t="str">
        <x:f>IF($A41="","","All Locations")</x:f>
      </x:c>
      <x:c r="E41" s="127" t="str">
        <x:f>IF($A41="","",NOCs!E41)</x:f>
      </x:c>
      <x:c r="F41" s="127" t="str">
        <x:f>IF($A41="","",0)</x:f>
      </x:c>
      <x:c r="G41" s="127" t="str">
        <x:f>IF($A41="","","ALL")</x:f>
      </x:c>
      <x:c r="H41" s="127" t="str">
        <x:f>IF($A41="","","OK")</x:f>
      </x:c>
    </x:row>
    <x:row r="42">
      <x:c r="A42" s="127" t="str">
        <x:f>IF(AND(NOCs!A42="Yes",NOCs!I42="OK"),NOCs!B42,"")</x:f>
      </x:c>
      <x:c r="B42" s="127" t="str">
        <x:f>IF($A42="","",NOCs!C42)</x:f>
      </x:c>
      <x:c r="C42" s="127" t="str">
        <x:f>IF($A42="","","__ALL__")</x:f>
      </x:c>
      <x:c r="D42" s="127" t="str">
        <x:f>IF($A42="","","All Locations")</x:f>
      </x:c>
      <x:c r="E42" s="127" t="str">
        <x:f>IF($A42="","",NOCs!E42)</x:f>
      </x:c>
      <x:c r="F42" s="127" t="str">
        <x:f>IF($A42="","",0)</x:f>
      </x:c>
      <x:c r="G42" s="127" t="str">
        <x:f>IF($A42="","","ALL")</x:f>
      </x:c>
      <x:c r="H42" s="127" t="str">
        <x:f>IF($A42="","","OK")</x:f>
      </x:c>
    </x:row>
    <x:row r="43">
      <x:c r="A43" s="127" t="str">
        <x:f>IF(AND(NOCs!A43="Yes",NOCs!I43="OK"),NOCs!B43,"")</x:f>
      </x:c>
      <x:c r="B43" s="127" t="str">
        <x:f>IF($A43="","",NOCs!C43)</x:f>
      </x:c>
      <x:c r="C43" s="127" t="str">
        <x:f>IF($A43="","","__ALL__")</x:f>
      </x:c>
      <x:c r="D43" s="127" t="str">
        <x:f>IF($A43="","","All Locations")</x:f>
      </x:c>
      <x:c r="E43" s="127" t="str">
        <x:f>IF($A43="","",NOCs!E43)</x:f>
      </x:c>
      <x:c r="F43" s="127" t="str">
        <x:f>IF($A43="","",0)</x:f>
      </x:c>
      <x:c r="G43" s="127" t="str">
        <x:f>IF($A43="","","ALL")</x:f>
      </x:c>
      <x:c r="H43" s="127" t="str">
        <x:f>IF($A43="","","OK")</x:f>
      </x:c>
    </x:row>
    <x:row r="44">
      <x:c r="A44" s="127" t="str">
        <x:f>IF(AND(NOCs!A44="Yes",NOCs!I44="OK"),NOCs!B44,"")</x:f>
      </x:c>
      <x:c r="B44" s="127" t="str">
        <x:f>IF($A44="","",NOCs!C44)</x:f>
      </x:c>
      <x:c r="C44" s="127" t="str">
        <x:f>IF($A44="","","__ALL__")</x:f>
      </x:c>
      <x:c r="D44" s="127" t="str">
        <x:f>IF($A44="","","All Locations")</x:f>
      </x:c>
      <x:c r="E44" s="127" t="str">
        <x:f>IF($A44="","",NOCs!E44)</x:f>
      </x:c>
      <x:c r="F44" s="127" t="str">
        <x:f>IF($A44="","",0)</x:f>
      </x:c>
      <x:c r="G44" s="127" t="str">
        <x:f>IF($A44="","","ALL")</x:f>
      </x:c>
      <x:c r="H44" s="127" t="str">
        <x:f>IF($A44="","","OK")</x:f>
      </x:c>
    </x:row>
    <x:row r="45">
      <x:c r="A45" s="127" t="str">
        <x:f>IF(AND(NOCs!A45="Yes",NOCs!I45="OK"),NOCs!B45,"")</x:f>
      </x:c>
      <x:c r="B45" s="127" t="str">
        <x:f>IF($A45="","",NOCs!C45)</x:f>
      </x:c>
      <x:c r="C45" s="127" t="str">
        <x:f>IF($A45="","","__ALL__")</x:f>
      </x:c>
      <x:c r="D45" s="127" t="str">
        <x:f>IF($A45="","","All Locations")</x:f>
      </x:c>
      <x:c r="E45" s="127" t="str">
        <x:f>IF($A45="","",NOCs!E45)</x:f>
      </x:c>
      <x:c r="F45" s="127" t="str">
        <x:f>IF($A45="","",0)</x:f>
      </x:c>
      <x:c r="G45" s="127" t="str">
        <x:f>IF($A45="","","ALL")</x:f>
      </x:c>
      <x:c r="H45" s="127" t="str">
        <x:f>IF($A45="","","OK")</x:f>
      </x:c>
    </x:row>
    <x:row r="46">
      <x:c r="A46" s="127" t="str">
        <x:f>IF(AND(NOCs!A46="Yes",NOCs!I46="OK"),NOCs!B46,"")</x:f>
      </x:c>
      <x:c r="B46" s="127" t="str">
        <x:f>IF($A46="","",NOCs!C46)</x:f>
      </x:c>
      <x:c r="C46" s="127" t="str">
        <x:f>IF($A46="","","__ALL__")</x:f>
      </x:c>
      <x:c r="D46" s="127" t="str">
        <x:f>IF($A46="","","All Locations")</x:f>
      </x:c>
      <x:c r="E46" s="127" t="str">
        <x:f>IF($A46="","",NOCs!E46)</x:f>
      </x:c>
      <x:c r="F46" s="127" t="str">
        <x:f>IF($A46="","",0)</x:f>
      </x:c>
      <x:c r="G46" s="127" t="str">
        <x:f>IF($A46="","","ALL")</x:f>
      </x:c>
      <x:c r="H46" s="127" t="str">
        <x:f>IF($A46="","","OK")</x:f>
      </x:c>
    </x:row>
    <x:row r="47">
      <x:c r="A47" s="127" t="str">
        <x:f>IF(AND(NOCs!A47="Yes",NOCs!I47="OK"),NOCs!B47,"")</x:f>
      </x:c>
      <x:c r="B47" s="127" t="str">
        <x:f>IF($A47="","",NOCs!C47)</x:f>
      </x:c>
      <x:c r="C47" s="127" t="str">
        <x:f>IF($A47="","","__ALL__")</x:f>
      </x:c>
      <x:c r="D47" s="127" t="str">
        <x:f>IF($A47="","","All Locations")</x:f>
      </x:c>
      <x:c r="E47" s="127" t="str">
        <x:f>IF($A47="","",NOCs!E47)</x:f>
      </x:c>
      <x:c r="F47" s="127" t="str">
        <x:f>IF($A47="","",0)</x:f>
      </x:c>
      <x:c r="G47" s="127" t="str">
        <x:f>IF($A47="","","ALL")</x:f>
      </x:c>
      <x:c r="H47" s="127" t="str">
        <x:f>IF($A47="","","OK")</x:f>
      </x:c>
    </x:row>
    <x:row r="48">
      <x:c r="A48" s="127" t="str">
        <x:f>IF(AND(NOCs!A48="Yes",NOCs!I48="OK"),NOCs!B48,"")</x:f>
      </x:c>
      <x:c r="B48" s="127" t="str">
        <x:f>IF($A48="","",NOCs!C48)</x:f>
      </x:c>
      <x:c r="C48" s="127" t="str">
        <x:f>IF($A48="","","__ALL__")</x:f>
      </x:c>
      <x:c r="D48" s="127" t="str">
        <x:f>IF($A48="","","All Locations")</x:f>
      </x:c>
      <x:c r="E48" s="127" t="str">
        <x:f>IF($A48="","",NOCs!E48)</x:f>
      </x:c>
      <x:c r="F48" s="127" t="str">
        <x:f>IF($A48="","",0)</x:f>
      </x:c>
      <x:c r="G48" s="127" t="str">
        <x:f>IF($A48="","","ALL")</x:f>
      </x:c>
      <x:c r="H48" s="127" t="str">
        <x:f>IF($A48="","","OK")</x:f>
      </x:c>
    </x:row>
    <x:row r="49">
      <x:c r="A49" s="127" t="str">
        <x:f>IF(AND(NOCs!A49="Yes",NOCs!I49="OK"),NOCs!B49,"")</x:f>
      </x:c>
      <x:c r="B49" s="127" t="str">
        <x:f>IF($A49="","",NOCs!C49)</x:f>
      </x:c>
      <x:c r="C49" s="127" t="str">
        <x:f>IF($A49="","","__ALL__")</x:f>
      </x:c>
      <x:c r="D49" s="127" t="str">
        <x:f>IF($A49="","","All Locations")</x:f>
      </x:c>
      <x:c r="E49" s="127" t="str">
        <x:f>IF($A49="","",NOCs!E49)</x:f>
      </x:c>
      <x:c r="F49" s="127" t="str">
        <x:f>IF($A49="","",0)</x:f>
      </x:c>
      <x:c r="G49" s="127" t="str">
        <x:f>IF($A49="","","ALL")</x:f>
      </x:c>
      <x:c r="H49" s="127" t="str">
        <x:f>IF($A49="","","OK")</x:f>
      </x:c>
    </x:row>
    <x:row r="50">
      <x:c r="A50" s="127" t="str">
        <x:f>IF(AND(NOCs!A50="Yes",NOCs!I50="OK"),NOCs!B50,"")</x:f>
      </x:c>
      <x:c r="B50" s="127" t="str">
        <x:f>IF($A50="","",NOCs!C50)</x:f>
      </x:c>
      <x:c r="C50" s="127" t="str">
        <x:f>IF($A50="","","__ALL__")</x:f>
      </x:c>
      <x:c r="D50" s="127" t="str">
        <x:f>IF($A50="","","All Locations")</x:f>
      </x:c>
      <x:c r="E50" s="127" t="str">
        <x:f>IF($A50="","",NOCs!E50)</x:f>
      </x:c>
      <x:c r="F50" s="127" t="str">
        <x:f>IF($A50="","",0)</x:f>
      </x:c>
      <x:c r="G50" s="127" t="str">
        <x:f>IF($A50="","","ALL")</x:f>
      </x:c>
      <x:c r="H50" s="127" t="str">
        <x:f>IF($A50="","","OK")</x:f>
      </x:c>
    </x:row>
    <x:row r="51">
      <x:c r="A51" s="127" t="str">
        <x:f>IF(AND(NOCs!A51="Yes",NOCs!I51="OK"),NOCs!B51,"")</x:f>
      </x:c>
      <x:c r="B51" s="127" t="str">
        <x:f>IF($A51="","",NOCs!C51)</x:f>
      </x:c>
      <x:c r="C51" s="127" t="str">
        <x:f>IF($A51="","","__ALL__")</x:f>
      </x:c>
      <x:c r="D51" s="127" t="str">
        <x:f>IF($A51="","","All Locations")</x:f>
      </x:c>
      <x:c r="E51" s="127" t="str">
        <x:f>IF($A51="","",NOCs!E51)</x:f>
      </x:c>
      <x:c r="F51" s="127" t="str">
        <x:f>IF($A51="","",0)</x:f>
      </x:c>
      <x:c r="G51" s="127" t="str">
        <x:f>IF($A51="","","ALL")</x:f>
      </x:c>
      <x:c r="H51" s="127" t="str">
        <x:f>IF($A51="","","OK")</x:f>
      </x:c>
    </x:row>
    <x:row r="52">
      <x:c r="A52" s="127" t="str">
        <x:f>IF(AND(NOCs!A52="Yes",NOCs!I52="OK"),NOCs!B52,"")</x:f>
      </x:c>
      <x:c r="B52" s="127" t="str">
        <x:f>IF($A52="","",NOCs!C52)</x:f>
      </x:c>
      <x:c r="C52" s="127" t="str">
        <x:f>IF($A52="","","__ALL__")</x:f>
      </x:c>
      <x:c r="D52" s="127" t="str">
        <x:f>IF($A52="","","All Locations")</x:f>
      </x:c>
      <x:c r="E52" s="127" t="str">
        <x:f>IF($A52="","",NOCs!E52)</x:f>
      </x:c>
      <x:c r="F52" s="127" t="str">
        <x:f>IF($A52="","",0)</x:f>
      </x:c>
      <x:c r="G52" s="127" t="str">
        <x:f>IF($A52="","","ALL")</x:f>
      </x:c>
      <x:c r="H52" s="127" t="str">
        <x:f>IF($A52="","","OK")</x:f>
      </x:c>
    </x:row>
    <x:row r="53">
      <x:c r="A53" s="127" t="str">
        <x:f>IF(AND(NOCs!A53="Yes",NOCs!I53="OK"),NOCs!B53,"")</x:f>
      </x:c>
      <x:c r="B53" s="127" t="str">
        <x:f>IF($A53="","",NOCs!C53)</x:f>
      </x:c>
      <x:c r="C53" s="127" t="str">
        <x:f>IF($A53="","","__ALL__")</x:f>
      </x:c>
      <x:c r="D53" s="127" t="str">
        <x:f>IF($A53="","","All Locations")</x:f>
      </x:c>
      <x:c r="E53" s="127" t="str">
        <x:f>IF($A53="","",NOCs!E53)</x:f>
      </x:c>
      <x:c r="F53" s="127" t="str">
        <x:f>IF($A53="","",0)</x:f>
      </x:c>
      <x:c r="G53" s="127" t="str">
        <x:f>IF($A53="","","ALL")</x:f>
      </x:c>
      <x:c r="H53" s="127" t="str">
        <x:f>IF($A53="","","OK")</x:f>
      </x:c>
    </x:row>
    <x:row r="54">
      <x:c r="A54" s="127" t="str">
        <x:f>IF(AND(NOCs!A54="Yes",NOCs!I54="OK"),NOCs!B54,"")</x:f>
      </x:c>
      <x:c r="B54" s="127" t="str">
        <x:f>IF($A54="","",NOCs!C54)</x:f>
      </x:c>
      <x:c r="C54" s="127" t="str">
        <x:f>IF($A54="","","__ALL__")</x:f>
      </x:c>
      <x:c r="D54" s="127" t="str">
        <x:f>IF($A54="","","All Locations")</x:f>
      </x:c>
      <x:c r="E54" s="127" t="str">
        <x:f>IF($A54="","",NOCs!E54)</x:f>
      </x:c>
      <x:c r="F54" s="127" t="str">
        <x:f>IF($A54="","",0)</x:f>
      </x:c>
      <x:c r="G54" s="127" t="str">
        <x:f>IF($A54="","","ALL")</x:f>
      </x:c>
      <x:c r="H54" s="127" t="str">
        <x:f>IF($A54="","","OK")</x:f>
      </x:c>
    </x:row>
    <x:row r="55">
      <x:c r="A55" s="127" t="str">
        <x:f>IF(AND(NOCs!A55="Yes",NOCs!I55="OK"),NOCs!B55,"")</x:f>
      </x:c>
      <x:c r="B55" s="127" t="str">
        <x:f>IF($A55="","",NOCs!C55)</x:f>
      </x:c>
      <x:c r="C55" s="127" t="str">
        <x:f>IF($A55="","","__ALL__")</x:f>
      </x:c>
      <x:c r="D55" s="127" t="str">
        <x:f>IF($A55="","","All Locations")</x:f>
      </x:c>
      <x:c r="E55" s="127" t="str">
        <x:f>IF($A55="","",NOCs!E55)</x:f>
      </x:c>
      <x:c r="F55" s="127" t="str">
        <x:f>IF($A55="","",0)</x:f>
      </x:c>
      <x:c r="G55" s="127" t="str">
        <x:f>IF($A55="","","ALL")</x:f>
      </x:c>
      <x:c r="H55" s="127" t="str">
        <x:f>IF($A55="","","OK")</x:f>
      </x:c>
    </x:row>
    <x:row r="56">
      <x:c r="A56" s="127" t="str">
        <x:f>IF(AND(NOCs!A56="Yes",NOCs!I56="OK"),NOCs!B56,"")</x:f>
      </x:c>
      <x:c r="B56" s="127" t="str">
        <x:f>IF($A56="","",NOCs!C56)</x:f>
      </x:c>
      <x:c r="C56" s="127" t="str">
        <x:f>IF($A56="","","__ALL__")</x:f>
      </x:c>
      <x:c r="D56" s="127" t="str">
        <x:f>IF($A56="","","All Locations")</x:f>
      </x:c>
      <x:c r="E56" s="127" t="str">
        <x:f>IF($A56="","",NOCs!E56)</x:f>
      </x:c>
      <x:c r="F56" s="127" t="str">
        <x:f>IF($A56="","",0)</x:f>
      </x:c>
      <x:c r="G56" s="127" t="str">
        <x:f>IF($A56="","","ALL")</x:f>
      </x:c>
      <x:c r="H56" s="127" t="str">
        <x:f>IF($A56="","","OK")</x:f>
      </x:c>
    </x:row>
    <x:row r="57">
      <x:c r="A57" s="127" t="str">
        <x:f>IF(AND(NOCs!A57="Yes",NOCs!I57="OK"),NOCs!B57,"")</x:f>
      </x:c>
      <x:c r="B57" s="127" t="str">
        <x:f>IF($A57="","",NOCs!C57)</x:f>
      </x:c>
      <x:c r="C57" s="127" t="str">
        <x:f>IF($A57="","","__ALL__")</x:f>
      </x:c>
      <x:c r="D57" s="127" t="str">
        <x:f>IF($A57="","","All Locations")</x:f>
      </x:c>
      <x:c r="E57" s="127" t="str">
        <x:f>IF($A57="","",NOCs!E57)</x:f>
      </x:c>
      <x:c r="F57" s="127" t="str">
        <x:f>IF($A57="","",0)</x:f>
      </x:c>
      <x:c r="G57" s="127" t="str">
        <x:f>IF($A57="","","ALL")</x:f>
      </x:c>
      <x:c r="H57" s="127" t="str">
        <x:f>IF($A57="","","OK")</x:f>
      </x:c>
    </x:row>
    <x:row r="58">
      <x:c r="A58" s="127" t="str">
        <x:f>IF(AND(NOCs!A58="Yes",NOCs!I58="OK"),NOCs!B58,"")</x:f>
      </x:c>
      <x:c r="B58" s="127" t="str">
        <x:f>IF($A58="","",NOCs!C58)</x:f>
      </x:c>
      <x:c r="C58" s="127" t="str">
        <x:f>IF($A58="","","__ALL__")</x:f>
      </x:c>
      <x:c r="D58" s="127" t="str">
        <x:f>IF($A58="","","All Locations")</x:f>
      </x:c>
      <x:c r="E58" s="127" t="str">
        <x:f>IF($A58="","",NOCs!E58)</x:f>
      </x:c>
      <x:c r="F58" s="127" t="str">
        <x:f>IF($A58="","",0)</x:f>
      </x:c>
      <x:c r="G58" s="127" t="str">
        <x:f>IF($A58="","","ALL")</x:f>
      </x:c>
      <x:c r="H58" s="127" t="str">
        <x:f>IF($A58="","","OK")</x:f>
      </x:c>
    </x:row>
    <x:row r="59">
      <x:c r="A59" s="127" t="str">
        <x:f>IF(AND(NOCs!A59="Yes",NOCs!I59="OK"),NOCs!B59,"")</x:f>
      </x:c>
      <x:c r="B59" s="127" t="str">
        <x:f>IF($A59="","",NOCs!C59)</x:f>
      </x:c>
      <x:c r="C59" s="127" t="str">
        <x:f>IF($A59="","","__ALL__")</x:f>
      </x:c>
      <x:c r="D59" s="127" t="str">
        <x:f>IF($A59="","","All Locations")</x:f>
      </x:c>
      <x:c r="E59" s="127" t="str">
        <x:f>IF($A59="","",NOCs!E59)</x:f>
      </x:c>
      <x:c r="F59" s="127" t="str">
        <x:f>IF($A59="","",0)</x:f>
      </x:c>
      <x:c r="G59" s="127" t="str">
        <x:f>IF($A59="","","ALL")</x:f>
      </x:c>
      <x:c r="H59" s="127" t="str">
        <x:f>IF($A59="","","OK")</x:f>
      </x:c>
    </x:row>
    <x:row r="60">
      <x:c r="A60" s="127" t="str">
        <x:f>IF(AND(NOCs!A60="Yes",NOCs!I60="OK"),NOCs!B60,"")</x:f>
      </x:c>
      <x:c r="B60" s="127" t="str">
        <x:f>IF($A60="","",NOCs!C60)</x:f>
      </x:c>
      <x:c r="C60" s="127" t="str">
        <x:f>IF($A60="","","__ALL__")</x:f>
      </x:c>
      <x:c r="D60" s="127" t="str">
        <x:f>IF($A60="","","All Locations")</x:f>
      </x:c>
      <x:c r="E60" s="127" t="str">
        <x:f>IF($A60="","",NOCs!E60)</x:f>
      </x:c>
      <x:c r="F60" s="127" t="str">
        <x:f>IF($A60="","",0)</x:f>
      </x:c>
      <x:c r="G60" s="127" t="str">
        <x:f>IF($A60="","","ALL")</x:f>
      </x:c>
      <x:c r="H60" s="127" t="str">
        <x:f>IF($A60="","","OK")</x:f>
      </x:c>
    </x:row>
    <x:row r="61">
      <x:c r="A61" s="127" t="str">
        <x:f>IF(AND(NOCs!A61="Yes",NOCs!I61="OK"),NOCs!B61,"")</x:f>
      </x:c>
      <x:c r="B61" s="127" t="str">
        <x:f>IF($A61="","",NOCs!C61)</x:f>
      </x:c>
      <x:c r="C61" s="127" t="str">
        <x:f>IF($A61="","","__ALL__")</x:f>
      </x:c>
      <x:c r="D61" s="127" t="str">
        <x:f>IF($A61="","","All Locations")</x:f>
      </x:c>
      <x:c r="E61" s="127" t="str">
        <x:f>IF($A61="","",NOCs!E61)</x:f>
      </x:c>
      <x:c r="F61" s="127" t="str">
        <x:f>IF($A61="","",0)</x:f>
      </x:c>
      <x:c r="G61" s="127" t="str">
        <x:f>IF($A61="","","ALL")</x:f>
      </x:c>
      <x:c r="H61" s="127" t="str">
        <x:f>IF($A61="","","OK")</x:f>
      </x:c>
    </x:row>
    <x:row r="62">
      <x:c r="A62" s="127" t="str">
        <x:f>IF(AND(NOCs!A62="Yes",NOCs!I62="OK"),NOCs!B62,"")</x:f>
      </x:c>
      <x:c r="B62" s="127" t="str">
        <x:f>IF($A62="","",NOCs!C62)</x:f>
      </x:c>
      <x:c r="C62" s="127" t="str">
        <x:f>IF($A62="","","__ALL__")</x:f>
      </x:c>
      <x:c r="D62" s="127" t="str">
        <x:f>IF($A62="","","All Locations")</x:f>
      </x:c>
      <x:c r="E62" s="127" t="str">
        <x:f>IF($A62="","",NOCs!E62)</x:f>
      </x:c>
      <x:c r="F62" s="127" t="str">
        <x:f>IF($A62="","",0)</x:f>
      </x:c>
      <x:c r="G62" s="127" t="str">
        <x:f>IF($A62="","","ALL")</x:f>
      </x:c>
      <x:c r="H62" s="127" t="str">
        <x:f>IF($A62="","","OK")</x:f>
      </x:c>
    </x:row>
    <x:row r="63">
      <x:c r="A63" s="127" t="str">
        <x:f>IF(AND(NOCs!A63="Yes",NOCs!I63="OK"),NOCs!B63,"")</x:f>
      </x:c>
      <x:c r="B63" s="127" t="str">
        <x:f>IF($A63="","",NOCs!C63)</x:f>
      </x:c>
      <x:c r="C63" s="127" t="str">
        <x:f>IF($A63="","","__ALL__")</x:f>
      </x:c>
      <x:c r="D63" s="127" t="str">
        <x:f>IF($A63="","","All Locations")</x:f>
      </x:c>
      <x:c r="E63" s="127" t="str">
        <x:f>IF($A63="","",NOCs!E63)</x:f>
      </x:c>
      <x:c r="F63" s="127" t="str">
        <x:f>IF($A63="","",0)</x:f>
      </x:c>
      <x:c r="G63" s="127" t="str">
        <x:f>IF($A63="","","ALL")</x:f>
      </x:c>
      <x:c r="H63" s="127" t="str">
        <x:f>IF($A63="","","OK")</x:f>
      </x:c>
    </x:row>
    <x:row r="64">
      <x:c r="A64" s="127" t="str">
        <x:f>IF(AND(NOCs!A64="Yes",NOCs!I64="OK"),NOCs!B64,"")</x:f>
      </x:c>
      <x:c r="B64" s="127" t="str">
        <x:f>IF($A64="","",NOCs!C64)</x:f>
      </x:c>
      <x:c r="C64" s="127" t="str">
        <x:f>IF($A64="","","__ALL__")</x:f>
      </x:c>
      <x:c r="D64" s="127" t="str">
        <x:f>IF($A64="","","All Locations")</x:f>
      </x:c>
      <x:c r="E64" s="127" t="str">
        <x:f>IF($A64="","",NOCs!E64)</x:f>
      </x:c>
      <x:c r="F64" s="127" t="str">
        <x:f>IF($A64="","",0)</x:f>
      </x:c>
      <x:c r="G64" s="127" t="str">
        <x:f>IF($A64="","","ALL")</x:f>
      </x:c>
      <x:c r="H64" s="127" t="str">
        <x:f>IF($A64="","","OK")</x:f>
      </x:c>
    </x:row>
    <x:row r="65">
      <x:c r="A65" s="127" t="str">
        <x:f>IF(AND(NOCs!A65="Yes",NOCs!I65="OK"),NOCs!B65,"")</x:f>
      </x:c>
      <x:c r="B65" s="127" t="str">
        <x:f>IF($A65="","",NOCs!C65)</x:f>
      </x:c>
      <x:c r="C65" s="127" t="str">
        <x:f>IF($A65="","","__ALL__")</x:f>
      </x:c>
      <x:c r="D65" s="127" t="str">
        <x:f>IF($A65="","","All Locations")</x:f>
      </x:c>
      <x:c r="E65" s="127" t="str">
        <x:f>IF($A65="","",NOCs!E65)</x:f>
      </x:c>
      <x:c r="F65" s="127" t="str">
        <x:f>IF($A65="","",0)</x:f>
      </x:c>
      <x:c r="G65" s="127" t="str">
        <x:f>IF($A65="","","ALL")</x:f>
      </x:c>
      <x:c r="H65" s="127" t="str">
        <x:f>IF($A65="","","OK")</x:f>
      </x:c>
    </x:row>
    <x:row r="66">
      <x:c r="A66" s="127" t="str">
        <x:f>IF(AND(NOCs!A66="Yes",NOCs!I66="OK"),NOCs!B66,"")</x:f>
      </x:c>
      <x:c r="B66" s="127" t="str">
        <x:f>IF($A66="","",NOCs!C66)</x:f>
      </x:c>
      <x:c r="C66" s="127" t="str">
        <x:f>IF($A66="","","__ALL__")</x:f>
      </x:c>
      <x:c r="D66" s="127" t="str">
        <x:f>IF($A66="","","All Locations")</x:f>
      </x:c>
      <x:c r="E66" s="127" t="str">
        <x:f>IF($A66="","",NOCs!E66)</x:f>
      </x:c>
      <x:c r="F66" s="127" t="str">
        <x:f>IF($A66="","",0)</x:f>
      </x:c>
      <x:c r="G66" s="127" t="str">
        <x:f>IF($A66="","","ALL")</x:f>
      </x:c>
      <x:c r="H66" s="127" t="str">
        <x:f>IF($A66="","","OK")</x:f>
      </x:c>
    </x:row>
    <x:row r="67">
      <x:c r="A67" s="127" t="str">
        <x:f>IF(AND(NOCs!A67="Yes",NOCs!I67="OK"),NOCs!B67,"")</x:f>
      </x:c>
      <x:c r="B67" s="127" t="str">
        <x:f>IF($A67="","",NOCs!C67)</x:f>
      </x:c>
      <x:c r="C67" s="127" t="str">
        <x:f>IF($A67="","","__ALL__")</x:f>
      </x:c>
      <x:c r="D67" s="127" t="str">
        <x:f>IF($A67="","","All Locations")</x:f>
      </x:c>
      <x:c r="E67" s="127" t="str">
        <x:f>IF($A67="","",NOCs!E67)</x:f>
      </x:c>
      <x:c r="F67" s="127" t="str">
        <x:f>IF($A67="","",0)</x:f>
      </x:c>
      <x:c r="G67" s="127" t="str">
        <x:f>IF($A67="","","ALL")</x:f>
      </x:c>
      <x:c r="H67" s="127" t="str">
        <x:f>IF($A67="","","OK")</x:f>
      </x:c>
    </x:row>
    <x:row r="68">
      <x:c r="A68" s="127" t="str">
        <x:f>IF(AND(NOCs!A68="Yes",NOCs!I68="OK"),NOCs!B68,"")</x:f>
      </x:c>
      <x:c r="B68" s="127" t="str">
        <x:f>IF($A68="","",NOCs!C68)</x:f>
      </x:c>
      <x:c r="C68" s="127" t="str">
        <x:f>IF($A68="","","__ALL__")</x:f>
      </x:c>
      <x:c r="D68" s="127" t="str">
        <x:f>IF($A68="","","All Locations")</x:f>
      </x:c>
      <x:c r="E68" s="127" t="str">
        <x:f>IF($A68="","",NOCs!E68)</x:f>
      </x:c>
      <x:c r="F68" s="127" t="str">
        <x:f>IF($A68="","",0)</x:f>
      </x:c>
      <x:c r="G68" s="127" t="str">
        <x:f>IF($A68="","","ALL")</x:f>
      </x:c>
      <x:c r="H68" s="127" t="str">
        <x:f>IF($A68="","","OK")</x:f>
      </x:c>
    </x:row>
    <x:row r="69">
      <x:c r="A69" s="127" t="str">
        <x:f>IF(AND(NOCs!A69="Yes",NOCs!I69="OK"),NOCs!B69,"")</x:f>
      </x:c>
      <x:c r="B69" s="127" t="str">
        <x:f>IF($A69="","",NOCs!C69)</x:f>
      </x:c>
      <x:c r="C69" s="127" t="str">
        <x:f>IF($A69="","","__ALL__")</x:f>
      </x:c>
      <x:c r="D69" s="127" t="str">
        <x:f>IF($A69="","","All Locations")</x:f>
      </x:c>
      <x:c r="E69" s="127" t="str">
        <x:f>IF($A69="","",NOCs!E69)</x:f>
      </x:c>
      <x:c r="F69" s="127" t="str">
        <x:f>IF($A69="","",0)</x:f>
      </x:c>
      <x:c r="G69" s="127" t="str">
        <x:f>IF($A69="","","ALL")</x:f>
      </x:c>
      <x:c r="H69" s="127" t="str">
        <x:f>IF($A69="","","OK")</x:f>
      </x:c>
    </x:row>
    <x:row r="70">
      <x:c r="A70" s="127" t="str">
        <x:f>IF(AND(NOCs!A70="Yes",NOCs!I70="OK"),NOCs!B70,"")</x:f>
      </x:c>
      <x:c r="B70" s="127" t="str">
        <x:f>IF($A70="","",NOCs!C70)</x:f>
      </x:c>
      <x:c r="C70" s="127" t="str">
        <x:f>IF($A70="","","__ALL__")</x:f>
      </x:c>
      <x:c r="D70" s="127" t="str">
        <x:f>IF($A70="","","All Locations")</x:f>
      </x:c>
      <x:c r="E70" s="127" t="str">
        <x:f>IF($A70="","",NOCs!E70)</x:f>
      </x:c>
      <x:c r="F70" s="127" t="str">
        <x:f>IF($A70="","",0)</x:f>
      </x:c>
      <x:c r="G70" s="127" t="str">
        <x:f>IF($A70="","","ALL")</x:f>
      </x:c>
      <x:c r="H70" s="127" t="str">
        <x:f>IF($A70="","","OK")</x:f>
      </x:c>
    </x:row>
    <x:row r="71">
      <x:c r="A71" s="127" t="str">
        <x:f>IF(AND(NOCs!A71="Yes",NOCs!I71="OK"),NOCs!B71,"")</x:f>
      </x:c>
      <x:c r="B71" s="127" t="str">
        <x:f>IF($A71="","",NOCs!C71)</x:f>
      </x:c>
      <x:c r="C71" s="127" t="str">
        <x:f>IF($A71="","","__ALL__")</x:f>
      </x:c>
      <x:c r="D71" s="127" t="str">
        <x:f>IF($A71="","","All Locations")</x:f>
      </x:c>
      <x:c r="E71" s="127" t="str">
        <x:f>IF($A71="","",NOCs!E71)</x:f>
      </x:c>
      <x:c r="F71" s="127" t="str">
        <x:f>IF($A71="","",0)</x:f>
      </x:c>
      <x:c r="G71" s="127" t="str">
        <x:f>IF($A71="","","ALL")</x:f>
      </x:c>
      <x:c r="H71" s="127" t="str">
        <x:f>IF($A71="","","OK")</x:f>
      </x:c>
    </x:row>
    <x:row r="72">
      <x:c r="A72" s="127" t="str">
        <x:f>IF(AND(NOCs!A72="Yes",NOCs!I72="OK"),NOCs!B72,"")</x:f>
      </x:c>
      <x:c r="B72" s="127" t="str">
        <x:f>IF($A72="","",NOCs!C72)</x:f>
      </x:c>
      <x:c r="C72" s="127" t="str">
        <x:f>IF($A72="","","__ALL__")</x:f>
      </x:c>
      <x:c r="D72" s="127" t="str">
        <x:f>IF($A72="","","All Locations")</x:f>
      </x:c>
      <x:c r="E72" s="127" t="str">
        <x:f>IF($A72="","",NOCs!E72)</x:f>
      </x:c>
      <x:c r="F72" s="127" t="str">
        <x:f>IF($A72="","",0)</x:f>
      </x:c>
      <x:c r="G72" s="127" t="str">
        <x:f>IF($A72="","","ALL")</x:f>
      </x:c>
      <x:c r="H72" s="127" t="str">
        <x:f>IF($A72="","","OK")</x:f>
      </x:c>
    </x:row>
    <x:row r="73">
      <x:c r="A73" s="127" t="str">
        <x:f>IF(AND(NOCs!A73="Yes",NOCs!I73="OK"),NOCs!B73,"")</x:f>
      </x:c>
      <x:c r="B73" s="127" t="str">
        <x:f>IF($A73="","",NOCs!C73)</x:f>
      </x:c>
      <x:c r="C73" s="127" t="str">
        <x:f>IF($A73="","","__ALL__")</x:f>
      </x:c>
      <x:c r="D73" s="127" t="str">
        <x:f>IF($A73="","","All Locations")</x:f>
      </x:c>
      <x:c r="E73" s="127" t="str">
        <x:f>IF($A73="","",NOCs!E73)</x:f>
      </x:c>
      <x:c r="F73" s="127" t="str">
        <x:f>IF($A73="","",0)</x:f>
      </x:c>
      <x:c r="G73" s="127" t="str">
        <x:f>IF($A73="","","ALL")</x:f>
      </x:c>
      <x:c r="H73" s="127" t="str">
        <x:f>IF($A73="","","OK")</x:f>
      </x:c>
    </x:row>
    <x:row r="74">
      <x:c r="A74" s="127" t="str">
        <x:f>IF(AND(NOCs!A74="Yes",NOCs!I74="OK"),NOCs!B74,"")</x:f>
      </x:c>
      <x:c r="B74" s="127" t="str">
        <x:f>IF($A74="","",NOCs!C74)</x:f>
      </x:c>
      <x:c r="C74" s="127" t="str">
        <x:f>IF($A74="","","__ALL__")</x:f>
      </x:c>
      <x:c r="D74" s="127" t="str">
        <x:f>IF($A74="","","All Locations")</x:f>
      </x:c>
      <x:c r="E74" s="127" t="str">
        <x:f>IF($A74="","",NOCs!E74)</x:f>
      </x:c>
      <x:c r="F74" s="127" t="str">
        <x:f>IF($A74="","",0)</x:f>
      </x:c>
      <x:c r="G74" s="127" t="str">
        <x:f>IF($A74="","","ALL")</x:f>
      </x:c>
      <x:c r="H74" s="127" t="str">
        <x:f>IF($A74="","","OK")</x:f>
      </x:c>
    </x:row>
    <x:row r="75">
      <x:c r="A75" s="127" t="str">
        <x:f>IF(AND(NOCs!A75="Yes",NOCs!I75="OK"),NOCs!B75,"")</x:f>
      </x:c>
      <x:c r="B75" s="127" t="str">
        <x:f>IF($A75="","",NOCs!C75)</x:f>
      </x:c>
      <x:c r="C75" s="127" t="str">
        <x:f>IF($A75="","","__ALL__")</x:f>
      </x:c>
      <x:c r="D75" s="127" t="str">
        <x:f>IF($A75="","","All Locations")</x:f>
      </x:c>
      <x:c r="E75" s="127" t="str">
        <x:f>IF($A75="","",NOCs!E75)</x:f>
      </x:c>
      <x:c r="F75" s="127" t="str">
        <x:f>IF($A75="","",0)</x:f>
      </x:c>
      <x:c r="G75" s="127" t="str">
        <x:f>IF($A75="","","ALL")</x:f>
      </x:c>
      <x:c r="H75" s="127" t="str">
        <x:f>IF($A75="","","OK")</x:f>
      </x:c>
    </x:row>
    <x:row r="76">
      <x:c r="A76" s="127" t="str">
        <x:f>IF(AND(NOCs!A76="Yes",NOCs!I76="OK"),NOCs!B76,"")</x:f>
      </x:c>
      <x:c r="B76" s="127" t="str">
        <x:f>IF($A76="","",NOCs!C76)</x:f>
      </x:c>
      <x:c r="C76" s="127" t="str">
        <x:f>IF($A76="","","__ALL__")</x:f>
      </x:c>
      <x:c r="D76" s="127" t="str">
        <x:f>IF($A76="","","All Locations")</x:f>
      </x:c>
      <x:c r="E76" s="127" t="str">
        <x:f>IF($A76="","",NOCs!E76)</x:f>
      </x:c>
      <x:c r="F76" s="127" t="str">
        <x:f>IF($A76="","",0)</x:f>
      </x:c>
      <x:c r="G76" s="127" t="str">
        <x:f>IF($A76="","","ALL")</x:f>
      </x:c>
      <x:c r="H76" s="127" t="str">
        <x:f>IF($A76="","","OK")</x:f>
      </x:c>
    </x:row>
    <x:row r="77">
      <x:c r="A77" s="127" t="str">
        <x:f>IF(AND(NOCs!A77="Yes",NOCs!I77="OK"),NOCs!B77,"")</x:f>
      </x:c>
      <x:c r="B77" s="127" t="str">
        <x:f>IF($A77="","",NOCs!C77)</x:f>
      </x:c>
      <x:c r="C77" s="127" t="str">
        <x:f>IF($A77="","","__ALL__")</x:f>
      </x:c>
      <x:c r="D77" s="127" t="str">
        <x:f>IF($A77="","","All Locations")</x:f>
      </x:c>
      <x:c r="E77" s="127" t="str">
        <x:f>IF($A77="","",NOCs!E77)</x:f>
      </x:c>
      <x:c r="F77" s="127" t="str">
        <x:f>IF($A77="","",0)</x:f>
      </x:c>
      <x:c r="G77" s="127" t="str">
        <x:f>IF($A77="","","ALL")</x:f>
      </x:c>
      <x:c r="H77" s="127" t="str">
        <x:f>IF($A77="","","OK")</x:f>
      </x:c>
    </x:row>
    <x:row r="78">
      <x:c r="A78" s="127" t="str">
        <x:f>IF(AND(NOCs!A78="Yes",NOCs!I78="OK"),NOCs!B78,"")</x:f>
      </x:c>
      <x:c r="B78" s="127" t="str">
        <x:f>IF($A78="","",NOCs!C78)</x:f>
      </x:c>
      <x:c r="C78" s="127" t="str">
        <x:f>IF($A78="","","__ALL__")</x:f>
      </x:c>
      <x:c r="D78" s="127" t="str">
        <x:f>IF($A78="","","All Locations")</x:f>
      </x:c>
      <x:c r="E78" s="127" t="str">
        <x:f>IF($A78="","",NOCs!E78)</x:f>
      </x:c>
      <x:c r="F78" s="127" t="str">
        <x:f>IF($A78="","",0)</x:f>
      </x:c>
      <x:c r="G78" s="127" t="str">
        <x:f>IF($A78="","","ALL")</x:f>
      </x:c>
      <x:c r="H78" s="127" t="str">
        <x:f>IF($A78="","","OK")</x:f>
      </x:c>
    </x:row>
    <x:row r="79">
      <x:c r="A79" s="127" t="str">
        <x:f>IF(AND(NOCs!A79="Yes",NOCs!I79="OK"),NOCs!B79,"")</x:f>
      </x:c>
      <x:c r="B79" s="127" t="str">
        <x:f>IF($A79="","",NOCs!C79)</x:f>
      </x:c>
      <x:c r="C79" s="127" t="str">
        <x:f>IF($A79="","","__ALL__")</x:f>
      </x:c>
      <x:c r="D79" s="127" t="str">
        <x:f>IF($A79="","","All Locations")</x:f>
      </x:c>
      <x:c r="E79" s="127" t="str">
        <x:f>IF($A79="","",NOCs!E79)</x:f>
      </x:c>
      <x:c r="F79" s="127" t="str">
        <x:f>IF($A79="","",0)</x:f>
      </x:c>
      <x:c r="G79" s="127" t="str">
        <x:f>IF($A79="","","ALL")</x:f>
      </x:c>
      <x:c r="H79" s="127" t="str">
        <x:f>IF($A79="","","OK")</x:f>
      </x:c>
    </x:row>
    <x:row r="80">
      <x:c r="A80" s="127" t="str">
        <x:f>IF(AND(NOCs!A80="Yes",NOCs!I80="OK"),NOCs!B80,"")</x:f>
      </x:c>
      <x:c r="B80" s="127" t="str">
        <x:f>IF($A80="","",NOCs!C80)</x:f>
      </x:c>
      <x:c r="C80" s="127" t="str">
        <x:f>IF($A80="","","__ALL__")</x:f>
      </x:c>
      <x:c r="D80" s="127" t="str">
        <x:f>IF($A80="","","All Locations")</x:f>
      </x:c>
      <x:c r="E80" s="127" t="str">
        <x:f>IF($A80="","",NOCs!E80)</x:f>
      </x:c>
      <x:c r="F80" s="127" t="str">
        <x:f>IF($A80="","",0)</x:f>
      </x:c>
      <x:c r="G80" s="127" t="str">
        <x:f>IF($A80="","","ALL")</x:f>
      </x:c>
      <x:c r="H80" s="127" t="str">
        <x:f>IF($A80="","","OK")</x:f>
      </x:c>
    </x:row>
    <x:row r="81">
      <x:c r="A81" s="127" t="str">
        <x:f>IF(AND(NOCs!A81="Yes",NOCs!I81="OK"),NOCs!B81,"")</x:f>
      </x:c>
      <x:c r="B81" s="127" t="str">
        <x:f>IF($A81="","",NOCs!C81)</x:f>
      </x:c>
      <x:c r="C81" s="127" t="str">
        <x:f>IF($A81="","","__ALL__")</x:f>
      </x:c>
      <x:c r="D81" s="127" t="str">
        <x:f>IF($A81="","","All Locations")</x:f>
      </x:c>
      <x:c r="E81" s="127" t="str">
        <x:f>IF($A81="","",NOCs!E81)</x:f>
      </x:c>
      <x:c r="F81" s="127" t="str">
        <x:f>IF($A81="","",0)</x:f>
      </x:c>
      <x:c r="G81" s="127" t="str">
        <x:f>IF($A81="","","ALL")</x:f>
      </x:c>
      <x:c r="H81" s="127" t="str">
        <x:f>IF($A81="","","OK")</x:f>
      </x:c>
    </x:row>
    <x:row r="82">
      <x:c r="A82" s="127" t="str">
        <x:f>IF(AND(NOCs!A82="Yes",NOCs!I82="OK"),NOCs!B82,"")</x:f>
      </x:c>
      <x:c r="B82" s="127" t="str">
        <x:f>IF($A82="","",NOCs!C82)</x:f>
      </x:c>
      <x:c r="C82" s="127" t="str">
        <x:f>IF($A82="","","__ALL__")</x:f>
      </x:c>
      <x:c r="D82" s="127" t="str">
        <x:f>IF($A82="","","All Locations")</x:f>
      </x:c>
      <x:c r="E82" s="127" t="str">
        <x:f>IF($A82="","",NOCs!E82)</x:f>
      </x:c>
      <x:c r="F82" s="127" t="str">
        <x:f>IF($A82="","",0)</x:f>
      </x:c>
      <x:c r="G82" s="127" t="str">
        <x:f>IF($A82="","","ALL")</x:f>
      </x:c>
      <x:c r="H82" s="127" t="str">
        <x:f>IF($A82="","","OK")</x:f>
      </x:c>
    </x:row>
    <x:row r="83">
      <x:c r="A83" s="127" t="str">
        <x:f>IF(AND(NOCs!A83="Yes",NOCs!I83="OK"),NOCs!B83,"")</x:f>
      </x:c>
      <x:c r="B83" s="127" t="str">
        <x:f>IF($A83="","",NOCs!C83)</x:f>
      </x:c>
      <x:c r="C83" s="127" t="str">
        <x:f>IF($A83="","","__ALL__")</x:f>
      </x:c>
      <x:c r="D83" s="127" t="str">
        <x:f>IF($A83="","","All Locations")</x:f>
      </x:c>
      <x:c r="E83" s="127" t="str">
        <x:f>IF($A83="","",NOCs!E83)</x:f>
      </x:c>
      <x:c r="F83" s="127" t="str">
        <x:f>IF($A83="","",0)</x:f>
      </x:c>
      <x:c r="G83" s="127" t="str">
        <x:f>IF($A83="","","ALL")</x:f>
      </x:c>
      <x:c r="H83" s="127" t="str">
        <x:f>IF($A83="","","OK")</x:f>
      </x:c>
    </x:row>
    <x:row r="84">
      <x:c r="A84" s="127" t="str">
        <x:f>IF(AND(NOCs!A84="Yes",NOCs!I84="OK"),NOCs!B84,"")</x:f>
      </x:c>
      <x:c r="B84" s="127" t="str">
        <x:f>IF($A84="","",NOCs!C84)</x:f>
      </x:c>
      <x:c r="C84" s="127" t="str">
        <x:f>IF($A84="","","__ALL__")</x:f>
      </x:c>
      <x:c r="D84" s="127" t="str">
        <x:f>IF($A84="","","All Locations")</x:f>
      </x:c>
      <x:c r="E84" s="127" t="str">
        <x:f>IF($A84="","",NOCs!E84)</x:f>
      </x:c>
      <x:c r="F84" s="127" t="str">
        <x:f>IF($A84="","",0)</x:f>
      </x:c>
      <x:c r="G84" s="127" t="str">
        <x:f>IF($A84="","","ALL")</x:f>
      </x:c>
      <x:c r="H84" s="127" t="str">
        <x:f>IF($A84="","","OK")</x:f>
      </x:c>
    </x:row>
    <x:row r="85">
      <x:c r="A85" s="127" t="str">
        <x:f>IF(AND(NOCs!A85="Yes",NOCs!I85="OK"),NOCs!B85,"")</x:f>
      </x:c>
      <x:c r="B85" s="127" t="str">
        <x:f>IF($A85="","",NOCs!C85)</x:f>
      </x:c>
      <x:c r="C85" s="127" t="str">
        <x:f>IF($A85="","","__ALL__")</x:f>
      </x:c>
      <x:c r="D85" s="127" t="str">
        <x:f>IF($A85="","","All Locations")</x:f>
      </x:c>
      <x:c r="E85" s="127" t="str">
        <x:f>IF($A85="","",NOCs!E85)</x:f>
      </x:c>
      <x:c r="F85" s="127" t="str">
        <x:f>IF($A85="","",0)</x:f>
      </x:c>
      <x:c r="G85" s="127" t="str">
        <x:f>IF($A85="","","ALL")</x:f>
      </x:c>
      <x:c r="H85" s="127" t="str">
        <x:f>IF($A85="","","OK")</x:f>
      </x:c>
    </x:row>
    <x:row r="86">
      <x:c r="A86" s="127" t="str">
        <x:f>IF(AND(NOCs!A86="Yes",NOCs!I86="OK"),NOCs!B86,"")</x:f>
      </x:c>
      <x:c r="B86" s="127" t="str">
        <x:f>IF($A86="","",NOCs!C86)</x:f>
      </x:c>
      <x:c r="C86" s="127" t="str">
        <x:f>IF($A86="","","__ALL__")</x:f>
      </x:c>
      <x:c r="D86" s="127" t="str">
        <x:f>IF($A86="","","All Locations")</x:f>
      </x:c>
      <x:c r="E86" s="127" t="str">
        <x:f>IF($A86="","",NOCs!E86)</x:f>
      </x:c>
      <x:c r="F86" s="127" t="str">
        <x:f>IF($A86="","",0)</x:f>
      </x:c>
      <x:c r="G86" s="127" t="str">
        <x:f>IF($A86="","","ALL")</x:f>
      </x:c>
      <x:c r="H86" s="127" t="str">
        <x:f>IF($A86="","","OK")</x:f>
      </x:c>
    </x:row>
    <x:row r="87">
      <x:c r="A87" s="127" t="str">
        <x:f>IF(AND(NOCs!A87="Yes",NOCs!I87="OK"),NOCs!B87,"")</x:f>
      </x:c>
      <x:c r="B87" s="127" t="str">
        <x:f>IF($A87="","",NOCs!C87)</x:f>
      </x:c>
      <x:c r="C87" s="127" t="str">
        <x:f>IF($A87="","","__ALL__")</x:f>
      </x:c>
      <x:c r="D87" s="127" t="str">
        <x:f>IF($A87="","","All Locations")</x:f>
      </x:c>
      <x:c r="E87" s="127" t="str">
        <x:f>IF($A87="","",NOCs!E87)</x:f>
      </x:c>
      <x:c r="F87" s="127" t="str">
        <x:f>IF($A87="","",0)</x:f>
      </x:c>
      <x:c r="G87" s="127" t="str">
        <x:f>IF($A87="","","ALL")</x:f>
      </x:c>
      <x:c r="H87" s="127" t="str">
        <x:f>IF($A87="","","OK")</x:f>
      </x:c>
    </x:row>
    <x:row r="88">
      <x:c r="A88" s="127" t="str">
        <x:f>IF(AND(NOCs!A88="Yes",NOCs!I88="OK"),NOCs!B88,"")</x:f>
      </x:c>
      <x:c r="B88" s="127" t="str">
        <x:f>IF($A88="","",NOCs!C88)</x:f>
      </x:c>
      <x:c r="C88" s="127" t="str">
        <x:f>IF($A88="","","__ALL__")</x:f>
      </x:c>
      <x:c r="D88" s="127" t="str">
        <x:f>IF($A88="","","All Locations")</x:f>
      </x:c>
      <x:c r="E88" s="127" t="str">
        <x:f>IF($A88="","",NOCs!E88)</x:f>
      </x:c>
      <x:c r="F88" s="127" t="str">
        <x:f>IF($A88="","",0)</x:f>
      </x:c>
      <x:c r="G88" s="127" t="str">
        <x:f>IF($A88="","","ALL")</x:f>
      </x:c>
      <x:c r="H88" s="127" t="str">
        <x:f>IF($A88="","","OK")</x:f>
      </x:c>
    </x:row>
    <x:row r="89">
      <x:c r="A89" s="127" t="str">
        <x:f>IF(AND(NOCs!A89="Yes",NOCs!I89="OK"),NOCs!B89,"")</x:f>
      </x:c>
      <x:c r="B89" s="127" t="str">
        <x:f>IF($A89="","",NOCs!C89)</x:f>
      </x:c>
      <x:c r="C89" s="127" t="str">
        <x:f>IF($A89="","","__ALL__")</x:f>
      </x:c>
      <x:c r="D89" s="127" t="str">
        <x:f>IF($A89="","","All Locations")</x:f>
      </x:c>
      <x:c r="E89" s="127" t="str">
        <x:f>IF($A89="","",NOCs!E89)</x:f>
      </x:c>
      <x:c r="F89" s="127" t="str">
        <x:f>IF($A89="","",0)</x:f>
      </x:c>
      <x:c r="G89" s="127" t="str">
        <x:f>IF($A89="","","ALL")</x:f>
      </x:c>
      <x:c r="H89" s="127" t="str">
        <x:f>IF($A89="","","OK")</x:f>
      </x:c>
    </x:row>
    <x:row r="90">
      <x:c r="A90" s="127" t="str">
        <x:f>IF(AND(NOCs!A90="Yes",NOCs!I90="OK"),NOCs!B90,"")</x:f>
      </x:c>
      <x:c r="B90" s="127" t="str">
        <x:f>IF($A90="","",NOCs!C90)</x:f>
      </x:c>
      <x:c r="C90" s="127" t="str">
        <x:f>IF($A90="","","__ALL__")</x:f>
      </x:c>
      <x:c r="D90" s="127" t="str">
        <x:f>IF($A90="","","All Locations")</x:f>
      </x:c>
      <x:c r="E90" s="127" t="str">
        <x:f>IF($A90="","",NOCs!E90)</x:f>
      </x:c>
      <x:c r="F90" s="127" t="str">
        <x:f>IF($A90="","",0)</x:f>
      </x:c>
      <x:c r="G90" s="127" t="str">
        <x:f>IF($A90="","","ALL")</x:f>
      </x:c>
      <x:c r="H90" s="127" t="str">
        <x:f>IF($A90="","","OK")</x:f>
      </x:c>
    </x:row>
    <x:row r="91">
      <x:c r="A91" s="127" t="str">
        <x:f>IF(AND(NOCs!A91="Yes",NOCs!I91="OK"),NOCs!B91,"")</x:f>
      </x:c>
      <x:c r="B91" s="127" t="str">
        <x:f>IF($A91="","",NOCs!C91)</x:f>
      </x:c>
      <x:c r="C91" s="127" t="str">
        <x:f>IF($A91="","","__ALL__")</x:f>
      </x:c>
      <x:c r="D91" s="127" t="str">
        <x:f>IF($A91="","","All Locations")</x:f>
      </x:c>
      <x:c r="E91" s="127" t="str">
        <x:f>IF($A91="","",NOCs!E91)</x:f>
      </x:c>
      <x:c r="F91" s="127" t="str">
        <x:f>IF($A91="","",0)</x:f>
      </x:c>
      <x:c r="G91" s="127" t="str">
        <x:f>IF($A91="","","ALL")</x:f>
      </x:c>
      <x:c r="H91" s="127" t="str">
        <x:f>IF($A91="","","OK")</x:f>
      </x:c>
    </x:row>
    <x:row r="92">
      <x:c r="A92" s="127" t="str">
        <x:f>IF(AND(NOCs!A92="Yes",NOCs!I92="OK"),NOCs!B92,"")</x:f>
      </x:c>
      <x:c r="B92" s="127" t="str">
        <x:f>IF($A92="","",NOCs!C92)</x:f>
      </x:c>
      <x:c r="C92" s="127" t="str">
        <x:f>IF($A92="","","__ALL__")</x:f>
      </x:c>
      <x:c r="D92" s="127" t="str">
        <x:f>IF($A92="","","All Locations")</x:f>
      </x:c>
      <x:c r="E92" s="127" t="str">
        <x:f>IF($A92="","",NOCs!E92)</x:f>
      </x:c>
      <x:c r="F92" s="127" t="str">
        <x:f>IF($A92="","",0)</x:f>
      </x:c>
      <x:c r="G92" s="127" t="str">
        <x:f>IF($A92="","","ALL")</x:f>
      </x:c>
      <x:c r="H92" s="127" t="str">
        <x:f>IF($A92="","","OK")</x:f>
      </x:c>
    </x:row>
    <x:row r="93">
      <x:c r="A93" s="127" t="str">
        <x:f>IF(AND(NOCs!A93="Yes",NOCs!I93="OK"),NOCs!B93,"")</x:f>
      </x:c>
      <x:c r="B93" s="127" t="str">
        <x:f>IF($A93="","",NOCs!C93)</x:f>
      </x:c>
      <x:c r="C93" s="127" t="str">
        <x:f>IF($A93="","","__ALL__")</x:f>
      </x:c>
      <x:c r="D93" s="127" t="str">
        <x:f>IF($A93="","","All Locations")</x:f>
      </x:c>
      <x:c r="E93" s="127" t="str">
        <x:f>IF($A93="","",NOCs!E93)</x:f>
      </x:c>
      <x:c r="F93" s="127" t="str">
        <x:f>IF($A93="","",0)</x:f>
      </x:c>
      <x:c r="G93" s="127" t="str">
        <x:f>IF($A93="","","ALL")</x:f>
      </x:c>
      <x:c r="H93" s="127" t="str">
        <x:f>IF($A93="","","OK")</x:f>
      </x:c>
    </x:row>
    <x:row r="94">
      <x:c r="A94" s="127" t="str">
        <x:f>IF(AND(NOCs!A94="Yes",NOCs!I94="OK"),NOCs!B94,"")</x:f>
      </x:c>
      <x:c r="B94" s="127" t="str">
        <x:f>IF($A94="","",NOCs!C94)</x:f>
      </x:c>
      <x:c r="C94" s="127" t="str">
        <x:f>IF($A94="","","__ALL__")</x:f>
      </x:c>
      <x:c r="D94" s="127" t="str">
        <x:f>IF($A94="","","All Locations")</x:f>
      </x:c>
      <x:c r="E94" s="127" t="str">
        <x:f>IF($A94="","",NOCs!E94)</x:f>
      </x:c>
      <x:c r="F94" s="127" t="str">
        <x:f>IF($A94="","",0)</x:f>
      </x:c>
      <x:c r="G94" s="127" t="str">
        <x:f>IF($A94="","","ALL")</x:f>
      </x:c>
      <x:c r="H94" s="127" t="str">
        <x:f>IF($A94="","","OK")</x:f>
      </x:c>
    </x:row>
    <x:row r="95">
      <x:c r="A95" s="127" t="str">
        <x:f>IF(AND(NOCs!A95="Yes",NOCs!I95="OK"),NOCs!B95,"")</x:f>
      </x:c>
      <x:c r="B95" s="127" t="str">
        <x:f>IF($A95="","",NOCs!C95)</x:f>
      </x:c>
      <x:c r="C95" s="127" t="str">
        <x:f>IF($A95="","","__ALL__")</x:f>
      </x:c>
      <x:c r="D95" s="127" t="str">
        <x:f>IF($A95="","","All Locations")</x:f>
      </x:c>
      <x:c r="E95" s="127" t="str">
        <x:f>IF($A95="","",NOCs!E95)</x:f>
      </x:c>
      <x:c r="F95" s="127" t="str">
        <x:f>IF($A95="","",0)</x:f>
      </x:c>
      <x:c r="G95" s="127" t="str">
        <x:f>IF($A95="","","ALL")</x:f>
      </x:c>
      <x:c r="H95" s="127" t="str">
        <x:f>IF($A95="","","OK")</x:f>
      </x:c>
    </x:row>
    <x:row r="96">
      <x:c r="A96" s="127" t="str">
        <x:f>IF(AND(NOCs!A96="Yes",NOCs!I96="OK"),NOCs!B96,"")</x:f>
      </x:c>
      <x:c r="B96" s="127" t="str">
        <x:f>IF($A96="","",NOCs!C96)</x:f>
      </x:c>
      <x:c r="C96" s="127" t="str">
        <x:f>IF($A96="","","__ALL__")</x:f>
      </x:c>
      <x:c r="D96" s="127" t="str">
        <x:f>IF($A96="","","All Locations")</x:f>
      </x:c>
      <x:c r="E96" s="127" t="str">
        <x:f>IF($A96="","",NOCs!E96)</x:f>
      </x:c>
      <x:c r="F96" s="127" t="str">
        <x:f>IF($A96="","",0)</x:f>
      </x:c>
      <x:c r="G96" s="127" t="str">
        <x:f>IF($A96="","","ALL")</x:f>
      </x:c>
      <x:c r="H96" s="127" t="str">
        <x:f>IF($A96="","","OK")</x:f>
      </x:c>
    </x:row>
    <x:row r="97">
      <x:c r="A97" s="127" t="str">
        <x:f>IF(AND(NOCs!A97="Yes",NOCs!I97="OK"),NOCs!B97,"")</x:f>
      </x:c>
      <x:c r="B97" s="127" t="str">
        <x:f>IF($A97="","",NOCs!C97)</x:f>
      </x:c>
      <x:c r="C97" s="127" t="str">
        <x:f>IF($A97="","","__ALL__")</x:f>
      </x:c>
      <x:c r="D97" s="127" t="str">
        <x:f>IF($A97="","","All Locations")</x:f>
      </x:c>
      <x:c r="E97" s="127" t="str">
        <x:f>IF($A97="","",NOCs!E97)</x:f>
      </x:c>
      <x:c r="F97" s="127" t="str">
        <x:f>IF($A97="","",0)</x:f>
      </x:c>
      <x:c r="G97" s="127" t="str">
        <x:f>IF($A97="","","ALL")</x:f>
      </x:c>
      <x:c r="H97" s="127" t="str">
        <x:f>IF($A97="","","OK")</x:f>
      </x:c>
    </x:row>
    <x:row r="98">
      <x:c r="A98" s="127" t="str">
        <x:f>IF(AND(NOCs!A98="Yes",NOCs!I98="OK"),NOCs!B98,"")</x:f>
      </x:c>
      <x:c r="B98" s="127" t="str">
        <x:f>IF($A98="","",NOCs!C98)</x:f>
      </x:c>
      <x:c r="C98" s="127" t="str">
        <x:f>IF($A98="","","__ALL__")</x:f>
      </x:c>
      <x:c r="D98" s="127" t="str">
        <x:f>IF($A98="","","All Locations")</x:f>
      </x:c>
      <x:c r="E98" s="127" t="str">
        <x:f>IF($A98="","",NOCs!E98)</x:f>
      </x:c>
      <x:c r="F98" s="127" t="str">
        <x:f>IF($A98="","",0)</x:f>
      </x:c>
      <x:c r="G98" s="127" t="str">
        <x:f>IF($A98="","","ALL")</x:f>
      </x:c>
      <x:c r="H98" s="127" t="str">
        <x:f>IF($A98="","","OK")</x:f>
      </x:c>
    </x:row>
    <x:row r="99">
      <x:c r="A99" s="127" t="str">
        <x:f>IF(AND(NOCs!A99="Yes",NOCs!I99="OK"),NOCs!B99,"")</x:f>
      </x:c>
      <x:c r="B99" s="127" t="str">
        <x:f>IF($A99="","",NOCs!C99)</x:f>
      </x:c>
      <x:c r="C99" s="127" t="str">
        <x:f>IF($A99="","","__ALL__")</x:f>
      </x:c>
      <x:c r="D99" s="127" t="str">
        <x:f>IF($A99="","","All Locations")</x:f>
      </x:c>
      <x:c r="E99" s="127" t="str">
        <x:f>IF($A99="","",NOCs!E99)</x:f>
      </x:c>
      <x:c r="F99" s="127" t="str">
        <x:f>IF($A99="","",0)</x:f>
      </x:c>
      <x:c r="G99" s="127" t="str">
        <x:f>IF($A99="","","ALL")</x:f>
      </x:c>
      <x:c r="H99" s="127" t="str">
        <x:f>IF($A99="","","OK")</x:f>
      </x:c>
    </x:row>
    <x:row r="100">
      <x:c r="A100" s="127" t="str">
        <x:f>IF(AND(NOCs!A100="Yes",NOCs!I100="OK"),NOCs!B100,"")</x:f>
      </x:c>
      <x:c r="B100" s="127" t="str">
        <x:f>IF($A100="","",NOCs!C100)</x:f>
      </x:c>
      <x:c r="C100" s="127" t="str">
        <x:f>IF($A100="","","__ALL__")</x:f>
      </x:c>
      <x:c r="D100" s="127" t="str">
        <x:f>IF($A100="","","All Locations")</x:f>
      </x:c>
      <x:c r="E100" s="127" t="str">
        <x:f>IF($A100="","",NOCs!E100)</x:f>
      </x:c>
      <x:c r="F100" s="127" t="str">
        <x:f>IF($A100="","",0)</x:f>
      </x:c>
      <x:c r="G100" s="127" t="str">
        <x:f>IF($A100="","","ALL")</x:f>
      </x:c>
      <x:c r="H100" s="127" t="str">
        <x:f>IF($A100="","","OK")</x:f>
      </x:c>
    </x:row>
    <x:row r="101">
      <x:c r="A101" s="127" t="str">
        <x:f>IF(AND(NOCs!A101="Yes",NOCs!I101="OK"),NOCs!B101,"")</x:f>
      </x:c>
      <x:c r="B101" s="127" t="str">
        <x:f>IF($A101="","",NOCs!C101)</x:f>
      </x:c>
      <x:c r="C101" s="127" t="str">
        <x:f>IF($A101="","","__ALL__")</x:f>
      </x:c>
      <x:c r="D101" s="127" t="str">
        <x:f>IF($A101="","","All Locations")</x:f>
      </x:c>
      <x:c r="E101" s="127" t="str">
        <x:f>IF($A101="","",NOCs!E101)</x:f>
      </x:c>
      <x:c r="F101" s="127" t="str">
        <x:f>IF($A101="","",0)</x:f>
      </x:c>
      <x:c r="G101" s="127" t="str">
        <x:f>IF($A101="","","ALL")</x:f>
      </x:c>
      <x:c r="H101" s="127" t="str">
        <x:f>IF($A101="","","OK")</x:f>
      </x:c>
    </x:row>
    <x:row r="102">
      <x:c r="A102" s="127" t="str">
        <x:f>IF(AND(NOCs!A102="Yes",NOCs!I102="OK"),NOCs!B102,"")</x:f>
      </x:c>
      <x:c r="B102" s="127" t="str">
        <x:f>IF($A102="","",NOCs!C102)</x:f>
      </x:c>
      <x:c r="C102" s="127" t="str">
        <x:f>IF($A102="","","__ALL__")</x:f>
      </x:c>
      <x:c r="D102" s="127" t="str">
        <x:f>IF($A102="","","All Locations")</x:f>
      </x:c>
      <x:c r="E102" s="127" t="str">
        <x:f>IF($A102="","",NOCs!E102)</x:f>
      </x:c>
      <x:c r="F102" s="127" t="str">
        <x:f>IF($A102="","",0)</x:f>
      </x:c>
      <x:c r="G102" s="127" t="str">
        <x:f>IF($A102="","","ALL")</x:f>
      </x:c>
      <x:c r="H102" s="127" t="str">
        <x:f>IF($A102="","","OK")</x:f>
      </x:c>
    </x:row>
    <x:row r="103">
      <x:c r="A103" s="127" t="str">
        <x:f>IF(AND(NOCs!A103="Yes",NOCs!I103="OK"),NOCs!B103,"")</x:f>
      </x:c>
      <x:c r="B103" s="127" t="str">
        <x:f>IF($A103="","",NOCs!C103)</x:f>
      </x:c>
      <x:c r="C103" s="127" t="str">
        <x:f>IF($A103="","","__ALL__")</x:f>
      </x:c>
      <x:c r="D103" s="127" t="str">
        <x:f>IF($A103="","","All Locations")</x:f>
      </x:c>
      <x:c r="E103" s="127" t="str">
        <x:f>IF($A103="","",NOCs!E103)</x:f>
      </x:c>
      <x:c r="F103" s="127" t="str">
        <x:f>IF($A103="","",0)</x:f>
      </x:c>
      <x:c r="G103" s="127" t="str">
        <x:f>IF($A103="","","ALL")</x:f>
      </x:c>
      <x:c r="H103" s="127" t="str">
        <x:f>IF($A103="","","OK")</x:f>
      </x:c>
    </x:row>
    <x:row r="104">
      <x:c r="A104" s="127" t="str">
        <x:f>IF(AND(NOCs!A104="Yes",NOCs!I104="OK"),NOCs!B104,"")</x:f>
      </x:c>
      <x:c r="B104" s="127" t="str">
        <x:f>IF($A104="","",NOCs!C104)</x:f>
      </x:c>
      <x:c r="C104" s="127" t="str">
        <x:f>IF($A104="","","__ALL__")</x:f>
      </x:c>
      <x:c r="D104" s="127" t="str">
        <x:f>IF($A104="","","All Locations")</x:f>
      </x:c>
      <x:c r="E104" s="127" t="str">
        <x:f>IF($A104="","",NOCs!E104)</x:f>
      </x:c>
      <x:c r="F104" s="127" t="str">
        <x:f>IF($A104="","",0)</x:f>
      </x:c>
      <x:c r="G104" s="127" t="str">
        <x:f>IF($A104="","","ALL")</x:f>
      </x:c>
      <x:c r="H104" s="127" t="str">
        <x:f>IF($A104="","","OK")</x:f>
      </x:c>
    </x:row>
    <x:row r="105">
      <x:c r="A105" s="127" t="str">
        <x:f>IF(AND(NOCs!A105="Yes",NOCs!I105="OK"),NOCs!B105,"")</x:f>
      </x:c>
      <x:c r="B105" s="127" t="str">
        <x:f>IF($A105="","",NOCs!C105)</x:f>
      </x:c>
      <x:c r="C105" s="127" t="str">
        <x:f>IF($A105="","","__ALL__")</x:f>
      </x:c>
      <x:c r="D105" s="127" t="str">
        <x:f>IF($A105="","","All Locations")</x:f>
      </x:c>
      <x:c r="E105" s="127" t="str">
        <x:f>IF($A105="","",NOCs!E105)</x:f>
      </x:c>
      <x:c r="F105" s="127" t="str">
        <x:f>IF($A105="","",0)</x:f>
      </x:c>
      <x:c r="G105" s="127" t="str">
        <x:f>IF($A105="","","ALL")</x:f>
      </x:c>
      <x:c r="H105" s="127" t="str">
        <x:f>IF($A105="","","OK")</x:f>
      </x:c>
    </x:row>
    <x:row r="106">
      <x:c r="A106" s="127" t="str">
        <x:f>IF(AND(NOCs!A106="Yes",NOCs!I106="OK"),NOCs!B106,"")</x:f>
      </x:c>
      <x:c r="B106" s="127" t="str">
        <x:f>IF($A106="","",NOCs!C106)</x:f>
      </x:c>
      <x:c r="C106" s="127" t="str">
        <x:f>IF($A106="","","__ALL__")</x:f>
      </x:c>
      <x:c r="D106" s="127" t="str">
        <x:f>IF($A106="","","All Locations")</x:f>
      </x:c>
      <x:c r="E106" s="127" t="str">
        <x:f>IF($A106="","",NOCs!E106)</x:f>
      </x:c>
      <x:c r="F106" s="127" t="str">
        <x:f>IF($A106="","",0)</x:f>
      </x:c>
      <x:c r="G106" s="127" t="str">
        <x:f>IF($A106="","","ALL")</x:f>
      </x:c>
      <x:c r="H106" s="127" t="str">
        <x:f>IF($A106="","","OK")</x:f>
      </x:c>
    </x:row>
    <x:row r="107">
      <x:c r="A107" s="127" t="str">
        <x:f>IF(AND(NOCs!A107="Yes",NOCs!I107="OK"),NOCs!B107,"")</x:f>
      </x:c>
      <x:c r="B107" s="127" t="str">
        <x:f>IF($A107="","",NOCs!C107)</x:f>
      </x:c>
      <x:c r="C107" s="127" t="str">
        <x:f>IF($A107="","","__ALL__")</x:f>
      </x:c>
      <x:c r="D107" s="127" t="str">
        <x:f>IF($A107="","","All Locations")</x:f>
      </x:c>
      <x:c r="E107" s="127" t="str">
        <x:f>IF($A107="","",NOCs!E107)</x:f>
      </x:c>
      <x:c r="F107" s="127" t="str">
        <x:f>IF($A107="","",0)</x:f>
      </x:c>
      <x:c r="G107" s="127" t="str">
        <x:f>IF($A107="","","ALL")</x:f>
      </x:c>
      <x:c r="H107" s="127" t="str">
        <x:f>IF($A107="","","OK")</x:f>
      </x:c>
    </x:row>
    <x:row r="108">
      <x:c r="A108" s="127" t="str">
        <x:f>IF(AND(NOCs!A108="Yes",NOCs!I108="OK"),NOCs!B108,"")</x:f>
      </x:c>
      <x:c r="B108" s="127" t="str">
        <x:f>IF($A108="","",NOCs!C108)</x:f>
      </x:c>
      <x:c r="C108" s="127" t="str">
        <x:f>IF($A108="","","__ALL__")</x:f>
      </x:c>
      <x:c r="D108" s="127" t="str">
        <x:f>IF($A108="","","All Locations")</x:f>
      </x:c>
      <x:c r="E108" s="127" t="str">
        <x:f>IF($A108="","",NOCs!E108)</x:f>
      </x:c>
      <x:c r="F108" s="127" t="str">
        <x:f>IF($A108="","",0)</x:f>
      </x:c>
      <x:c r="G108" s="127" t="str">
        <x:f>IF($A108="","","ALL")</x:f>
      </x:c>
      <x:c r="H108" s="127" t="str">
        <x:f>IF($A108="","","OK")</x:f>
      </x:c>
    </x:row>
    <x:row r="109">
      <x:c r="A109" s="127" t="str">
        <x:f>IF(AND(NOCs!A109="Yes",NOCs!I109="OK"),NOCs!B109,"")</x:f>
      </x:c>
      <x:c r="B109" s="127" t="str">
        <x:f>IF($A109="","",NOCs!C109)</x:f>
      </x:c>
      <x:c r="C109" s="127" t="str">
        <x:f>IF($A109="","","__ALL__")</x:f>
      </x:c>
      <x:c r="D109" s="127" t="str">
        <x:f>IF($A109="","","All Locations")</x:f>
      </x:c>
      <x:c r="E109" s="127" t="str">
        <x:f>IF($A109="","",NOCs!E109)</x:f>
      </x:c>
      <x:c r="F109" s="127" t="str">
        <x:f>IF($A109="","",0)</x:f>
      </x:c>
      <x:c r="G109" s="127" t="str">
        <x:f>IF($A109="","","ALL")</x:f>
      </x:c>
      <x:c r="H109" s="127" t="str">
        <x:f>IF($A109="","","OK")</x:f>
      </x:c>
    </x:row>
    <x:row r="110">
      <x:c r="A110" s="127" t="str">
        <x:f>IF(AND(NOCs!A110="Yes",NOCs!I110="OK"),NOCs!B110,"")</x:f>
      </x:c>
      <x:c r="B110" s="127" t="str">
        <x:f>IF($A110="","",NOCs!C110)</x:f>
      </x:c>
      <x:c r="C110" s="127" t="str">
        <x:f>IF($A110="","","__ALL__")</x:f>
      </x:c>
      <x:c r="D110" s="127" t="str">
        <x:f>IF($A110="","","All Locations")</x:f>
      </x:c>
      <x:c r="E110" s="127" t="str">
        <x:f>IF($A110="","",NOCs!E110)</x:f>
      </x:c>
      <x:c r="F110" s="127" t="str">
        <x:f>IF($A110="","",0)</x:f>
      </x:c>
      <x:c r="G110" s="127" t="str">
        <x:f>IF($A110="","","ALL")</x:f>
      </x:c>
      <x:c r="H110" s="127" t="str">
        <x:f>IF($A110="","","OK")</x:f>
      </x:c>
    </x:row>
    <x:row r="111">
      <x:c r="A111" s="127" t="str">
        <x:f>IF(AND(NOCs!A111="Yes",NOCs!I111="OK"),NOCs!B111,"")</x:f>
      </x:c>
      <x:c r="B111" s="127" t="str">
        <x:f>IF($A111="","",NOCs!C111)</x:f>
      </x:c>
      <x:c r="C111" s="127" t="str">
        <x:f>IF($A111="","","__ALL__")</x:f>
      </x:c>
      <x:c r="D111" s="127" t="str">
        <x:f>IF($A111="","","All Locations")</x:f>
      </x:c>
      <x:c r="E111" s="127" t="str">
        <x:f>IF($A111="","",NOCs!E111)</x:f>
      </x:c>
      <x:c r="F111" s="127" t="str">
        <x:f>IF($A111="","",0)</x:f>
      </x:c>
      <x:c r="G111" s="127" t="str">
        <x:f>IF($A111="","","ALL")</x:f>
      </x:c>
      <x:c r="H111" s="127" t="str">
        <x:f>IF($A111="","","OK")</x:f>
      </x:c>
    </x:row>
    <x:row r="112">
      <x:c r="A112" s="127" t="str">
        <x:f>IF(AND(NOCs!A112="Yes",NOCs!I112="OK"),NOCs!B112,"")</x:f>
      </x:c>
      <x:c r="B112" s="127" t="str">
        <x:f>IF($A112="","",NOCs!C112)</x:f>
      </x:c>
      <x:c r="C112" s="127" t="str">
        <x:f>IF($A112="","","__ALL__")</x:f>
      </x:c>
      <x:c r="D112" s="127" t="str">
        <x:f>IF($A112="","","All Locations")</x:f>
      </x:c>
      <x:c r="E112" s="127" t="str">
        <x:f>IF($A112="","",NOCs!E112)</x:f>
      </x:c>
      <x:c r="F112" s="127" t="str">
        <x:f>IF($A112="","",0)</x:f>
      </x:c>
      <x:c r="G112" s="127" t="str">
        <x:f>IF($A112="","","ALL")</x:f>
      </x:c>
      <x:c r="H112" s="127" t="str">
        <x:f>IF($A112="","","OK")</x:f>
      </x:c>
    </x:row>
    <x:row r="113">
      <x:c r="A113" s="127" t="str">
        <x:f>IF(AND(NOCs!A113="Yes",NOCs!I113="OK"),NOCs!B113,"")</x:f>
      </x:c>
      <x:c r="B113" s="127" t="str">
        <x:f>IF($A113="","",NOCs!C113)</x:f>
      </x:c>
      <x:c r="C113" s="127" t="str">
        <x:f>IF($A113="","","__ALL__")</x:f>
      </x:c>
      <x:c r="D113" s="127" t="str">
        <x:f>IF($A113="","","All Locations")</x:f>
      </x:c>
      <x:c r="E113" s="127" t="str">
        <x:f>IF($A113="","",NOCs!E113)</x:f>
      </x:c>
      <x:c r="F113" s="127" t="str">
        <x:f>IF($A113="","",0)</x:f>
      </x:c>
      <x:c r="G113" s="127" t="str">
        <x:f>IF($A113="","","ALL")</x:f>
      </x:c>
      <x:c r="H113" s="127" t="str">
        <x:f>IF($A113="","","OK")</x:f>
      </x:c>
    </x:row>
    <x:row r="114">
      <x:c r="A114" s="127" t="str">
        <x:f>IF(AND(NOCs!A114="Yes",NOCs!I114="OK"),NOCs!B114,"")</x:f>
      </x:c>
      <x:c r="B114" s="127" t="str">
        <x:f>IF($A114="","",NOCs!C114)</x:f>
      </x:c>
      <x:c r="C114" s="127" t="str">
        <x:f>IF($A114="","","__ALL__")</x:f>
      </x:c>
      <x:c r="D114" s="127" t="str">
        <x:f>IF($A114="","","All Locations")</x:f>
      </x:c>
      <x:c r="E114" s="127" t="str">
        <x:f>IF($A114="","",NOCs!E114)</x:f>
      </x:c>
      <x:c r="F114" s="127" t="str">
        <x:f>IF($A114="","",0)</x:f>
      </x:c>
      <x:c r="G114" s="127" t="str">
        <x:f>IF($A114="","","ALL")</x:f>
      </x:c>
      <x:c r="H114" s="127" t="str">
        <x:f>IF($A114="","","OK")</x:f>
      </x:c>
    </x:row>
    <x:row r="115">
      <x:c r="A115" s="127" t="str">
        <x:f>IF(AND(NOCs!A115="Yes",NOCs!I115="OK"),NOCs!B115,"")</x:f>
      </x:c>
      <x:c r="B115" s="127" t="str">
        <x:f>IF($A115="","",NOCs!C115)</x:f>
      </x:c>
      <x:c r="C115" s="127" t="str">
        <x:f>IF($A115="","","__ALL__")</x:f>
      </x:c>
      <x:c r="D115" s="127" t="str">
        <x:f>IF($A115="","","All Locations")</x:f>
      </x:c>
      <x:c r="E115" s="127" t="str">
        <x:f>IF($A115="","",NOCs!E115)</x:f>
      </x:c>
      <x:c r="F115" s="127" t="str">
        <x:f>IF($A115="","",0)</x:f>
      </x:c>
      <x:c r="G115" s="127" t="str">
        <x:f>IF($A115="","","ALL")</x:f>
      </x:c>
      <x:c r="H115" s="127" t="str">
        <x:f>IF($A115="","","OK")</x:f>
      </x:c>
    </x:row>
    <x:row r="116">
      <x:c r="A116" s="127" t="str">
        <x:f>IF(AND(NOCs!A116="Yes",NOCs!I116="OK"),NOCs!B116,"")</x:f>
      </x:c>
      <x:c r="B116" s="127" t="str">
        <x:f>IF($A116="","",NOCs!C116)</x:f>
      </x:c>
      <x:c r="C116" s="127" t="str">
        <x:f>IF($A116="","","__ALL__")</x:f>
      </x:c>
      <x:c r="D116" s="127" t="str">
        <x:f>IF($A116="","","All Locations")</x:f>
      </x:c>
      <x:c r="E116" s="127" t="str">
        <x:f>IF($A116="","",NOCs!E116)</x:f>
      </x:c>
      <x:c r="F116" s="127" t="str">
        <x:f>IF($A116="","",0)</x:f>
      </x:c>
      <x:c r="G116" s="127" t="str">
        <x:f>IF($A116="","","ALL")</x:f>
      </x:c>
      <x:c r="H116" s="127" t="str">
        <x:f>IF($A116="","","OK")</x:f>
      </x:c>
    </x:row>
    <x:row r="117">
      <x:c r="A117" s="127" t="str">
        <x:f>IF(AND(NOCs!A117="Yes",NOCs!I117="OK"),NOCs!B117,"")</x:f>
      </x:c>
      <x:c r="B117" s="127" t="str">
        <x:f>IF($A117="","",NOCs!C117)</x:f>
      </x:c>
      <x:c r="C117" s="127" t="str">
        <x:f>IF($A117="","","__ALL__")</x:f>
      </x:c>
      <x:c r="D117" s="127" t="str">
        <x:f>IF($A117="","","All Locations")</x:f>
      </x:c>
      <x:c r="E117" s="127" t="str">
        <x:f>IF($A117="","",NOCs!E117)</x:f>
      </x:c>
      <x:c r="F117" s="127" t="str">
        <x:f>IF($A117="","",0)</x:f>
      </x:c>
      <x:c r="G117" s="127" t="str">
        <x:f>IF($A117="","","ALL")</x:f>
      </x:c>
      <x:c r="H117" s="127" t="str">
        <x:f>IF($A117="","","OK")</x:f>
      </x:c>
    </x:row>
    <x:row r="118">
      <x:c r="A118" s="127" t="str">
        <x:f>IF(AND(NOCs!A118="Yes",NOCs!I118="OK"),NOCs!B118,"")</x:f>
      </x:c>
      <x:c r="B118" s="127" t="str">
        <x:f>IF($A118="","",NOCs!C118)</x:f>
      </x:c>
      <x:c r="C118" s="127" t="str">
        <x:f>IF($A118="","","__ALL__")</x:f>
      </x:c>
      <x:c r="D118" s="127" t="str">
        <x:f>IF($A118="","","All Locations")</x:f>
      </x:c>
      <x:c r="E118" s="127" t="str">
        <x:f>IF($A118="","",NOCs!E118)</x:f>
      </x:c>
      <x:c r="F118" s="127" t="str">
        <x:f>IF($A118="","",0)</x:f>
      </x:c>
      <x:c r="G118" s="127" t="str">
        <x:f>IF($A118="","","ALL")</x:f>
      </x:c>
      <x:c r="H118" s="127" t="str">
        <x:f>IF($A118="","","OK")</x:f>
      </x:c>
    </x:row>
    <x:row r="119">
      <x:c r="A119" s="127" t="str">
        <x:f>IF(AND(NOCs!A119="Yes",NOCs!I119="OK"),NOCs!B119,"")</x:f>
      </x:c>
      <x:c r="B119" s="127" t="str">
        <x:f>IF($A119="","",NOCs!C119)</x:f>
      </x:c>
      <x:c r="C119" s="127" t="str">
        <x:f>IF($A119="","","__ALL__")</x:f>
      </x:c>
      <x:c r="D119" s="127" t="str">
        <x:f>IF($A119="","","All Locations")</x:f>
      </x:c>
      <x:c r="E119" s="127" t="str">
        <x:f>IF($A119="","",NOCs!E119)</x:f>
      </x:c>
      <x:c r="F119" s="127" t="str">
        <x:f>IF($A119="","",0)</x:f>
      </x:c>
      <x:c r="G119" s="127" t="str">
        <x:f>IF($A119="","","ALL")</x:f>
      </x:c>
      <x:c r="H119" s="127" t="str">
        <x:f>IF($A119="","","OK")</x:f>
      </x:c>
    </x:row>
    <x:row r="120">
      <x:c r="A120" s="127" t="str">
        <x:f>IF(AND(NOCs!A120="Yes",NOCs!I120="OK"),NOCs!B120,"")</x:f>
      </x:c>
      <x:c r="B120" s="127" t="str">
        <x:f>IF($A120="","",NOCs!C120)</x:f>
      </x:c>
      <x:c r="C120" s="127" t="str">
        <x:f>IF($A120="","","__ALL__")</x:f>
      </x:c>
      <x:c r="D120" s="127" t="str">
        <x:f>IF($A120="","","All Locations")</x:f>
      </x:c>
      <x:c r="E120" s="127" t="str">
        <x:f>IF($A120="","",NOCs!E120)</x:f>
      </x:c>
      <x:c r="F120" s="127" t="str">
        <x:f>IF($A120="","",0)</x:f>
      </x:c>
      <x:c r="G120" s="127" t="str">
        <x:f>IF($A120="","","ALL")</x:f>
      </x:c>
      <x:c r="H120" s="127" t="str">
        <x:f>IF($A120="","","OK")</x:f>
      </x:c>
    </x:row>
    <x:row r="121">
      <x:c r="A121" s="127" t="str">
        <x:f>IF(AND(NOCs!A121="Yes",NOCs!I121="OK"),NOCs!B121,"")</x:f>
      </x:c>
      <x:c r="B121" s="127" t="str">
        <x:f>IF($A121="","",NOCs!C121)</x:f>
      </x:c>
      <x:c r="C121" s="127" t="str">
        <x:f>IF($A121="","","__ALL__")</x:f>
      </x:c>
      <x:c r="D121" s="127" t="str">
        <x:f>IF($A121="","","All Locations")</x:f>
      </x:c>
      <x:c r="E121" s="127" t="str">
        <x:f>IF($A121="","",NOCs!E121)</x:f>
      </x:c>
      <x:c r="F121" s="127" t="str">
        <x:f>IF($A121="","",0)</x:f>
      </x:c>
      <x:c r="G121" s="127" t="str">
        <x:f>IF($A121="","","ALL")</x:f>
      </x:c>
      <x:c r="H121" s="127" t="str">
        <x:f>IF($A121="","","OK")</x:f>
      </x:c>
    </x:row>
    <x:row r="122">
      <x:c r="A122" s="127" t="str">
        <x:f>IF(AND(NOCs!A122="Yes",NOCs!I122="OK"),NOCs!B122,"")</x:f>
      </x:c>
      <x:c r="B122" s="127" t="str">
        <x:f>IF($A122="","",NOCs!C122)</x:f>
      </x:c>
      <x:c r="C122" s="127" t="str">
        <x:f>IF($A122="","","__ALL__")</x:f>
      </x:c>
      <x:c r="D122" s="127" t="str">
        <x:f>IF($A122="","","All Locations")</x:f>
      </x:c>
      <x:c r="E122" s="127" t="str">
        <x:f>IF($A122="","",NOCs!E122)</x:f>
      </x:c>
      <x:c r="F122" s="127" t="str">
        <x:f>IF($A122="","",0)</x:f>
      </x:c>
      <x:c r="G122" s="127" t="str">
        <x:f>IF($A122="","","ALL")</x:f>
      </x:c>
      <x:c r="H122" s="127" t="str">
        <x:f>IF($A122="","","OK")</x:f>
      </x:c>
    </x:row>
    <x:row r="123">
      <x:c r="A123" s="127" t="str">
        <x:f>IF(AND(NOCs!A123="Yes",NOCs!I123="OK"),NOCs!B123,"")</x:f>
      </x:c>
      <x:c r="B123" s="127" t="str">
        <x:f>IF($A123="","",NOCs!C123)</x:f>
      </x:c>
      <x:c r="C123" s="127" t="str">
        <x:f>IF($A123="","","__ALL__")</x:f>
      </x:c>
      <x:c r="D123" s="127" t="str">
        <x:f>IF($A123="","","All Locations")</x:f>
      </x:c>
      <x:c r="E123" s="127" t="str">
        <x:f>IF($A123="","",NOCs!E123)</x:f>
      </x:c>
      <x:c r="F123" s="127" t="str">
        <x:f>IF($A123="","",0)</x:f>
      </x:c>
      <x:c r="G123" s="127" t="str">
        <x:f>IF($A123="","","ALL")</x:f>
      </x:c>
      <x:c r="H123" s="127" t="str">
        <x:f>IF($A123="","","OK")</x:f>
      </x:c>
    </x:row>
    <x:row r="124">
      <x:c r="A124" s="127" t="str">
        <x:f>IF(AND(NOCs!A124="Yes",NOCs!I124="OK"),NOCs!B124,"")</x:f>
      </x:c>
      <x:c r="B124" s="127" t="str">
        <x:f>IF($A124="","",NOCs!C124)</x:f>
      </x:c>
      <x:c r="C124" s="127" t="str">
        <x:f>IF($A124="","","__ALL__")</x:f>
      </x:c>
      <x:c r="D124" s="127" t="str">
        <x:f>IF($A124="","","All Locations")</x:f>
      </x:c>
      <x:c r="E124" s="127" t="str">
        <x:f>IF($A124="","",NOCs!E124)</x:f>
      </x:c>
      <x:c r="F124" s="127" t="str">
        <x:f>IF($A124="","",0)</x:f>
      </x:c>
      <x:c r="G124" s="127" t="str">
        <x:f>IF($A124="","","ALL")</x:f>
      </x:c>
      <x:c r="H124" s="127" t="str">
        <x:f>IF($A124="","","OK")</x:f>
      </x:c>
    </x:row>
    <x:row r="125">
      <x:c r="A125" s="127" t="str">
        <x:f>IF(AND(Locations!A5="Yes",Locations!I5="OK"),Locations!B5,"")</x:f>
        <x:v>NOC_CURRENT</x:v>
      </x:c>
      <x:c r="B125" s="127" t="str">
        <x:f>IF($A125="","",XLOOKUP(Locations!B5,NOCsTbl[NOC ID],NOCsTbl[Display Name],""))</x:f>
        <x:v>Current / Sample NOC</x:v>
      </x:c>
      <x:c r="C125" s="127" t="str">
        <x:f>IF($A125="","",Locations!C5)</x:f>
        <x:v>LOC_CURRENT</x:v>
      </x:c>
      <x:c r="D125" s="127" t="str">
        <x:f>IF($A125="","",Locations!D5)</x:f>
        <x:v>Current Draft Scope</x:v>
      </x:c>
      <x:c r="E125" s="127" t="str">
        <x:f>IF($A125="","",Locations!F5)</x:f>
        <x:v>(host="syr*" OR host="salep*" OR host="144.219.*" OR host="144.221.*")</x:v>
      </x:c>
      <x:c r="F125" s="127" t="n">
        <x:f>IF($A125="","",Locations!E5)</x:f>
        <x:v>10</x:v>
      </x:c>
      <x:c r="G125" s="127" t="str">
        <x:f>IF($A125="","","LOCATION")</x:f>
        <x:v>LOCATION</x:v>
      </x:c>
      <x:c r="H125" s="127" t="str">
        <x:f>IF($A125="","","OK")</x:f>
        <x:v>OK</x:v>
      </x:c>
    </x:row>
    <x:row r="126">
      <x:c r="A126" s="127" t="str">
        <x:f>IF(AND(Locations!A6="Yes",Locations!I6="OK"),Locations!B6,"")</x:f>
      </x:c>
      <x:c r="B126" s="127" t="str">
        <x:f>IF($A126="","",XLOOKUP(Locations!B6,NOCsTbl[NOC ID],NOCsTbl[Display Name],""))</x:f>
      </x:c>
      <x:c r="C126" s="127" t="str">
        <x:f>IF($A126="","",Locations!C6)</x:f>
      </x:c>
      <x:c r="D126" s="127" t="str">
        <x:f>IF($A126="","",Locations!D6)</x:f>
      </x:c>
      <x:c r="E126" s="127" t="str">
        <x:f>IF($A126="","",Locations!F6)</x:f>
      </x:c>
      <x:c r="F126" s="127" t="str">
        <x:f>IF($A126="","",Locations!E6)</x:f>
      </x:c>
      <x:c r="G126" s="127" t="str">
        <x:f>IF($A126="","","LOCATION")</x:f>
      </x:c>
      <x:c r="H126" s="127" t="str">
        <x:f>IF($A126="","","OK")</x:f>
      </x:c>
    </x:row>
    <x:row r="127">
      <x:c r="A127" s="127" t="str">
        <x:f>IF(AND(Locations!A7="Yes",Locations!I7="OK"),Locations!B7,"")</x:f>
      </x:c>
      <x:c r="B127" s="127" t="str">
        <x:f>IF($A127="","",XLOOKUP(Locations!B7,NOCsTbl[NOC ID],NOCsTbl[Display Name],""))</x:f>
      </x:c>
      <x:c r="C127" s="127" t="str">
        <x:f>IF($A127="","",Locations!C7)</x:f>
      </x:c>
      <x:c r="D127" s="127" t="str">
        <x:f>IF($A127="","",Locations!D7)</x:f>
      </x:c>
      <x:c r="E127" s="127" t="str">
        <x:f>IF($A127="","",Locations!F7)</x:f>
      </x:c>
      <x:c r="F127" s="127" t="str">
        <x:f>IF($A127="","",Locations!E7)</x:f>
      </x:c>
      <x:c r="G127" s="127" t="str">
        <x:f>IF($A127="","","LOCATION")</x:f>
      </x:c>
      <x:c r="H127" s="127" t="str">
        <x:f>IF($A127="","","OK")</x:f>
      </x:c>
    </x:row>
    <x:row r="128">
      <x:c r="A128" s="127" t="str">
        <x:f>IF(AND(Locations!A8="Yes",Locations!I8="OK"),Locations!B8,"")</x:f>
      </x:c>
      <x:c r="B128" s="127" t="str">
        <x:f>IF($A128="","",XLOOKUP(Locations!B8,NOCsTbl[NOC ID],NOCsTbl[Display Name],""))</x:f>
      </x:c>
      <x:c r="C128" s="127" t="str">
        <x:f>IF($A128="","",Locations!C8)</x:f>
      </x:c>
      <x:c r="D128" s="127" t="str">
        <x:f>IF($A128="","",Locations!D8)</x:f>
      </x:c>
      <x:c r="E128" s="127" t="str">
        <x:f>IF($A128="","",Locations!F8)</x:f>
      </x:c>
      <x:c r="F128" s="127" t="str">
        <x:f>IF($A128="","",Locations!E8)</x:f>
      </x:c>
      <x:c r="G128" s="127" t="str">
        <x:f>IF($A128="","","LOCATION")</x:f>
      </x:c>
      <x:c r="H128" s="127" t="str">
        <x:f>IF($A128="","","OK")</x:f>
      </x:c>
    </x:row>
    <x:row r="129">
      <x:c r="A129" s="127" t="str">
        <x:f>IF(AND(Locations!A9="Yes",Locations!I9="OK"),Locations!B9,"")</x:f>
      </x:c>
      <x:c r="B129" s="127" t="str">
        <x:f>IF($A129="","",XLOOKUP(Locations!B9,NOCsTbl[NOC ID],NOCsTbl[Display Name],""))</x:f>
      </x:c>
      <x:c r="C129" s="127" t="str">
        <x:f>IF($A129="","",Locations!C9)</x:f>
      </x:c>
      <x:c r="D129" s="127" t="str">
        <x:f>IF($A129="","",Locations!D9)</x:f>
      </x:c>
      <x:c r="E129" s="127" t="str">
        <x:f>IF($A129="","",Locations!F9)</x:f>
      </x:c>
      <x:c r="F129" s="127" t="str">
        <x:f>IF($A129="","",Locations!E9)</x:f>
      </x:c>
      <x:c r="G129" s="127" t="str">
        <x:f>IF($A129="","","LOCATION")</x:f>
      </x:c>
      <x:c r="H129" s="127" t="str">
        <x:f>IF($A129="","","OK")</x:f>
      </x:c>
    </x:row>
    <x:row r="130">
      <x:c r="A130" s="127" t="str">
        <x:f>IF(AND(Locations!A10="Yes",Locations!I10="OK"),Locations!B10,"")</x:f>
      </x:c>
      <x:c r="B130" s="127" t="str">
        <x:f>IF($A130="","",XLOOKUP(Locations!B10,NOCsTbl[NOC ID],NOCsTbl[Display Name],""))</x:f>
      </x:c>
      <x:c r="C130" s="127" t="str">
        <x:f>IF($A130="","",Locations!C10)</x:f>
      </x:c>
      <x:c r="D130" s="127" t="str">
        <x:f>IF($A130="","",Locations!D10)</x:f>
      </x:c>
      <x:c r="E130" s="127" t="str">
        <x:f>IF($A130="","",Locations!F10)</x:f>
      </x:c>
      <x:c r="F130" s="127" t="str">
        <x:f>IF($A130="","",Locations!E10)</x:f>
      </x:c>
      <x:c r="G130" s="127" t="str">
        <x:f>IF($A130="","","LOCATION")</x:f>
      </x:c>
      <x:c r="H130" s="127" t="str">
        <x:f>IF($A130="","","OK")</x:f>
      </x:c>
    </x:row>
    <x:row r="131">
      <x:c r="A131" s="127" t="str">
        <x:f>IF(AND(Locations!A11="Yes",Locations!I11="OK"),Locations!B11,"")</x:f>
      </x:c>
      <x:c r="B131" s="127" t="str">
        <x:f>IF($A131="","",XLOOKUP(Locations!B11,NOCsTbl[NOC ID],NOCsTbl[Display Name],""))</x:f>
      </x:c>
      <x:c r="C131" s="127" t="str">
        <x:f>IF($A131="","",Locations!C11)</x:f>
      </x:c>
      <x:c r="D131" s="127" t="str">
        <x:f>IF($A131="","",Locations!D11)</x:f>
      </x:c>
      <x:c r="E131" s="127" t="str">
        <x:f>IF($A131="","",Locations!F11)</x:f>
      </x:c>
      <x:c r="F131" s="127" t="str">
        <x:f>IF($A131="","",Locations!E11)</x:f>
      </x:c>
      <x:c r="G131" s="127" t="str">
        <x:f>IF($A131="","","LOCATION")</x:f>
      </x:c>
      <x:c r="H131" s="127" t="str">
        <x:f>IF($A131="","","OK")</x:f>
      </x:c>
    </x:row>
    <x:row r="132">
      <x:c r="A132" s="127" t="str">
        <x:f>IF(AND(Locations!A12="Yes",Locations!I12="OK"),Locations!B12,"")</x:f>
      </x:c>
      <x:c r="B132" s="127" t="str">
        <x:f>IF($A132="","",XLOOKUP(Locations!B12,NOCsTbl[NOC ID],NOCsTbl[Display Name],""))</x:f>
      </x:c>
      <x:c r="C132" s="127" t="str">
        <x:f>IF($A132="","",Locations!C12)</x:f>
      </x:c>
      <x:c r="D132" s="127" t="str">
        <x:f>IF($A132="","",Locations!D12)</x:f>
      </x:c>
      <x:c r="E132" s="127" t="str">
        <x:f>IF($A132="","",Locations!F12)</x:f>
      </x:c>
      <x:c r="F132" s="127" t="str">
        <x:f>IF($A132="","",Locations!E12)</x:f>
      </x:c>
      <x:c r="G132" s="127" t="str">
        <x:f>IF($A132="","","LOCATION")</x:f>
      </x:c>
      <x:c r="H132" s="127" t="str">
        <x:f>IF($A132="","","OK")</x:f>
      </x:c>
    </x:row>
    <x:row r="133">
      <x:c r="A133" s="127" t="str">
        <x:f>IF(AND(Locations!A13="Yes",Locations!I13="OK"),Locations!B13,"")</x:f>
      </x:c>
      <x:c r="B133" s="127" t="str">
        <x:f>IF($A133="","",XLOOKUP(Locations!B13,NOCsTbl[NOC ID],NOCsTbl[Display Name],""))</x:f>
      </x:c>
      <x:c r="C133" s="127" t="str">
        <x:f>IF($A133="","",Locations!C13)</x:f>
      </x:c>
      <x:c r="D133" s="127" t="str">
        <x:f>IF($A133="","",Locations!D13)</x:f>
      </x:c>
      <x:c r="E133" s="127" t="str">
        <x:f>IF($A133="","",Locations!F13)</x:f>
      </x:c>
      <x:c r="F133" s="127" t="str">
        <x:f>IF($A133="","",Locations!E13)</x:f>
      </x:c>
      <x:c r="G133" s="127" t="str">
        <x:f>IF($A133="","","LOCATION")</x:f>
      </x:c>
      <x:c r="H133" s="127" t="str">
        <x:f>IF($A133="","","OK")</x:f>
      </x:c>
    </x:row>
    <x:row r="134">
      <x:c r="A134" s="127" t="str">
        <x:f>IF(AND(Locations!A14="Yes",Locations!I14="OK"),Locations!B14,"")</x:f>
      </x:c>
      <x:c r="B134" s="127" t="str">
        <x:f>IF($A134="","",XLOOKUP(Locations!B14,NOCsTbl[NOC ID],NOCsTbl[Display Name],""))</x:f>
      </x:c>
      <x:c r="C134" s="127" t="str">
        <x:f>IF($A134="","",Locations!C14)</x:f>
      </x:c>
      <x:c r="D134" s="127" t="str">
        <x:f>IF($A134="","",Locations!D14)</x:f>
      </x:c>
      <x:c r="E134" s="127" t="str">
        <x:f>IF($A134="","",Locations!F14)</x:f>
      </x:c>
      <x:c r="F134" s="127" t="str">
        <x:f>IF($A134="","",Locations!E14)</x:f>
      </x:c>
      <x:c r="G134" s="127" t="str">
        <x:f>IF($A134="","","LOCATION")</x:f>
      </x:c>
      <x:c r="H134" s="127" t="str">
        <x:f>IF($A134="","","OK")</x:f>
      </x:c>
    </x:row>
    <x:row r="135">
      <x:c r="A135" s="127" t="str">
        <x:f>IF(AND(Locations!A15="Yes",Locations!I15="OK"),Locations!B15,"")</x:f>
      </x:c>
      <x:c r="B135" s="127" t="str">
        <x:f>IF($A135="","",XLOOKUP(Locations!B15,NOCsTbl[NOC ID],NOCsTbl[Display Name],""))</x:f>
      </x:c>
      <x:c r="C135" s="127" t="str">
        <x:f>IF($A135="","",Locations!C15)</x:f>
      </x:c>
      <x:c r="D135" s="127" t="str">
        <x:f>IF($A135="","",Locations!D15)</x:f>
      </x:c>
      <x:c r="E135" s="127" t="str">
        <x:f>IF($A135="","",Locations!F15)</x:f>
      </x:c>
      <x:c r="F135" s="127" t="str">
        <x:f>IF($A135="","",Locations!E15)</x:f>
      </x:c>
      <x:c r="G135" s="127" t="str">
        <x:f>IF($A135="","","LOCATION")</x:f>
      </x:c>
      <x:c r="H135" s="127" t="str">
        <x:f>IF($A135="","","OK")</x:f>
      </x:c>
    </x:row>
    <x:row r="136">
      <x:c r="A136" s="127" t="str">
        <x:f>IF(AND(Locations!A16="Yes",Locations!I16="OK"),Locations!B16,"")</x:f>
      </x:c>
      <x:c r="B136" s="127" t="str">
        <x:f>IF($A136="","",XLOOKUP(Locations!B16,NOCsTbl[NOC ID],NOCsTbl[Display Name],""))</x:f>
      </x:c>
      <x:c r="C136" s="127" t="str">
        <x:f>IF($A136="","",Locations!C16)</x:f>
      </x:c>
      <x:c r="D136" s="127" t="str">
        <x:f>IF($A136="","",Locations!D16)</x:f>
      </x:c>
      <x:c r="E136" s="127" t="str">
        <x:f>IF($A136="","",Locations!F16)</x:f>
      </x:c>
      <x:c r="F136" s="127" t="str">
        <x:f>IF($A136="","",Locations!E16)</x:f>
      </x:c>
      <x:c r="G136" s="127" t="str">
        <x:f>IF($A136="","","LOCATION")</x:f>
      </x:c>
      <x:c r="H136" s="127" t="str">
        <x:f>IF($A136="","","OK")</x:f>
      </x:c>
    </x:row>
    <x:row r="137">
      <x:c r="A137" s="127" t="str">
        <x:f>IF(AND(Locations!A17="Yes",Locations!I17="OK"),Locations!B17,"")</x:f>
      </x:c>
      <x:c r="B137" s="127" t="str">
        <x:f>IF($A137="","",XLOOKUP(Locations!B17,NOCsTbl[NOC ID],NOCsTbl[Display Name],""))</x:f>
      </x:c>
      <x:c r="C137" s="127" t="str">
        <x:f>IF($A137="","",Locations!C17)</x:f>
      </x:c>
      <x:c r="D137" s="127" t="str">
        <x:f>IF($A137="","",Locations!D17)</x:f>
      </x:c>
      <x:c r="E137" s="127" t="str">
        <x:f>IF($A137="","",Locations!F17)</x:f>
      </x:c>
      <x:c r="F137" s="127" t="str">
        <x:f>IF($A137="","",Locations!E17)</x:f>
      </x:c>
      <x:c r="G137" s="127" t="str">
        <x:f>IF($A137="","","LOCATION")</x:f>
      </x:c>
      <x:c r="H137" s="127" t="str">
        <x:f>IF($A137="","","OK")</x:f>
      </x:c>
    </x:row>
    <x:row r="138">
      <x:c r="A138" s="127" t="str">
        <x:f>IF(AND(Locations!A18="Yes",Locations!I18="OK"),Locations!B18,"")</x:f>
      </x:c>
      <x:c r="B138" s="127" t="str">
        <x:f>IF($A138="","",XLOOKUP(Locations!B18,NOCsTbl[NOC ID],NOCsTbl[Display Name],""))</x:f>
      </x:c>
      <x:c r="C138" s="127" t="str">
        <x:f>IF($A138="","",Locations!C18)</x:f>
      </x:c>
      <x:c r="D138" s="127" t="str">
        <x:f>IF($A138="","",Locations!D18)</x:f>
      </x:c>
      <x:c r="E138" s="127" t="str">
        <x:f>IF($A138="","",Locations!F18)</x:f>
      </x:c>
      <x:c r="F138" s="127" t="str">
        <x:f>IF($A138="","",Locations!E18)</x:f>
      </x:c>
      <x:c r="G138" s="127" t="str">
        <x:f>IF($A138="","","LOCATION")</x:f>
      </x:c>
      <x:c r="H138" s="127" t="str">
        <x:f>IF($A138="","","OK")</x:f>
      </x:c>
    </x:row>
    <x:row r="139">
      <x:c r="A139" s="127" t="str">
        <x:f>IF(AND(Locations!A19="Yes",Locations!I19="OK"),Locations!B19,"")</x:f>
      </x:c>
      <x:c r="B139" s="127" t="str">
        <x:f>IF($A139="","",XLOOKUP(Locations!B19,NOCsTbl[NOC ID],NOCsTbl[Display Name],""))</x:f>
      </x:c>
      <x:c r="C139" s="127" t="str">
        <x:f>IF($A139="","",Locations!C19)</x:f>
      </x:c>
      <x:c r="D139" s="127" t="str">
        <x:f>IF($A139="","",Locations!D19)</x:f>
      </x:c>
      <x:c r="E139" s="127" t="str">
        <x:f>IF($A139="","",Locations!F19)</x:f>
      </x:c>
      <x:c r="F139" s="127" t="str">
        <x:f>IF($A139="","",Locations!E19)</x:f>
      </x:c>
      <x:c r="G139" s="127" t="str">
        <x:f>IF($A139="","","LOCATION")</x:f>
      </x:c>
      <x:c r="H139" s="127" t="str">
        <x:f>IF($A139="","","OK")</x:f>
      </x:c>
    </x:row>
    <x:row r="140">
      <x:c r="A140" s="127" t="str">
        <x:f>IF(AND(Locations!A20="Yes",Locations!I20="OK"),Locations!B20,"")</x:f>
      </x:c>
      <x:c r="B140" s="127" t="str">
        <x:f>IF($A140="","",XLOOKUP(Locations!B20,NOCsTbl[NOC ID],NOCsTbl[Display Name],""))</x:f>
      </x:c>
      <x:c r="C140" s="127" t="str">
        <x:f>IF($A140="","",Locations!C20)</x:f>
      </x:c>
      <x:c r="D140" s="127" t="str">
        <x:f>IF($A140="","",Locations!D20)</x:f>
      </x:c>
      <x:c r="E140" s="127" t="str">
        <x:f>IF($A140="","",Locations!F20)</x:f>
      </x:c>
      <x:c r="F140" s="127" t="str">
        <x:f>IF($A140="","",Locations!E20)</x:f>
      </x:c>
      <x:c r="G140" s="127" t="str">
        <x:f>IF($A140="","","LOCATION")</x:f>
      </x:c>
      <x:c r="H140" s="127" t="str">
        <x:f>IF($A140="","","OK")</x:f>
      </x:c>
    </x:row>
    <x:row r="141">
      <x:c r="A141" s="127" t="str">
        <x:f>IF(AND(Locations!A21="Yes",Locations!I21="OK"),Locations!B21,"")</x:f>
      </x:c>
      <x:c r="B141" s="127" t="str">
        <x:f>IF($A141="","",XLOOKUP(Locations!B21,NOCsTbl[NOC ID],NOCsTbl[Display Name],""))</x:f>
      </x:c>
      <x:c r="C141" s="127" t="str">
        <x:f>IF($A141="","",Locations!C21)</x:f>
      </x:c>
      <x:c r="D141" s="127" t="str">
        <x:f>IF($A141="","",Locations!D21)</x:f>
      </x:c>
      <x:c r="E141" s="127" t="str">
        <x:f>IF($A141="","",Locations!F21)</x:f>
      </x:c>
      <x:c r="F141" s="127" t="str">
        <x:f>IF($A141="","",Locations!E21)</x:f>
      </x:c>
      <x:c r="G141" s="127" t="str">
        <x:f>IF($A141="","","LOCATION")</x:f>
      </x:c>
      <x:c r="H141" s="127" t="str">
        <x:f>IF($A141="","","OK")</x:f>
      </x:c>
    </x:row>
    <x:row r="142">
      <x:c r="A142" s="127" t="str">
        <x:f>IF(AND(Locations!A22="Yes",Locations!I22="OK"),Locations!B22,"")</x:f>
      </x:c>
      <x:c r="B142" s="127" t="str">
        <x:f>IF($A142="","",XLOOKUP(Locations!B22,NOCsTbl[NOC ID],NOCsTbl[Display Name],""))</x:f>
      </x:c>
      <x:c r="C142" s="127" t="str">
        <x:f>IF($A142="","",Locations!C22)</x:f>
      </x:c>
      <x:c r="D142" s="127" t="str">
        <x:f>IF($A142="","",Locations!D22)</x:f>
      </x:c>
      <x:c r="E142" s="127" t="str">
        <x:f>IF($A142="","",Locations!F22)</x:f>
      </x:c>
      <x:c r="F142" s="127" t="str">
        <x:f>IF($A142="","",Locations!E22)</x:f>
      </x:c>
      <x:c r="G142" s="127" t="str">
        <x:f>IF($A142="","","LOCATION")</x:f>
      </x:c>
      <x:c r="H142" s="127" t="str">
        <x:f>IF($A142="","","OK")</x:f>
      </x:c>
    </x:row>
    <x:row r="143">
      <x:c r="A143" s="127" t="str">
        <x:f>IF(AND(Locations!A23="Yes",Locations!I23="OK"),Locations!B23,"")</x:f>
      </x:c>
      <x:c r="B143" s="127" t="str">
        <x:f>IF($A143="","",XLOOKUP(Locations!B23,NOCsTbl[NOC ID],NOCsTbl[Display Name],""))</x:f>
      </x:c>
      <x:c r="C143" s="127" t="str">
        <x:f>IF($A143="","",Locations!C23)</x:f>
      </x:c>
      <x:c r="D143" s="127" t="str">
        <x:f>IF($A143="","",Locations!D23)</x:f>
      </x:c>
      <x:c r="E143" s="127" t="str">
        <x:f>IF($A143="","",Locations!F23)</x:f>
      </x:c>
      <x:c r="F143" s="127" t="str">
        <x:f>IF($A143="","",Locations!E23)</x:f>
      </x:c>
      <x:c r="G143" s="127" t="str">
        <x:f>IF($A143="","","LOCATION")</x:f>
      </x:c>
      <x:c r="H143" s="127" t="str">
        <x:f>IF($A143="","","OK")</x:f>
      </x:c>
    </x:row>
    <x:row r="144">
      <x:c r="A144" s="127" t="str">
        <x:f>IF(AND(Locations!A24="Yes",Locations!I24="OK"),Locations!B24,"")</x:f>
      </x:c>
      <x:c r="B144" s="127" t="str">
        <x:f>IF($A144="","",XLOOKUP(Locations!B24,NOCsTbl[NOC ID],NOCsTbl[Display Name],""))</x:f>
      </x:c>
      <x:c r="C144" s="127" t="str">
        <x:f>IF($A144="","",Locations!C24)</x:f>
      </x:c>
      <x:c r="D144" s="127" t="str">
        <x:f>IF($A144="","",Locations!D24)</x:f>
      </x:c>
      <x:c r="E144" s="127" t="str">
        <x:f>IF($A144="","",Locations!F24)</x:f>
      </x:c>
      <x:c r="F144" s="127" t="str">
        <x:f>IF($A144="","",Locations!E24)</x:f>
      </x:c>
      <x:c r="G144" s="127" t="str">
        <x:f>IF($A144="","","LOCATION")</x:f>
      </x:c>
      <x:c r="H144" s="127" t="str">
        <x:f>IF($A144="","","OK")</x:f>
      </x:c>
    </x:row>
    <x:row r="145">
      <x:c r="A145" s="127" t="str">
        <x:f>IF(AND(Locations!A25="Yes",Locations!I25="OK"),Locations!B25,"")</x:f>
      </x:c>
      <x:c r="B145" s="127" t="str">
        <x:f>IF($A145="","",XLOOKUP(Locations!B25,NOCsTbl[NOC ID],NOCsTbl[Display Name],""))</x:f>
      </x:c>
      <x:c r="C145" s="127" t="str">
        <x:f>IF($A145="","",Locations!C25)</x:f>
      </x:c>
      <x:c r="D145" s="127" t="str">
        <x:f>IF($A145="","",Locations!D25)</x:f>
      </x:c>
      <x:c r="E145" s="127" t="str">
        <x:f>IF($A145="","",Locations!F25)</x:f>
      </x:c>
      <x:c r="F145" s="127" t="str">
        <x:f>IF($A145="","",Locations!E25)</x:f>
      </x:c>
      <x:c r="G145" s="127" t="str">
        <x:f>IF($A145="","","LOCATION")</x:f>
      </x:c>
      <x:c r="H145" s="127" t="str">
        <x:f>IF($A145="","","OK")</x:f>
      </x:c>
    </x:row>
    <x:row r="146">
      <x:c r="A146" s="127" t="str">
        <x:f>IF(AND(Locations!A26="Yes",Locations!I26="OK"),Locations!B26,"")</x:f>
      </x:c>
      <x:c r="B146" s="127" t="str">
        <x:f>IF($A146="","",XLOOKUP(Locations!B26,NOCsTbl[NOC ID],NOCsTbl[Display Name],""))</x:f>
      </x:c>
      <x:c r="C146" s="127" t="str">
        <x:f>IF($A146="","",Locations!C26)</x:f>
      </x:c>
      <x:c r="D146" s="127" t="str">
        <x:f>IF($A146="","",Locations!D26)</x:f>
      </x:c>
      <x:c r="E146" s="127" t="str">
        <x:f>IF($A146="","",Locations!F26)</x:f>
      </x:c>
      <x:c r="F146" s="127" t="str">
        <x:f>IF($A146="","",Locations!E26)</x:f>
      </x:c>
      <x:c r="G146" s="127" t="str">
        <x:f>IF($A146="","","LOCATION")</x:f>
      </x:c>
      <x:c r="H146" s="127" t="str">
        <x:f>IF($A146="","","OK")</x:f>
      </x:c>
    </x:row>
    <x:row r="147">
      <x:c r="A147" s="127" t="str">
        <x:f>IF(AND(Locations!A27="Yes",Locations!I27="OK"),Locations!B27,"")</x:f>
      </x:c>
      <x:c r="B147" s="127" t="str">
        <x:f>IF($A147="","",XLOOKUP(Locations!B27,NOCsTbl[NOC ID],NOCsTbl[Display Name],""))</x:f>
      </x:c>
      <x:c r="C147" s="127" t="str">
        <x:f>IF($A147="","",Locations!C27)</x:f>
      </x:c>
      <x:c r="D147" s="127" t="str">
        <x:f>IF($A147="","",Locations!D27)</x:f>
      </x:c>
      <x:c r="E147" s="127" t="str">
        <x:f>IF($A147="","",Locations!F27)</x:f>
      </x:c>
      <x:c r="F147" s="127" t="str">
        <x:f>IF($A147="","",Locations!E27)</x:f>
      </x:c>
      <x:c r="G147" s="127" t="str">
        <x:f>IF($A147="","","LOCATION")</x:f>
      </x:c>
      <x:c r="H147" s="127" t="str">
        <x:f>IF($A147="","","OK")</x:f>
      </x:c>
    </x:row>
    <x:row r="148">
      <x:c r="A148" s="127" t="str">
        <x:f>IF(AND(Locations!A28="Yes",Locations!I28="OK"),Locations!B28,"")</x:f>
      </x:c>
      <x:c r="B148" s="127" t="str">
        <x:f>IF($A148="","",XLOOKUP(Locations!B28,NOCsTbl[NOC ID],NOCsTbl[Display Name],""))</x:f>
      </x:c>
      <x:c r="C148" s="127" t="str">
        <x:f>IF($A148="","",Locations!C28)</x:f>
      </x:c>
      <x:c r="D148" s="127" t="str">
        <x:f>IF($A148="","",Locations!D28)</x:f>
      </x:c>
      <x:c r="E148" s="127" t="str">
        <x:f>IF($A148="","",Locations!F28)</x:f>
      </x:c>
      <x:c r="F148" s="127" t="str">
        <x:f>IF($A148="","",Locations!E28)</x:f>
      </x:c>
      <x:c r="G148" s="127" t="str">
        <x:f>IF($A148="","","LOCATION")</x:f>
      </x:c>
      <x:c r="H148" s="127" t="str">
        <x:f>IF($A148="","","OK")</x:f>
      </x:c>
    </x:row>
    <x:row r="149">
      <x:c r="A149" s="127" t="str">
        <x:f>IF(AND(Locations!A29="Yes",Locations!I29="OK"),Locations!B29,"")</x:f>
      </x:c>
      <x:c r="B149" s="127" t="str">
        <x:f>IF($A149="","",XLOOKUP(Locations!B29,NOCsTbl[NOC ID],NOCsTbl[Display Name],""))</x:f>
      </x:c>
      <x:c r="C149" s="127" t="str">
        <x:f>IF($A149="","",Locations!C29)</x:f>
      </x:c>
      <x:c r="D149" s="127" t="str">
        <x:f>IF($A149="","",Locations!D29)</x:f>
      </x:c>
      <x:c r="E149" s="127" t="str">
        <x:f>IF($A149="","",Locations!F29)</x:f>
      </x:c>
      <x:c r="F149" s="127" t="str">
        <x:f>IF($A149="","",Locations!E29)</x:f>
      </x:c>
      <x:c r="G149" s="127" t="str">
        <x:f>IF($A149="","","LOCATION")</x:f>
      </x:c>
      <x:c r="H149" s="127" t="str">
        <x:f>IF($A149="","","OK")</x:f>
      </x:c>
    </x:row>
    <x:row r="150">
      <x:c r="A150" s="127" t="str">
        <x:f>IF(AND(Locations!A30="Yes",Locations!I30="OK"),Locations!B30,"")</x:f>
      </x:c>
      <x:c r="B150" s="127" t="str">
        <x:f>IF($A150="","",XLOOKUP(Locations!B30,NOCsTbl[NOC ID],NOCsTbl[Display Name],""))</x:f>
      </x:c>
      <x:c r="C150" s="127" t="str">
        <x:f>IF($A150="","",Locations!C30)</x:f>
      </x:c>
      <x:c r="D150" s="127" t="str">
        <x:f>IF($A150="","",Locations!D30)</x:f>
      </x:c>
      <x:c r="E150" s="127" t="str">
        <x:f>IF($A150="","",Locations!F30)</x:f>
      </x:c>
      <x:c r="F150" s="127" t="str">
        <x:f>IF($A150="","",Locations!E30)</x:f>
      </x:c>
      <x:c r="G150" s="127" t="str">
        <x:f>IF($A150="","","LOCATION")</x:f>
      </x:c>
      <x:c r="H150" s="127" t="str">
        <x:f>IF($A150="","","OK")</x:f>
      </x:c>
    </x:row>
    <x:row r="151">
      <x:c r="A151" s="127" t="str">
        <x:f>IF(AND(Locations!A31="Yes",Locations!I31="OK"),Locations!B31,"")</x:f>
      </x:c>
      <x:c r="B151" s="127" t="str">
        <x:f>IF($A151="","",XLOOKUP(Locations!B31,NOCsTbl[NOC ID],NOCsTbl[Display Name],""))</x:f>
      </x:c>
      <x:c r="C151" s="127" t="str">
        <x:f>IF($A151="","",Locations!C31)</x:f>
      </x:c>
      <x:c r="D151" s="127" t="str">
        <x:f>IF($A151="","",Locations!D31)</x:f>
      </x:c>
      <x:c r="E151" s="127" t="str">
        <x:f>IF($A151="","",Locations!F31)</x:f>
      </x:c>
      <x:c r="F151" s="127" t="str">
        <x:f>IF($A151="","",Locations!E31)</x:f>
      </x:c>
      <x:c r="G151" s="127" t="str">
        <x:f>IF($A151="","","LOCATION")</x:f>
      </x:c>
      <x:c r="H151" s="127" t="str">
        <x:f>IF($A151="","","OK")</x:f>
      </x:c>
    </x:row>
    <x:row r="152">
      <x:c r="A152" s="127" t="str">
        <x:f>IF(AND(Locations!A32="Yes",Locations!I32="OK"),Locations!B32,"")</x:f>
      </x:c>
      <x:c r="B152" s="127" t="str">
        <x:f>IF($A152="","",XLOOKUP(Locations!B32,NOCsTbl[NOC ID],NOCsTbl[Display Name],""))</x:f>
      </x:c>
      <x:c r="C152" s="127" t="str">
        <x:f>IF($A152="","",Locations!C32)</x:f>
      </x:c>
      <x:c r="D152" s="127" t="str">
        <x:f>IF($A152="","",Locations!D32)</x:f>
      </x:c>
      <x:c r="E152" s="127" t="str">
        <x:f>IF($A152="","",Locations!F32)</x:f>
      </x:c>
      <x:c r="F152" s="127" t="str">
        <x:f>IF($A152="","",Locations!E32)</x:f>
      </x:c>
      <x:c r="G152" s="127" t="str">
        <x:f>IF($A152="","","LOCATION")</x:f>
      </x:c>
      <x:c r="H152" s="127" t="str">
        <x:f>IF($A152="","","OK")</x:f>
      </x:c>
    </x:row>
    <x:row r="153">
      <x:c r="A153" s="127" t="str">
        <x:f>IF(AND(Locations!A33="Yes",Locations!I33="OK"),Locations!B33,"")</x:f>
      </x:c>
      <x:c r="B153" s="127" t="str">
        <x:f>IF($A153="","",XLOOKUP(Locations!B33,NOCsTbl[NOC ID],NOCsTbl[Display Name],""))</x:f>
      </x:c>
      <x:c r="C153" s="127" t="str">
        <x:f>IF($A153="","",Locations!C33)</x:f>
      </x:c>
      <x:c r="D153" s="127" t="str">
        <x:f>IF($A153="","",Locations!D33)</x:f>
      </x:c>
      <x:c r="E153" s="127" t="str">
        <x:f>IF($A153="","",Locations!F33)</x:f>
      </x:c>
      <x:c r="F153" s="127" t="str">
        <x:f>IF($A153="","",Locations!E33)</x:f>
      </x:c>
      <x:c r="G153" s="127" t="str">
        <x:f>IF($A153="","","LOCATION")</x:f>
      </x:c>
      <x:c r="H153" s="127" t="str">
        <x:f>IF($A153="","","OK")</x:f>
      </x:c>
    </x:row>
    <x:row r="154">
      <x:c r="A154" s="127" t="str">
        <x:f>IF(AND(Locations!A34="Yes",Locations!I34="OK"),Locations!B34,"")</x:f>
      </x:c>
      <x:c r="B154" s="127" t="str">
        <x:f>IF($A154="","",XLOOKUP(Locations!B34,NOCsTbl[NOC ID],NOCsTbl[Display Name],""))</x:f>
      </x:c>
      <x:c r="C154" s="127" t="str">
        <x:f>IF($A154="","",Locations!C34)</x:f>
      </x:c>
      <x:c r="D154" s="127" t="str">
        <x:f>IF($A154="","",Locations!D34)</x:f>
      </x:c>
      <x:c r="E154" s="127" t="str">
        <x:f>IF($A154="","",Locations!F34)</x:f>
      </x:c>
      <x:c r="F154" s="127" t="str">
        <x:f>IF($A154="","",Locations!E34)</x:f>
      </x:c>
      <x:c r="G154" s="127" t="str">
        <x:f>IF($A154="","","LOCATION")</x:f>
      </x:c>
      <x:c r="H154" s="127" t="str">
        <x:f>IF($A154="","","OK")</x:f>
      </x:c>
    </x:row>
    <x:row r="155">
      <x:c r="A155" s="127" t="str">
        <x:f>IF(AND(Locations!A35="Yes",Locations!I35="OK"),Locations!B35,"")</x:f>
      </x:c>
      <x:c r="B155" s="127" t="str">
        <x:f>IF($A155="","",XLOOKUP(Locations!B35,NOCsTbl[NOC ID],NOCsTbl[Display Name],""))</x:f>
      </x:c>
      <x:c r="C155" s="127" t="str">
        <x:f>IF($A155="","",Locations!C35)</x:f>
      </x:c>
      <x:c r="D155" s="127" t="str">
        <x:f>IF($A155="","",Locations!D35)</x:f>
      </x:c>
      <x:c r="E155" s="127" t="str">
        <x:f>IF($A155="","",Locations!F35)</x:f>
      </x:c>
      <x:c r="F155" s="127" t="str">
        <x:f>IF($A155="","",Locations!E35)</x:f>
      </x:c>
      <x:c r="G155" s="127" t="str">
        <x:f>IF($A155="","","LOCATION")</x:f>
      </x:c>
      <x:c r="H155" s="127" t="str">
        <x:f>IF($A155="","","OK")</x:f>
      </x:c>
    </x:row>
    <x:row r="156">
      <x:c r="A156" s="127" t="str">
        <x:f>IF(AND(Locations!A36="Yes",Locations!I36="OK"),Locations!B36,"")</x:f>
      </x:c>
      <x:c r="B156" s="127" t="str">
        <x:f>IF($A156="","",XLOOKUP(Locations!B36,NOCsTbl[NOC ID],NOCsTbl[Display Name],""))</x:f>
      </x:c>
      <x:c r="C156" s="127" t="str">
        <x:f>IF($A156="","",Locations!C36)</x:f>
      </x:c>
      <x:c r="D156" s="127" t="str">
        <x:f>IF($A156="","",Locations!D36)</x:f>
      </x:c>
      <x:c r="E156" s="127" t="str">
        <x:f>IF($A156="","",Locations!F36)</x:f>
      </x:c>
      <x:c r="F156" s="127" t="str">
        <x:f>IF($A156="","",Locations!E36)</x:f>
      </x:c>
      <x:c r="G156" s="127" t="str">
        <x:f>IF($A156="","","LOCATION")</x:f>
      </x:c>
      <x:c r="H156" s="127" t="str">
        <x:f>IF($A156="","","OK")</x:f>
      </x:c>
    </x:row>
    <x:row r="157">
      <x:c r="A157" s="127" t="str">
        <x:f>IF(AND(Locations!A37="Yes",Locations!I37="OK"),Locations!B37,"")</x:f>
      </x:c>
      <x:c r="B157" s="127" t="str">
        <x:f>IF($A157="","",XLOOKUP(Locations!B37,NOCsTbl[NOC ID],NOCsTbl[Display Name],""))</x:f>
      </x:c>
      <x:c r="C157" s="127" t="str">
        <x:f>IF($A157="","",Locations!C37)</x:f>
      </x:c>
      <x:c r="D157" s="127" t="str">
        <x:f>IF($A157="","",Locations!D37)</x:f>
      </x:c>
      <x:c r="E157" s="127" t="str">
        <x:f>IF($A157="","",Locations!F37)</x:f>
      </x:c>
      <x:c r="F157" s="127" t="str">
        <x:f>IF($A157="","",Locations!E37)</x:f>
      </x:c>
      <x:c r="G157" s="127" t="str">
        <x:f>IF($A157="","","LOCATION")</x:f>
      </x:c>
      <x:c r="H157" s="127" t="str">
        <x:f>IF($A157="","","OK")</x:f>
      </x:c>
    </x:row>
    <x:row r="158">
      <x:c r="A158" s="127" t="str">
        <x:f>IF(AND(Locations!A38="Yes",Locations!I38="OK"),Locations!B38,"")</x:f>
      </x:c>
      <x:c r="B158" s="127" t="str">
        <x:f>IF($A158="","",XLOOKUP(Locations!B38,NOCsTbl[NOC ID],NOCsTbl[Display Name],""))</x:f>
      </x:c>
      <x:c r="C158" s="127" t="str">
        <x:f>IF($A158="","",Locations!C38)</x:f>
      </x:c>
      <x:c r="D158" s="127" t="str">
        <x:f>IF($A158="","",Locations!D38)</x:f>
      </x:c>
      <x:c r="E158" s="127" t="str">
        <x:f>IF($A158="","",Locations!F38)</x:f>
      </x:c>
      <x:c r="F158" s="127" t="str">
        <x:f>IF($A158="","",Locations!E38)</x:f>
      </x:c>
      <x:c r="G158" s="127" t="str">
        <x:f>IF($A158="","","LOCATION")</x:f>
      </x:c>
      <x:c r="H158" s="127" t="str">
        <x:f>IF($A158="","","OK")</x:f>
      </x:c>
    </x:row>
    <x:row r="159">
      <x:c r="A159" s="127" t="str">
        <x:f>IF(AND(Locations!A39="Yes",Locations!I39="OK"),Locations!B39,"")</x:f>
      </x:c>
      <x:c r="B159" s="127" t="str">
        <x:f>IF($A159="","",XLOOKUP(Locations!B39,NOCsTbl[NOC ID],NOCsTbl[Display Name],""))</x:f>
      </x:c>
      <x:c r="C159" s="127" t="str">
        <x:f>IF($A159="","",Locations!C39)</x:f>
      </x:c>
      <x:c r="D159" s="127" t="str">
        <x:f>IF($A159="","",Locations!D39)</x:f>
      </x:c>
      <x:c r="E159" s="127" t="str">
        <x:f>IF($A159="","",Locations!F39)</x:f>
      </x:c>
      <x:c r="F159" s="127" t="str">
        <x:f>IF($A159="","",Locations!E39)</x:f>
      </x:c>
      <x:c r="G159" s="127" t="str">
        <x:f>IF($A159="","","LOCATION")</x:f>
      </x:c>
      <x:c r="H159" s="127" t="str">
        <x:f>IF($A159="","","OK")</x:f>
      </x:c>
    </x:row>
    <x:row r="160">
      <x:c r="A160" s="127" t="str">
        <x:f>IF(AND(Locations!A40="Yes",Locations!I40="OK"),Locations!B40,"")</x:f>
      </x:c>
      <x:c r="B160" s="127" t="str">
        <x:f>IF($A160="","",XLOOKUP(Locations!B40,NOCsTbl[NOC ID],NOCsTbl[Display Name],""))</x:f>
      </x:c>
      <x:c r="C160" s="127" t="str">
        <x:f>IF($A160="","",Locations!C40)</x:f>
      </x:c>
      <x:c r="D160" s="127" t="str">
        <x:f>IF($A160="","",Locations!D40)</x:f>
      </x:c>
      <x:c r="E160" s="127" t="str">
        <x:f>IF($A160="","",Locations!F40)</x:f>
      </x:c>
      <x:c r="F160" s="127" t="str">
        <x:f>IF($A160="","",Locations!E40)</x:f>
      </x:c>
      <x:c r="G160" s="127" t="str">
        <x:f>IF($A160="","","LOCATION")</x:f>
      </x:c>
      <x:c r="H160" s="127" t="str">
        <x:f>IF($A160="","","OK")</x:f>
      </x:c>
    </x:row>
    <x:row r="161">
      <x:c r="A161" s="127" t="str">
        <x:f>IF(AND(Locations!A41="Yes",Locations!I41="OK"),Locations!B41,"")</x:f>
      </x:c>
      <x:c r="B161" s="127" t="str">
        <x:f>IF($A161="","",XLOOKUP(Locations!B41,NOCsTbl[NOC ID],NOCsTbl[Display Name],""))</x:f>
      </x:c>
      <x:c r="C161" s="127" t="str">
        <x:f>IF($A161="","",Locations!C41)</x:f>
      </x:c>
      <x:c r="D161" s="127" t="str">
        <x:f>IF($A161="","",Locations!D41)</x:f>
      </x:c>
      <x:c r="E161" s="127" t="str">
        <x:f>IF($A161="","",Locations!F41)</x:f>
      </x:c>
      <x:c r="F161" s="127" t="str">
        <x:f>IF($A161="","",Locations!E41)</x:f>
      </x:c>
      <x:c r="G161" s="127" t="str">
        <x:f>IF($A161="","","LOCATION")</x:f>
      </x:c>
      <x:c r="H161" s="127" t="str">
        <x:f>IF($A161="","","OK")</x:f>
      </x:c>
    </x:row>
    <x:row r="162">
      <x:c r="A162" s="127" t="str">
        <x:f>IF(AND(Locations!A42="Yes",Locations!I42="OK"),Locations!B42,"")</x:f>
      </x:c>
      <x:c r="B162" s="127" t="str">
        <x:f>IF($A162="","",XLOOKUP(Locations!B42,NOCsTbl[NOC ID],NOCsTbl[Display Name],""))</x:f>
      </x:c>
      <x:c r="C162" s="127" t="str">
        <x:f>IF($A162="","",Locations!C42)</x:f>
      </x:c>
      <x:c r="D162" s="127" t="str">
        <x:f>IF($A162="","",Locations!D42)</x:f>
      </x:c>
      <x:c r="E162" s="127" t="str">
        <x:f>IF($A162="","",Locations!F42)</x:f>
      </x:c>
      <x:c r="F162" s="127" t="str">
        <x:f>IF($A162="","",Locations!E42)</x:f>
      </x:c>
      <x:c r="G162" s="127" t="str">
        <x:f>IF($A162="","","LOCATION")</x:f>
      </x:c>
      <x:c r="H162" s="127" t="str">
        <x:f>IF($A162="","","OK")</x:f>
      </x:c>
    </x:row>
    <x:row r="163">
      <x:c r="A163" s="127" t="str">
        <x:f>IF(AND(Locations!A43="Yes",Locations!I43="OK"),Locations!B43,"")</x:f>
      </x:c>
      <x:c r="B163" s="127" t="str">
        <x:f>IF($A163="","",XLOOKUP(Locations!B43,NOCsTbl[NOC ID],NOCsTbl[Display Name],""))</x:f>
      </x:c>
      <x:c r="C163" s="127" t="str">
        <x:f>IF($A163="","",Locations!C43)</x:f>
      </x:c>
      <x:c r="D163" s="127" t="str">
        <x:f>IF($A163="","",Locations!D43)</x:f>
      </x:c>
      <x:c r="E163" s="127" t="str">
        <x:f>IF($A163="","",Locations!F43)</x:f>
      </x:c>
      <x:c r="F163" s="127" t="str">
        <x:f>IF($A163="","",Locations!E43)</x:f>
      </x:c>
      <x:c r="G163" s="127" t="str">
        <x:f>IF($A163="","","LOCATION")</x:f>
      </x:c>
      <x:c r="H163" s="127" t="str">
        <x:f>IF($A163="","","OK")</x:f>
      </x:c>
    </x:row>
    <x:row r="164">
      <x:c r="A164" s="127" t="str">
        <x:f>IF(AND(Locations!A44="Yes",Locations!I44="OK"),Locations!B44,"")</x:f>
      </x:c>
      <x:c r="B164" s="127" t="str">
        <x:f>IF($A164="","",XLOOKUP(Locations!B44,NOCsTbl[NOC ID],NOCsTbl[Display Name],""))</x:f>
      </x:c>
      <x:c r="C164" s="127" t="str">
        <x:f>IF($A164="","",Locations!C44)</x:f>
      </x:c>
      <x:c r="D164" s="127" t="str">
        <x:f>IF($A164="","",Locations!D44)</x:f>
      </x:c>
      <x:c r="E164" s="127" t="str">
        <x:f>IF($A164="","",Locations!F44)</x:f>
      </x:c>
      <x:c r="F164" s="127" t="str">
        <x:f>IF($A164="","",Locations!E44)</x:f>
      </x:c>
      <x:c r="G164" s="127" t="str">
        <x:f>IF($A164="","","LOCATION")</x:f>
      </x:c>
      <x:c r="H164" s="127" t="str">
        <x:f>IF($A164="","","OK")</x:f>
      </x:c>
    </x:row>
    <x:row r="165">
      <x:c r="A165" s="127" t="str">
        <x:f>IF(AND(Locations!A45="Yes",Locations!I45="OK"),Locations!B45,"")</x:f>
      </x:c>
      <x:c r="B165" s="127" t="str">
        <x:f>IF($A165="","",XLOOKUP(Locations!B45,NOCsTbl[NOC ID],NOCsTbl[Display Name],""))</x:f>
      </x:c>
      <x:c r="C165" s="127" t="str">
        <x:f>IF($A165="","",Locations!C45)</x:f>
      </x:c>
      <x:c r="D165" s="127" t="str">
        <x:f>IF($A165="","",Locations!D45)</x:f>
      </x:c>
      <x:c r="E165" s="127" t="str">
        <x:f>IF($A165="","",Locations!F45)</x:f>
      </x:c>
      <x:c r="F165" s="127" t="str">
        <x:f>IF($A165="","",Locations!E45)</x:f>
      </x:c>
      <x:c r="G165" s="127" t="str">
        <x:f>IF($A165="","","LOCATION")</x:f>
      </x:c>
      <x:c r="H165" s="127" t="str">
        <x:f>IF($A165="","","OK")</x:f>
      </x:c>
    </x:row>
    <x:row r="166">
      <x:c r="A166" s="127" t="str">
        <x:f>IF(AND(Locations!A46="Yes",Locations!I46="OK"),Locations!B46,"")</x:f>
      </x:c>
      <x:c r="B166" s="127" t="str">
        <x:f>IF($A166="","",XLOOKUP(Locations!B46,NOCsTbl[NOC ID],NOCsTbl[Display Name],""))</x:f>
      </x:c>
      <x:c r="C166" s="127" t="str">
        <x:f>IF($A166="","",Locations!C46)</x:f>
      </x:c>
      <x:c r="D166" s="127" t="str">
        <x:f>IF($A166="","",Locations!D46)</x:f>
      </x:c>
      <x:c r="E166" s="127" t="str">
        <x:f>IF($A166="","",Locations!F46)</x:f>
      </x:c>
      <x:c r="F166" s="127" t="str">
        <x:f>IF($A166="","",Locations!E46)</x:f>
      </x:c>
      <x:c r="G166" s="127" t="str">
        <x:f>IF($A166="","","LOCATION")</x:f>
      </x:c>
      <x:c r="H166" s="127" t="str">
        <x:f>IF($A166="","","OK")</x:f>
      </x:c>
    </x:row>
    <x:row r="167">
      <x:c r="A167" s="127" t="str">
        <x:f>IF(AND(Locations!A47="Yes",Locations!I47="OK"),Locations!B47,"")</x:f>
      </x:c>
      <x:c r="B167" s="127" t="str">
        <x:f>IF($A167="","",XLOOKUP(Locations!B47,NOCsTbl[NOC ID],NOCsTbl[Display Name],""))</x:f>
      </x:c>
      <x:c r="C167" s="127" t="str">
        <x:f>IF($A167="","",Locations!C47)</x:f>
      </x:c>
      <x:c r="D167" s="127" t="str">
        <x:f>IF($A167="","",Locations!D47)</x:f>
      </x:c>
      <x:c r="E167" s="127" t="str">
        <x:f>IF($A167="","",Locations!F47)</x:f>
      </x:c>
      <x:c r="F167" s="127" t="str">
        <x:f>IF($A167="","",Locations!E47)</x:f>
      </x:c>
      <x:c r="G167" s="127" t="str">
        <x:f>IF($A167="","","LOCATION")</x:f>
      </x:c>
      <x:c r="H167" s="127" t="str">
        <x:f>IF($A167="","","OK")</x:f>
      </x:c>
    </x:row>
    <x:row r="168">
      <x:c r="A168" s="127" t="str">
        <x:f>IF(AND(Locations!A48="Yes",Locations!I48="OK"),Locations!B48,"")</x:f>
      </x:c>
      <x:c r="B168" s="127" t="str">
        <x:f>IF($A168="","",XLOOKUP(Locations!B48,NOCsTbl[NOC ID],NOCsTbl[Display Name],""))</x:f>
      </x:c>
      <x:c r="C168" s="127" t="str">
        <x:f>IF($A168="","",Locations!C48)</x:f>
      </x:c>
      <x:c r="D168" s="127" t="str">
        <x:f>IF($A168="","",Locations!D48)</x:f>
      </x:c>
      <x:c r="E168" s="127" t="str">
        <x:f>IF($A168="","",Locations!F48)</x:f>
      </x:c>
      <x:c r="F168" s="127" t="str">
        <x:f>IF($A168="","",Locations!E48)</x:f>
      </x:c>
      <x:c r="G168" s="127" t="str">
        <x:f>IF($A168="","","LOCATION")</x:f>
      </x:c>
      <x:c r="H168" s="127" t="str">
        <x:f>IF($A168="","","OK")</x:f>
      </x:c>
    </x:row>
    <x:row r="169">
      <x:c r="A169" s="127" t="str">
        <x:f>IF(AND(Locations!A49="Yes",Locations!I49="OK"),Locations!B49,"")</x:f>
      </x:c>
      <x:c r="B169" s="127" t="str">
        <x:f>IF($A169="","",XLOOKUP(Locations!B49,NOCsTbl[NOC ID],NOCsTbl[Display Name],""))</x:f>
      </x:c>
      <x:c r="C169" s="127" t="str">
        <x:f>IF($A169="","",Locations!C49)</x:f>
      </x:c>
      <x:c r="D169" s="127" t="str">
        <x:f>IF($A169="","",Locations!D49)</x:f>
      </x:c>
      <x:c r="E169" s="127" t="str">
        <x:f>IF($A169="","",Locations!F49)</x:f>
      </x:c>
      <x:c r="F169" s="127" t="str">
        <x:f>IF($A169="","",Locations!E49)</x:f>
      </x:c>
      <x:c r="G169" s="127" t="str">
        <x:f>IF($A169="","","LOCATION")</x:f>
      </x:c>
      <x:c r="H169" s="127" t="str">
        <x:f>IF($A169="","","OK")</x:f>
      </x:c>
    </x:row>
    <x:row r="170">
      <x:c r="A170" s="127" t="str">
        <x:f>IF(AND(Locations!A50="Yes",Locations!I50="OK"),Locations!B50,"")</x:f>
      </x:c>
      <x:c r="B170" s="127" t="str">
        <x:f>IF($A170="","",XLOOKUP(Locations!B50,NOCsTbl[NOC ID],NOCsTbl[Display Name],""))</x:f>
      </x:c>
      <x:c r="C170" s="127" t="str">
        <x:f>IF($A170="","",Locations!C50)</x:f>
      </x:c>
      <x:c r="D170" s="127" t="str">
        <x:f>IF($A170="","",Locations!D50)</x:f>
      </x:c>
      <x:c r="E170" s="127" t="str">
        <x:f>IF($A170="","",Locations!F50)</x:f>
      </x:c>
      <x:c r="F170" s="127" t="str">
        <x:f>IF($A170="","",Locations!E50)</x:f>
      </x:c>
      <x:c r="G170" s="127" t="str">
        <x:f>IF($A170="","","LOCATION")</x:f>
      </x:c>
      <x:c r="H170" s="127" t="str">
        <x:f>IF($A170="","","OK")</x:f>
      </x:c>
    </x:row>
    <x:row r="171">
      <x:c r="A171" s="127" t="str">
        <x:f>IF(AND(Locations!A51="Yes",Locations!I51="OK"),Locations!B51,"")</x:f>
      </x:c>
      <x:c r="B171" s="127" t="str">
        <x:f>IF($A171="","",XLOOKUP(Locations!B51,NOCsTbl[NOC ID],NOCsTbl[Display Name],""))</x:f>
      </x:c>
      <x:c r="C171" s="127" t="str">
        <x:f>IF($A171="","",Locations!C51)</x:f>
      </x:c>
      <x:c r="D171" s="127" t="str">
        <x:f>IF($A171="","",Locations!D51)</x:f>
      </x:c>
      <x:c r="E171" s="127" t="str">
        <x:f>IF($A171="","",Locations!F51)</x:f>
      </x:c>
      <x:c r="F171" s="127" t="str">
        <x:f>IF($A171="","",Locations!E51)</x:f>
      </x:c>
      <x:c r="G171" s="127" t="str">
        <x:f>IF($A171="","","LOCATION")</x:f>
      </x:c>
      <x:c r="H171" s="127" t="str">
        <x:f>IF($A171="","","OK")</x:f>
      </x:c>
    </x:row>
    <x:row r="172">
      <x:c r="A172" s="127" t="str">
        <x:f>IF(AND(Locations!A52="Yes",Locations!I52="OK"),Locations!B52,"")</x:f>
      </x:c>
      <x:c r="B172" s="127" t="str">
        <x:f>IF($A172="","",XLOOKUP(Locations!B52,NOCsTbl[NOC ID],NOCsTbl[Display Name],""))</x:f>
      </x:c>
      <x:c r="C172" s="127" t="str">
        <x:f>IF($A172="","",Locations!C52)</x:f>
      </x:c>
      <x:c r="D172" s="127" t="str">
        <x:f>IF($A172="","",Locations!D52)</x:f>
      </x:c>
      <x:c r="E172" s="127" t="str">
        <x:f>IF($A172="","",Locations!F52)</x:f>
      </x:c>
      <x:c r="F172" s="127" t="str">
        <x:f>IF($A172="","",Locations!E52)</x:f>
      </x:c>
      <x:c r="G172" s="127" t="str">
        <x:f>IF($A172="","","LOCATION")</x:f>
      </x:c>
      <x:c r="H172" s="127" t="str">
        <x:f>IF($A172="","","OK")</x:f>
      </x:c>
    </x:row>
    <x:row r="173">
      <x:c r="A173" s="127" t="str">
        <x:f>IF(AND(Locations!A53="Yes",Locations!I53="OK"),Locations!B53,"")</x:f>
      </x:c>
      <x:c r="B173" s="127" t="str">
        <x:f>IF($A173="","",XLOOKUP(Locations!B53,NOCsTbl[NOC ID],NOCsTbl[Display Name],""))</x:f>
      </x:c>
      <x:c r="C173" s="127" t="str">
        <x:f>IF($A173="","",Locations!C53)</x:f>
      </x:c>
      <x:c r="D173" s="127" t="str">
        <x:f>IF($A173="","",Locations!D53)</x:f>
      </x:c>
      <x:c r="E173" s="127" t="str">
        <x:f>IF($A173="","",Locations!F53)</x:f>
      </x:c>
      <x:c r="F173" s="127" t="str">
        <x:f>IF($A173="","",Locations!E53)</x:f>
      </x:c>
      <x:c r="G173" s="127" t="str">
        <x:f>IF($A173="","","LOCATION")</x:f>
      </x:c>
      <x:c r="H173" s="127" t="str">
        <x:f>IF($A173="","","OK")</x:f>
      </x:c>
    </x:row>
    <x:row r="174">
      <x:c r="A174" s="127" t="str">
        <x:f>IF(AND(Locations!A54="Yes",Locations!I54="OK"),Locations!B54,"")</x:f>
      </x:c>
      <x:c r="B174" s="127" t="str">
        <x:f>IF($A174="","",XLOOKUP(Locations!B54,NOCsTbl[NOC ID],NOCsTbl[Display Name],""))</x:f>
      </x:c>
      <x:c r="C174" s="127" t="str">
        <x:f>IF($A174="","",Locations!C54)</x:f>
      </x:c>
      <x:c r="D174" s="127" t="str">
        <x:f>IF($A174="","",Locations!D54)</x:f>
      </x:c>
      <x:c r="E174" s="127" t="str">
        <x:f>IF($A174="","",Locations!F54)</x:f>
      </x:c>
      <x:c r="F174" s="127" t="str">
        <x:f>IF($A174="","",Locations!E54)</x:f>
      </x:c>
      <x:c r="G174" s="127" t="str">
        <x:f>IF($A174="","","LOCATION")</x:f>
      </x:c>
      <x:c r="H174" s="127" t="str">
        <x:f>IF($A174="","","OK")</x:f>
      </x:c>
    </x:row>
    <x:row r="175">
      <x:c r="A175" s="127" t="str">
        <x:f>IF(AND(Locations!A55="Yes",Locations!I55="OK"),Locations!B55,"")</x:f>
      </x:c>
      <x:c r="B175" s="127" t="str">
        <x:f>IF($A175="","",XLOOKUP(Locations!B55,NOCsTbl[NOC ID],NOCsTbl[Display Name],""))</x:f>
      </x:c>
      <x:c r="C175" s="127" t="str">
        <x:f>IF($A175="","",Locations!C55)</x:f>
      </x:c>
      <x:c r="D175" s="127" t="str">
        <x:f>IF($A175="","",Locations!D55)</x:f>
      </x:c>
      <x:c r="E175" s="127" t="str">
        <x:f>IF($A175="","",Locations!F55)</x:f>
      </x:c>
      <x:c r="F175" s="127" t="str">
        <x:f>IF($A175="","",Locations!E55)</x:f>
      </x:c>
      <x:c r="G175" s="127" t="str">
        <x:f>IF($A175="","","LOCATION")</x:f>
      </x:c>
      <x:c r="H175" s="127" t="str">
        <x:f>IF($A175="","","OK")</x:f>
      </x:c>
    </x:row>
    <x:row r="176">
      <x:c r="A176" s="127" t="str">
        <x:f>IF(AND(Locations!A56="Yes",Locations!I56="OK"),Locations!B56,"")</x:f>
      </x:c>
      <x:c r="B176" s="127" t="str">
        <x:f>IF($A176="","",XLOOKUP(Locations!B56,NOCsTbl[NOC ID],NOCsTbl[Display Name],""))</x:f>
      </x:c>
      <x:c r="C176" s="127" t="str">
        <x:f>IF($A176="","",Locations!C56)</x:f>
      </x:c>
      <x:c r="D176" s="127" t="str">
        <x:f>IF($A176="","",Locations!D56)</x:f>
      </x:c>
      <x:c r="E176" s="127" t="str">
        <x:f>IF($A176="","",Locations!F56)</x:f>
      </x:c>
      <x:c r="F176" s="127" t="str">
        <x:f>IF($A176="","",Locations!E56)</x:f>
      </x:c>
      <x:c r="G176" s="127" t="str">
        <x:f>IF($A176="","","LOCATION")</x:f>
      </x:c>
      <x:c r="H176" s="127" t="str">
        <x:f>IF($A176="","","OK")</x:f>
      </x:c>
    </x:row>
    <x:row r="177">
      <x:c r="A177" s="127" t="str">
        <x:f>IF(AND(Locations!A57="Yes",Locations!I57="OK"),Locations!B57,"")</x:f>
      </x:c>
      <x:c r="B177" s="127" t="str">
        <x:f>IF($A177="","",XLOOKUP(Locations!B57,NOCsTbl[NOC ID],NOCsTbl[Display Name],""))</x:f>
      </x:c>
      <x:c r="C177" s="127" t="str">
        <x:f>IF($A177="","",Locations!C57)</x:f>
      </x:c>
      <x:c r="D177" s="127" t="str">
        <x:f>IF($A177="","",Locations!D57)</x:f>
      </x:c>
      <x:c r="E177" s="127" t="str">
        <x:f>IF($A177="","",Locations!F57)</x:f>
      </x:c>
      <x:c r="F177" s="127" t="str">
        <x:f>IF($A177="","",Locations!E57)</x:f>
      </x:c>
      <x:c r="G177" s="127" t="str">
        <x:f>IF($A177="","","LOCATION")</x:f>
      </x:c>
      <x:c r="H177" s="127" t="str">
        <x:f>IF($A177="","","OK")</x:f>
      </x:c>
    </x:row>
    <x:row r="178">
      <x:c r="A178" s="127" t="str">
        <x:f>IF(AND(Locations!A58="Yes",Locations!I58="OK"),Locations!B58,"")</x:f>
      </x:c>
      <x:c r="B178" s="127" t="str">
        <x:f>IF($A178="","",XLOOKUP(Locations!B58,NOCsTbl[NOC ID],NOCsTbl[Display Name],""))</x:f>
      </x:c>
      <x:c r="C178" s="127" t="str">
        <x:f>IF($A178="","",Locations!C58)</x:f>
      </x:c>
      <x:c r="D178" s="127" t="str">
        <x:f>IF($A178="","",Locations!D58)</x:f>
      </x:c>
      <x:c r="E178" s="127" t="str">
        <x:f>IF($A178="","",Locations!F58)</x:f>
      </x:c>
      <x:c r="F178" s="127" t="str">
        <x:f>IF($A178="","",Locations!E58)</x:f>
      </x:c>
      <x:c r="G178" s="127" t="str">
        <x:f>IF($A178="","","LOCATION")</x:f>
      </x:c>
      <x:c r="H178" s="127" t="str">
        <x:f>IF($A178="","","OK")</x:f>
      </x:c>
    </x:row>
    <x:row r="179">
      <x:c r="A179" s="127" t="str">
        <x:f>IF(AND(Locations!A59="Yes",Locations!I59="OK"),Locations!B59,"")</x:f>
      </x:c>
      <x:c r="B179" s="127" t="str">
        <x:f>IF($A179="","",XLOOKUP(Locations!B59,NOCsTbl[NOC ID],NOCsTbl[Display Name],""))</x:f>
      </x:c>
      <x:c r="C179" s="127" t="str">
        <x:f>IF($A179="","",Locations!C59)</x:f>
      </x:c>
      <x:c r="D179" s="127" t="str">
        <x:f>IF($A179="","",Locations!D59)</x:f>
      </x:c>
      <x:c r="E179" s="127" t="str">
        <x:f>IF($A179="","",Locations!F59)</x:f>
      </x:c>
      <x:c r="F179" s="127" t="str">
        <x:f>IF($A179="","",Locations!E59)</x:f>
      </x:c>
      <x:c r="G179" s="127" t="str">
        <x:f>IF($A179="","","LOCATION")</x:f>
      </x:c>
      <x:c r="H179" s="127" t="str">
        <x:f>IF($A179="","","OK")</x:f>
      </x:c>
    </x:row>
    <x:row r="180">
      <x:c r="A180" s="127" t="str">
        <x:f>IF(AND(Locations!A60="Yes",Locations!I60="OK"),Locations!B60,"")</x:f>
      </x:c>
      <x:c r="B180" s="127" t="str">
        <x:f>IF($A180="","",XLOOKUP(Locations!B60,NOCsTbl[NOC ID],NOCsTbl[Display Name],""))</x:f>
      </x:c>
      <x:c r="C180" s="127" t="str">
        <x:f>IF($A180="","",Locations!C60)</x:f>
      </x:c>
      <x:c r="D180" s="127" t="str">
        <x:f>IF($A180="","",Locations!D60)</x:f>
      </x:c>
      <x:c r="E180" s="127" t="str">
        <x:f>IF($A180="","",Locations!F60)</x:f>
      </x:c>
      <x:c r="F180" s="127" t="str">
        <x:f>IF($A180="","",Locations!E60)</x:f>
      </x:c>
      <x:c r="G180" s="127" t="str">
        <x:f>IF($A180="","","LOCATION")</x:f>
      </x:c>
      <x:c r="H180" s="127" t="str">
        <x:f>IF($A180="","","OK")</x:f>
      </x:c>
    </x:row>
    <x:row r="181">
      <x:c r="A181" s="127" t="str">
        <x:f>IF(AND(Locations!A61="Yes",Locations!I61="OK"),Locations!B61,"")</x:f>
      </x:c>
      <x:c r="B181" s="127" t="str">
        <x:f>IF($A181="","",XLOOKUP(Locations!B61,NOCsTbl[NOC ID],NOCsTbl[Display Name],""))</x:f>
      </x:c>
      <x:c r="C181" s="127" t="str">
        <x:f>IF($A181="","",Locations!C61)</x:f>
      </x:c>
      <x:c r="D181" s="127" t="str">
        <x:f>IF($A181="","",Locations!D61)</x:f>
      </x:c>
      <x:c r="E181" s="127" t="str">
        <x:f>IF($A181="","",Locations!F61)</x:f>
      </x:c>
      <x:c r="F181" s="127" t="str">
        <x:f>IF($A181="","",Locations!E61)</x:f>
      </x:c>
      <x:c r="G181" s="127" t="str">
        <x:f>IF($A181="","","LOCATION")</x:f>
      </x:c>
      <x:c r="H181" s="127" t="str">
        <x:f>IF($A181="","","OK")</x:f>
      </x:c>
    </x:row>
    <x:row r="182">
      <x:c r="A182" s="127" t="str">
        <x:f>IF(AND(Locations!A62="Yes",Locations!I62="OK"),Locations!B62,"")</x:f>
      </x:c>
      <x:c r="B182" s="127" t="str">
        <x:f>IF($A182="","",XLOOKUP(Locations!B62,NOCsTbl[NOC ID],NOCsTbl[Display Name],""))</x:f>
      </x:c>
      <x:c r="C182" s="127" t="str">
        <x:f>IF($A182="","",Locations!C62)</x:f>
      </x:c>
      <x:c r="D182" s="127" t="str">
        <x:f>IF($A182="","",Locations!D62)</x:f>
      </x:c>
      <x:c r="E182" s="127" t="str">
        <x:f>IF($A182="","",Locations!F62)</x:f>
      </x:c>
      <x:c r="F182" s="127" t="str">
        <x:f>IF($A182="","",Locations!E62)</x:f>
      </x:c>
      <x:c r="G182" s="127" t="str">
        <x:f>IF($A182="","","LOCATION")</x:f>
      </x:c>
      <x:c r="H182" s="127" t="str">
        <x:f>IF($A182="","","OK")</x:f>
      </x:c>
    </x:row>
    <x:row r="183">
      <x:c r="A183" s="127" t="str">
        <x:f>IF(AND(Locations!A63="Yes",Locations!I63="OK"),Locations!B63,"")</x:f>
      </x:c>
      <x:c r="B183" s="127" t="str">
        <x:f>IF($A183="","",XLOOKUP(Locations!B63,NOCsTbl[NOC ID],NOCsTbl[Display Name],""))</x:f>
      </x:c>
      <x:c r="C183" s="127" t="str">
        <x:f>IF($A183="","",Locations!C63)</x:f>
      </x:c>
      <x:c r="D183" s="127" t="str">
        <x:f>IF($A183="","",Locations!D63)</x:f>
      </x:c>
      <x:c r="E183" s="127" t="str">
        <x:f>IF($A183="","",Locations!F63)</x:f>
      </x:c>
      <x:c r="F183" s="127" t="str">
        <x:f>IF($A183="","",Locations!E63)</x:f>
      </x:c>
      <x:c r="G183" s="127" t="str">
        <x:f>IF($A183="","","LOCATION")</x:f>
      </x:c>
      <x:c r="H183" s="127" t="str">
        <x:f>IF($A183="","","OK")</x:f>
      </x:c>
    </x:row>
    <x:row r="184">
      <x:c r="A184" s="127" t="str">
        <x:f>IF(AND(Locations!A64="Yes",Locations!I64="OK"),Locations!B64,"")</x:f>
      </x:c>
      <x:c r="B184" s="127" t="str">
        <x:f>IF($A184="","",XLOOKUP(Locations!B64,NOCsTbl[NOC ID],NOCsTbl[Display Name],""))</x:f>
      </x:c>
      <x:c r="C184" s="127" t="str">
        <x:f>IF($A184="","",Locations!C64)</x:f>
      </x:c>
      <x:c r="D184" s="127" t="str">
        <x:f>IF($A184="","",Locations!D64)</x:f>
      </x:c>
      <x:c r="E184" s="127" t="str">
        <x:f>IF($A184="","",Locations!F64)</x:f>
      </x:c>
      <x:c r="F184" s="127" t="str">
        <x:f>IF($A184="","",Locations!E64)</x:f>
      </x:c>
      <x:c r="G184" s="127" t="str">
        <x:f>IF($A184="","","LOCATION")</x:f>
      </x:c>
      <x:c r="H184" s="127" t="str">
        <x:f>IF($A184="","","OK")</x:f>
      </x:c>
    </x:row>
    <x:row r="185">
      <x:c r="A185" s="127" t="str">
        <x:f>IF(AND(Locations!A65="Yes",Locations!I65="OK"),Locations!B65,"")</x:f>
      </x:c>
      <x:c r="B185" s="127" t="str">
        <x:f>IF($A185="","",XLOOKUP(Locations!B65,NOCsTbl[NOC ID],NOCsTbl[Display Name],""))</x:f>
      </x:c>
      <x:c r="C185" s="127" t="str">
        <x:f>IF($A185="","",Locations!C65)</x:f>
      </x:c>
      <x:c r="D185" s="127" t="str">
        <x:f>IF($A185="","",Locations!D65)</x:f>
      </x:c>
      <x:c r="E185" s="127" t="str">
        <x:f>IF($A185="","",Locations!F65)</x:f>
      </x:c>
      <x:c r="F185" s="127" t="str">
        <x:f>IF($A185="","",Locations!E65)</x:f>
      </x:c>
      <x:c r="G185" s="127" t="str">
        <x:f>IF($A185="","","LOCATION")</x:f>
      </x:c>
      <x:c r="H185" s="127" t="str">
        <x:f>IF($A185="","","OK")</x:f>
      </x:c>
    </x:row>
    <x:row r="186">
      <x:c r="A186" s="127" t="str">
        <x:f>IF(AND(Locations!A66="Yes",Locations!I66="OK"),Locations!B66,"")</x:f>
      </x:c>
      <x:c r="B186" s="127" t="str">
        <x:f>IF($A186="","",XLOOKUP(Locations!B66,NOCsTbl[NOC ID],NOCsTbl[Display Name],""))</x:f>
      </x:c>
      <x:c r="C186" s="127" t="str">
        <x:f>IF($A186="","",Locations!C66)</x:f>
      </x:c>
      <x:c r="D186" s="127" t="str">
        <x:f>IF($A186="","",Locations!D66)</x:f>
      </x:c>
      <x:c r="E186" s="127" t="str">
        <x:f>IF($A186="","",Locations!F66)</x:f>
      </x:c>
      <x:c r="F186" s="127" t="str">
        <x:f>IF($A186="","",Locations!E66)</x:f>
      </x:c>
      <x:c r="G186" s="127" t="str">
        <x:f>IF($A186="","","LOCATION")</x:f>
      </x:c>
      <x:c r="H186" s="127" t="str">
        <x:f>IF($A186="","","OK")</x:f>
      </x:c>
    </x:row>
    <x:row r="187">
      <x:c r="A187" s="127" t="str">
        <x:f>IF(AND(Locations!A67="Yes",Locations!I67="OK"),Locations!B67,"")</x:f>
      </x:c>
      <x:c r="B187" s="127" t="str">
        <x:f>IF($A187="","",XLOOKUP(Locations!B67,NOCsTbl[NOC ID],NOCsTbl[Display Name],""))</x:f>
      </x:c>
      <x:c r="C187" s="127" t="str">
        <x:f>IF($A187="","",Locations!C67)</x:f>
      </x:c>
      <x:c r="D187" s="127" t="str">
        <x:f>IF($A187="","",Locations!D67)</x:f>
      </x:c>
      <x:c r="E187" s="127" t="str">
        <x:f>IF($A187="","",Locations!F67)</x:f>
      </x:c>
      <x:c r="F187" s="127" t="str">
        <x:f>IF($A187="","",Locations!E67)</x:f>
      </x:c>
      <x:c r="G187" s="127" t="str">
        <x:f>IF($A187="","","LOCATION")</x:f>
      </x:c>
      <x:c r="H187" s="127" t="str">
        <x:f>IF($A187="","","OK")</x:f>
      </x:c>
    </x:row>
    <x:row r="188">
      <x:c r="A188" s="127" t="str">
        <x:f>IF(AND(Locations!A68="Yes",Locations!I68="OK"),Locations!B68,"")</x:f>
      </x:c>
      <x:c r="B188" s="127" t="str">
        <x:f>IF($A188="","",XLOOKUP(Locations!B68,NOCsTbl[NOC ID],NOCsTbl[Display Name],""))</x:f>
      </x:c>
      <x:c r="C188" s="127" t="str">
        <x:f>IF($A188="","",Locations!C68)</x:f>
      </x:c>
      <x:c r="D188" s="127" t="str">
        <x:f>IF($A188="","",Locations!D68)</x:f>
      </x:c>
      <x:c r="E188" s="127" t="str">
        <x:f>IF($A188="","",Locations!F68)</x:f>
      </x:c>
      <x:c r="F188" s="127" t="str">
        <x:f>IF($A188="","",Locations!E68)</x:f>
      </x:c>
      <x:c r="G188" s="127" t="str">
        <x:f>IF($A188="","","LOCATION")</x:f>
      </x:c>
      <x:c r="H188" s="127" t="str">
        <x:f>IF($A188="","","OK")</x:f>
      </x:c>
    </x:row>
    <x:row r="189">
      <x:c r="A189" s="127" t="str">
        <x:f>IF(AND(Locations!A69="Yes",Locations!I69="OK"),Locations!B69,"")</x:f>
      </x:c>
      <x:c r="B189" s="127" t="str">
        <x:f>IF($A189="","",XLOOKUP(Locations!B69,NOCsTbl[NOC ID],NOCsTbl[Display Name],""))</x:f>
      </x:c>
      <x:c r="C189" s="127" t="str">
        <x:f>IF($A189="","",Locations!C69)</x:f>
      </x:c>
      <x:c r="D189" s="127" t="str">
        <x:f>IF($A189="","",Locations!D69)</x:f>
      </x:c>
      <x:c r="E189" s="127" t="str">
        <x:f>IF($A189="","",Locations!F69)</x:f>
      </x:c>
      <x:c r="F189" s="127" t="str">
        <x:f>IF($A189="","",Locations!E69)</x:f>
      </x:c>
      <x:c r="G189" s="127" t="str">
        <x:f>IF($A189="","","LOCATION")</x:f>
      </x:c>
      <x:c r="H189" s="127" t="str">
        <x:f>IF($A189="","","OK")</x:f>
      </x:c>
    </x:row>
    <x:row r="190">
      <x:c r="A190" s="127" t="str">
        <x:f>IF(AND(Locations!A70="Yes",Locations!I70="OK"),Locations!B70,"")</x:f>
      </x:c>
      <x:c r="B190" s="127" t="str">
        <x:f>IF($A190="","",XLOOKUP(Locations!B70,NOCsTbl[NOC ID],NOCsTbl[Display Name],""))</x:f>
      </x:c>
      <x:c r="C190" s="127" t="str">
        <x:f>IF($A190="","",Locations!C70)</x:f>
      </x:c>
      <x:c r="D190" s="127" t="str">
        <x:f>IF($A190="","",Locations!D70)</x:f>
      </x:c>
      <x:c r="E190" s="127" t="str">
        <x:f>IF($A190="","",Locations!F70)</x:f>
      </x:c>
      <x:c r="F190" s="127" t="str">
        <x:f>IF($A190="","",Locations!E70)</x:f>
      </x:c>
      <x:c r="G190" s="127" t="str">
        <x:f>IF($A190="","","LOCATION")</x:f>
      </x:c>
      <x:c r="H190" s="127" t="str">
        <x:f>IF($A190="","","OK")</x:f>
      </x:c>
    </x:row>
    <x:row r="191">
      <x:c r="A191" s="127" t="str">
        <x:f>IF(AND(Locations!A71="Yes",Locations!I71="OK"),Locations!B71,"")</x:f>
      </x:c>
      <x:c r="B191" s="127" t="str">
        <x:f>IF($A191="","",XLOOKUP(Locations!B71,NOCsTbl[NOC ID],NOCsTbl[Display Name],""))</x:f>
      </x:c>
      <x:c r="C191" s="127" t="str">
        <x:f>IF($A191="","",Locations!C71)</x:f>
      </x:c>
      <x:c r="D191" s="127" t="str">
        <x:f>IF($A191="","",Locations!D71)</x:f>
      </x:c>
      <x:c r="E191" s="127" t="str">
        <x:f>IF($A191="","",Locations!F71)</x:f>
      </x:c>
      <x:c r="F191" s="127" t="str">
        <x:f>IF($A191="","",Locations!E71)</x:f>
      </x:c>
      <x:c r="G191" s="127" t="str">
        <x:f>IF($A191="","","LOCATION")</x:f>
      </x:c>
      <x:c r="H191" s="127" t="str">
        <x:f>IF($A191="","","OK")</x:f>
      </x:c>
    </x:row>
    <x:row r="192">
      <x:c r="A192" s="127" t="str">
        <x:f>IF(AND(Locations!A72="Yes",Locations!I72="OK"),Locations!B72,"")</x:f>
      </x:c>
      <x:c r="B192" s="127" t="str">
        <x:f>IF($A192="","",XLOOKUP(Locations!B72,NOCsTbl[NOC ID],NOCsTbl[Display Name],""))</x:f>
      </x:c>
      <x:c r="C192" s="127" t="str">
        <x:f>IF($A192="","",Locations!C72)</x:f>
      </x:c>
      <x:c r="D192" s="127" t="str">
        <x:f>IF($A192="","",Locations!D72)</x:f>
      </x:c>
      <x:c r="E192" s="127" t="str">
        <x:f>IF($A192="","",Locations!F72)</x:f>
      </x:c>
      <x:c r="F192" s="127" t="str">
        <x:f>IF($A192="","",Locations!E72)</x:f>
      </x:c>
      <x:c r="G192" s="127" t="str">
        <x:f>IF($A192="","","LOCATION")</x:f>
      </x:c>
      <x:c r="H192" s="127" t="str">
        <x:f>IF($A192="","","OK")</x:f>
      </x:c>
    </x:row>
    <x:row r="193">
      <x:c r="A193" s="127" t="str">
        <x:f>IF(AND(Locations!A73="Yes",Locations!I73="OK"),Locations!B73,"")</x:f>
      </x:c>
      <x:c r="B193" s="127" t="str">
        <x:f>IF($A193="","",XLOOKUP(Locations!B73,NOCsTbl[NOC ID],NOCsTbl[Display Name],""))</x:f>
      </x:c>
      <x:c r="C193" s="127" t="str">
        <x:f>IF($A193="","",Locations!C73)</x:f>
      </x:c>
      <x:c r="D193" s="127" t="str">
        <x:f>IF($A193="","",Locations!D73)</x:f>
      </x:c>
      <x:c r="E193" s="127" t="str">
        <x:f>IF($A193="","",Locations!F73)</x:f>
      </x:c>
      <x:c r="F193" s="127" t="str">
        <x:f>IF($A193="","",Locations!E73)</x:f>
      </x:c>
      <x:c r="G193" s="127" t="str">
        <x:f>IF($A193="","","LOCATION")</x:f>
      </x:c>
      <x:c r="H193" s="127" t="str">
        <x:f>IF($A193="","","OK")</x:f>
      </x:c>
    </x:row>
    <x:row r="194">
      <x:c r="A194" s="127" t="str">
        <x:f>IF(AND(Locations!A74="Yes",Locations!I74="OK"),Locations!B74,"")</x:f>
      </x:c>
      <x:c r="B194" s="127" t="str">
        <x:f>IF($A194="","",XLOOKUP(Locations!B74,NOCsTbl[NOC ID],NOCsTbl[Display Name],""))</x:f>
      </x:c>
      <x:c r="C194" s="127" t="str">
        <x:f>IF($A194="","",Locations!C74)</x:f>
      </x:c>
      <x:c r="D194" s="127" t="str">
        <x:f>IF($A194="","",Locations!D74)</x:f>
      </x:c>
      <x:c r="E194" s="127" t="str">
        <x:f>IF($A194="","",Locations!F74)</x:f>
      </x:c>
      <x:c r="F194" s="127" t="str">
        <x:f>IF($A194="","",Locations!E74)</x:f>
      </x:c>
      <x:c r="G194" s="127" t="str">
        <x:f>IF($A194="","","LOCATION")</x:f>
      </x:c>
      <x:c r="H194" s="127" t="str">
        <x:f>IF($A194="","","OK")</x:f>
      </x:c>
    </x:row>
    <x:row r="195">
      <x:c r="A195" s="127" t="str">
        <x:f>IF(AND(Locations!A75="Yes",Locations!I75="OK"),Locations!B75,"")</x:f>
      </x:c>
      <x:c r="B195" s="127" t="str">
        <x:f>IF($A195="","",XLOOKUP(Locations!B75,NOCsTbl[NOC ID],NOCsTbl[Display Name],""))</x:f>
      </x:c>
      <x:c r="C195" s="127" t="str">
        <x:f>IF($A195="","",Locations!C75)</x:f>
      </x:c>
      <x:c r="D195" s="127" t="str">
        <x:f>IF($A195="","",Locations!D75)</x:f>
      </x:c>
      <x:c r="E195" s="127" t="str">
        <x:f>IF($A195="","",Locations!F75)</x:f>
      </x:c>
      <x:c r="F195" s="127" t="str">
        <x:f>IF($A195="","",Locations!E75)</x:f>
      </x:c>
      <x:c r="G195" s="127" t="str">
        <x:f>IF($A195="","","LOCATION")</x:f>
      </x:c>
      <x:c r="H195" s="127" t="str">
        <x:f>IF($A195="","","OK")</x:f>
      </x:c>
    </x:row>
    <x:row r="196">
      <x:c r="A196" s="127" t="str">
        <x:f>IF(AND(Locations!A76="Yes",Locations!I76="OK"),Locations!B76,"")</x:f>
      </x:c>
      <x:c r="B196" s="127" t="str">
        <x:f>IF($A196="","",XLOOKUP(Locations!B76,NOCsTbl[NOC ID],NOCsTbl[Display Name],""))</x:f>
      </x:c>
      <x:c r="C196" s="127" t="str">
        <x:f>IF($A196="","",Locations!C76)</x:f>
      </x:c>
      <x:c r="D196" s="127" t="str">
        <x:f>IF($A196="","",Locations!D76)</x:f>
      </x:c>
      <x:c r="E196" s="127" t="str">
        <x:f>IF($A196="","",Locations!F76)</x:f>
      </x:c>
      <x:c r="F196" s="127" t="str">
        <x:f>IF($A196="","",Locations!E76)</x:f>
      </x:c>
      <x:c r="G196" s="127" t="str">
        <x:f>IF($A196="","","LOCATION")</x:f>
      </x:c>
      <x:c r="H196" s="127" t="str">
        <x:f>IF($A196="","","OK")</x:f>
      </x:c>
    </x:row>
    <x:row r="197">
      <x:c r="A197" s="127" t="str">
        <x:f>IF(AND(Locations!A77="Yes",Locations!I77="OK"),Locations!B77,"")</x:f>
      </x:c>
      <x:c r="B197" s="127" t="str">
        <x:f>IF($A197="","",XLOOKUP(Locations!B77,NOCsTbl[NOC ID],NOCsTbl[Display Name],""))</x:f>
      </x:c>
      <x:c r="C197" s="127" t="str">
        <x:f>IF($A197="","",Locations!C77)</x:f>
      </x:c>
      <x:c r="D197" s="127" t="str">
        <x:f>IF($A197="","",Locations!D77)</x:f>
      </x:c>
      <x:c r="E197" s="127" t="str">
        <x:f>IF($A197="","",Locations!F77)</x:f>
      </x:c>
      <x:c r="F197" s="127" t="str">
        <x:f>IF($A197="","",Locations!E77)</x:f>
      </x:c>
      <x:c r="G197" s="127" t="str">
        <x:f>IF($A197="","","LOCATION")</x:f>
      </x:c>
      <x:c r="H197" s="127" t="str">
        <x:f>IF($A197="","","OK")</x:f>
      </x:c>
    </x:row>
    <x:row r="198">
      <x:c r="A198" s="127" t="str">
        <x:f>IF(AND(Locations!A78="Yes",Locations!I78="OK"),Locations!B78,"")</x:f>
      </x:c>
      <x:c r="B198" s="127" t="str">
        <x:f>IF($A198="","",XLOOKUP(Locations!B78,NOCsTbl[NOC ID],NOCsTbl[Display Name],""))</x:f>
      </x:c>
      <x:c r="C198" s="127" t="str">
        <x:f>IF($A198="","",Locations!C78)</x:f>
      </x:c>
      <x:c r="D198" s="127" t="str">
        <x:f>IF($A198="","",Locations!D78)</x:f>
      </x:c>
      <x:c r="E198" s="127" t="str">
        <x:f>IF($A198="","",Locations!F78)</x:f>
      </x:c>
      <x:c r="F198" s="127" t="str">
        <x:f>IF($A198="","",Locations!E78)</x:f>
      </x:c>
      <x:c r="G198" s="127" t="str">
        <x:f>IF($A198="","","LOCATION")</x:f>
      </x:c>
      <x:c r="H198" s="127" t="str">
        <x:f>IF($A198="","","OK")</x:f>
      </x:c>
    </x:row>
    <x:row r="199">
      <x:c r="A199" s="127" t="str">
        <x:f>IF(AND(Locations!A79="Yes",Locations!I79="OK"),Locations!B79,"")</x:f>
      </x:c>
      <x:c r="B199" s="127" t="str">
        <x:f>IF($A199="","",XLOOKUP(Locations!B79,NOCsTbl[NOC ID],NOCsTbl[Display Name],""))</x:f>
      </x:c>
      <x:c r="C199" s="127" t="str">
        <x:f>IF($A199="","",Locations!C79)</x:f>
      </x:c>
      <x:c r="D199" s="127" t="str">
        <x:f>IF($A199="","",Locations!D79)</x:f>
      </x:c>
      <x:c r="E199" s="127" t="str">
        <x:f>IF($A199="","",Locations!F79)</x:f>
      </x:c>
      <x:c r="F199" s="127" t="str">
        <x:f>IF($A199="","",Locations!E79)</x:f>
      </x:c>
      <x:c r="G199" s="127" t="str">
        <x:f>IF($A199="","","LOCATION")</x:f>
      </x:c>
      <x:c r="H199" s="127" t="str">
        <x:f>IF($A199="","","OK")</x:f>
      </x:c>
    </x:row>
    <x:row r="200">
      <x:c r="A200" s="127" t="str">
        <x:f>IF(AND(Locations!A80="Yes",Locations!I80="OK"),Locations!B80,"")</x:f>
      </x:c>
      <x:c r="B200" s="127" t="str">
        <x:f>IF($A200="","",XLOOKUP(Locations!B80,NOCsTbl[NOC ID],NOCsTbl[Display Name],""))</x:f>
      </x:c>
      <x:c r="C200" s="127" t="str">
        <x:f>IF($A200="","",Locations!C80)</x:f>
      </x:c>
      <x:c r="D200" s="127" t="str">
        <x:f>IF($A200="","",Locations!D80)</x:f>
      </x:c>
      <x:c r="E200" s="127" t="str">
        <x:f>IF($A200="","",Locations!F80)</x:f>
      </x:c>
      <x:c r="F200" s="127" t="str">
        <x:f>IF($A200="","",Locations!E80)</x:f>
      </x:c>
      <x:c r="G200" s="127" t="str">
        <x:f>IF($A200="","","LOCATION")</x:f>
      </x:c>
      <x:c r="H200" s="127" t="str">
        <x:f>IF($A200="","","OK")</x:f>
      </x:c>
    </x:row>
    <x:row r="201">
      <x:c r="A201" s="128" t="str">
        <x:f>IF(AND(Locations!A81="Yes",Locations!I81="OK"),Locations!B81,"")</x:f>
      </x:c>
      <x:c r="B201" s="128" t="str">
        <x:f>IF($A201="","",XLOOKUP(Locations!B81,NOCsTbl[NOC ID],NOCsTbl[Display Name],""))</x:f>
      </x:c>
      <x:c r="C201" s="128" t="str">
        <x:f>IF($A201="","",Locations!C81)</x:f>
      </x:c>
      <x:c r="D201" s="128" t="str">
        <x:f>IF($A201="","",Locations!D81)</x:f>
      </x:c>
      <x:c r="E201" s="128" t="str">
        <x:f>IF($A201="","",Locations!F81)</x:f>
      </x:c>
      <x:c r="F201" s="128" t="str">
        <x:f>IF($A201="","",Locations!E81)</x:f>
      </x:c>
      <x:c r="G201" s="128" t="str">
        <x:f>IF($A201="","","LOCATION")</x:f>
      </x:c>
      <x:c r="H201" s="128" t="str">
        <x:f>IF($A201="","","OK")</x:f>
      </x:c>
    </x:row>
    <x:row r="202">
      <x:c r="A202" s="128" t="str">
        <x:f>IF(AND(Locations!A82="Yes",Locations!I82="OK"),Locations!B82,"")</x:f>
      </x:c>
      <x:c r="B202" s="128" t="str">
        <x:f>IF($A202="","",XLOOKUP(Locations!B82,NOCsTbl[NOC ID],NOCsTbl[Display Name],""))</x:f>
      </x:c>
      <x:c r="C202" s="128" t="str">
        <x:f>IF($A202="","",Locations!C82)</x:f>
      </x:c>
      <x:c r="D202" s="128" t="str">
        <x:f>IF($A202="","",Locations!D82)</x:f>
      </x:c>
      <x:c r="E202" s="128" t="str">
        <x:f>IF($A202="","",Locations!F82)</x:f>
      </x:c>
      <x:c r="F202" s="128" t="str">
        <x:f>IF($A202="","",Locations!E82)</x:f>
      </x:c>
      <x:c r="G202" s="128" t="str">
        <x:f>IF($A202="","","LOCATION")</x:f>
      </x:c>
      <x:c r="H202" s="128" t="str">
        <x:f>IF($A202="","","OK")</x:f>
      </x:c>
    </x:row>
    <x:row r="203">
      <x:c r="A203" s="128" t="str">
        <x:f>IF(AND(Locations!A83="Yes",Locations!I83="OK"),Locations!B83,"")</x:f>
      </x:c>
      <x:c r="B203" s="128" t="str">
        <x:f>IF($A203="","",XLOOKUP(Locations!B83,NOCsTbl[NOC ID],NOCsTbl[Display Name],""))</x:f>
      </x:c>
      <x:c r="C203" s="128" t="str">
        <x:f>IF($A203="","",Locations!C83)</x:f>
      </x:c>
      <x:c r="D203" s="128" t="str">
        <x:f>IF($A203="","",Locations!D83)</x:f>
      </x:c>
      <x:c r="E203" s="128" t="str">
        <x:f>IF($A203="","",Locations!F83)</x:f>
      </x:c>
      <x:c r="F203" s="128" t="str">
        <x:f>IF($A203="","",Locations!E83)</x:f>
      </x:c>
      <x:c r="G203" s="128" t="str">
        <x:f>IF($A203="","","LOCATION")</x:f>
      </x:c>
      <x:c r="H203" s="128" t="str">
        <x:f>IF($A203="","","OK")</x:f>
      </x:c>
    </x:row>
    <x:row r="204">
      <x:c r="A204" s="128" t="str">
        <x:f>IF(AND(Locations!A84="Yes",Locations!I84="OK"),Locations!B84,"")</x:f>
      </x:c>
      <x:c r="B204" s="128" t="str">
        <x:f>IF($A204="","",XLOOKUP(Locations!B84,NOCsTbl[NOC ID],NOCsTbl[Display Name],""))</x:f>
      </x:c>
      <x:c r="C204" s="128" t="str">
        <x:f>IF($A204="","",Locations!C84)</x:f>
      </x:c>
      <x:c r="D204" s="128" t="str">
        <x:f>IF($A204="","",Locations!D84)</x:f>
      </x:c>
      <x:c r="E204" s="128" t="str">
        <x:f>IF($A204="","",Locations!F84)</x:f>
      </x:c>
      <x:c r="F204" s="128" t="str">
        <x:f>IF($A204="","",Locations!E84)</x:f>
      </x:c>
      <x:c r="G204" s="128" t="str">
        <x:f>IF($A204="","","LOCATION")</x:f>
      </x:c>
      <x:c r="H204" s="128" t="str">
        <x:f>IF($A204="","","OK")</x:f>
      </x:c>
    </x:row>
    <x:row r="205">
      <x:c r="A205" s="128" t="str">
        <x:f>IF(AND(Locations!A85="Yes",Locations!I85="OK"),Locations!B85,"")</x:f>
      </x:c>
      <x:c r="B205" s="128" t="str">
        <x:f>IF($A205="","",XLOOKUP(Locations!B85,NOCsTbl[NOC ID],NOCsTbl[Display Name],""))</x:f>
      </x:c>
      <x:c r="C205" s="128" t="str">
        <x:f>IF($A205="","",Locations!C85)</x:f>
      </x:c>
      <x:c r="D205" s="128" t="str">
        <x:f>IF($A205="","",Locations!D85)</x:f>
      </x:c>
      <x:c r="E205" s="128" t="str">
        <x:f>IF($A205="","",Locations!F85)</x:f>
      </x:c>
      <x:c r="F205" s="128" t="str">
        <x:f>IF($A205="","",Locations!E85)</x:f>
      </x:c>
      <x:c r="G205" s="128" t="str">
        <x:f>IF($A205="","","LOCATION")</x:f>
      </x:c>
      <x:c r="H205" s="128" t="str">
        <x:f>IF($A205="","","OK")</x:f>
      </x:c>
    </x:row>
    <x:row r="206">
      <x:c r="A206" s="128" t="str">
        <x:f>IF(AND(Locations!A86="Yes",Locations!I86="OK"),Locations!B86,"")</x:f>
      </x:c>
      <x:c r="B206" s="128" t="str">
        <x:f>IF($A206="","",XLOOKUP(Locations!B86,NOCsTbl[NOC ID],NOCsTbl[Display Name],""))</x:f>
      </x:c>
      <x:c r="C206" s="128" t="str">
        <x:f>IF($A206="","",Locations!C86)</x:f>
      </x:c>
      <x:c r="D206" s="128" t="str">
        <x:f>IF($A206="","",Locations!D86)</x:f>
      </x:c>
      <x:c r="E206" s="128" t="str">
        <x:f>IF($A206="","",Locations!F86)</x:f>
      </x:c>
      <x:c r="F206" s="128" t="str">
        <x:f>IF($A206="","",Locations!E86)</x:f>
      </x:c>
      <x:c r="G206" s="128" t="str">
        <x:f>IF($A206="","","LOCATION")</x:f>
      </x:c>
      <x:c r="H206" s="128" t="str">
        <x:f>IF($A206="","","OK")</x:f>
      </x:c>
    </x:row>
    <x:row r="207">
      <x:c r="A207" s="128" t="str">
        <x:f>IF(AND(Locations!A87="Yes",Locations!I87="OK"),Locations!B87,"")</x:f>
      </x:c>
      <x:c r="B207" s="128" t="str">
        <x:f>IF($A207="","",XLOOKUP(Locations!B87,NOCsTbl[NOC ID],NOCsTbl[Display Name],""))</x:f>
      </x:c>
      <x:c r="C207" s="128" t="str">
        <x:f>IF($A207="","",Locations!C87)</x:f>
      </x:c>
      <x:c r="D207" s="128" t="str">
        <x:f>IF($A207="","",Locations!D87)</x:f>
      </x:c>
      <x:c r="E207" s="128" t="str">
        <x:f>IF($A207="","",Locations!F87)</x:f>
      </x:c>
      <x:c r="F207" s="128" t="str">
        <x:f>IF($A207="","",Locations!E87)</x:f>
      </x:c>
      <x:c r="G207" s="128" t="str">
        <x:f>IF($A207="","","LOCATION")</x:f>
      </x:c>
      <x:c r="H207" s="128" t="str">
        <x:f>IF($A207="","","OK")</x:f>
      </x:c>
    </x:row>
    <x:row r="208">
      <x:c r="A208" s="128" t="str">
        <x:f>IF(AND(Locations!A88="Yes",Locations!I88="OK"),Locations!B88,"")</x:f>
      </x:c>
      <x:c r="B208" s="128" t="str">
        <x:f>IF($A208="","",XLOOKUP(Locations!B88,NOCsTbl[NOC ID],NOCsTbl[Display Name],""))</x:f>
      </x:c>
      <x:c r="C208" s="128" t="str">
        <x:f>IF($A208="","",Locations!C88)</x:f>
      </x:c>
      <x:c r="D208" s="128" t="str">
        <x:f>IF($A208="","",Locations!D88)</x:f>
      </x:c>
      <x:c r="E208" s="128" t="str">
        <x:f>IF($A208="","",Locations!F88)</x:f>
      </x:c>
      <x:c r="F208" s="128" t="str">
        <x:f>IF($A208="","",Locations!E88)</x:f>
      </x:c>
      <x:c r="G208" s="128" t="str">
        <x:f>IF($A208="","","LOCATION")</x:f>
      </x:c>
      <x:c r="H208" s="128" t="str">
        <x:f>IF($A208="","","OK")</x:f>
      </x:c>
    </x:row>
    <x:row r="209">
      <x:c r="A209" s="128" t="str">
        <x:f>IF(AND(Locations!A89="Yes",Locations!I89="OK"),Locations!B89,"")</x:f>
      </x:c>
      <x:c r="B209" s="128" t="str">
        <x:f>IF($A209="","",XLOOKUP(Locations!B89,NOCsTbl[NOC ID],NOCsTbl[Display Name],""))</x:f>
      </x:c>
      <x:c r="C209" s="128" t="str">
        <x:f>IF($A209="","",Locations!C89)</x:f>
      </x:c>
      <x:c r="D209" s="128" t="str">
        <x:f>IF($A209="","",Locations!D89)</x:f>
      </x:c>
      <x:c r="E209" s="128" t="str">
        <x:f>IF($A209="","",Locations!F89)</x:f>
      </x:c>
      <x:c r="F209" s="128" t="str">
        <x:f>IF($A209="","",Locations!E89)</x:f>
      </x:c>
      <x:c r="G209" s="128" t="str">
        <x:f>IF($A209="","","LOCATION")</x:f>
      </x:c>
      <x:c r="H209" s="128" t="str">
        <x:f>IF($A209="","","OK")</x:f>
      </x:c>
    </x:row>
    <x:row r="210">
      <x:c r="A210" s="128" t="str">
        <x:f>IF(AND(Locations!A90="Yes",Locations!I90="OK"),Locations!B90,"")</x:f>
      </x:c>
      <x:c r="B210" s="128" t="str">
        <x:f>IF($A210="","",XLOOKUP(Locations!B90,NOCsTbl[NOC ID],NOCsTbl[Display Name],""))</x:f>
      </x:c>
      <x:c r="C210" s="128" t="str">
        <x:f>IF($A210="","",Locations!C90)</x:f>
      </x:c>
      <x:c r="D210" s="128" t="str">
        <x:f>IF($A210="","",Locations!D90)</x:f>
      </x:c>
      <x:c r="E210" s="128" t="str">
        <x:f>IF($A210="","",Locations!F90)</x:f>
      </x:c>
      <x:c r="F210" s="128" t="str">
        <x:f>IF($A210="","",Locations!E90)</x:f>
      </x:c>
      <x:c r="G210" s="128" t="str">
        <x:f>IF($A210="","","LOCATION")</x:f>
      </x:c>
      <x:c r="H210" s="128" t="str">
        <x:f>IF($A210="","","OK")</x:f>
      </x:c>
    </x:row>
    <x:row r="211">
      <x:c r="A211" s="128" t="str">
        <x:f>IF(AND(Locations!A91="Yes",Locations!I91="OK"),Locations!B91,"")</x:f>
      </x:c>
      <x:c r="B211" s="128" t="str">
        <x:f>IF($A211="","",XLOOKUP(Locations!B91,NOCsTbl[NOC ID],NOCsTbl[Display Name],""))</x:f>
      </x:c>
      <x:c r="C211" s="128" t="str">
        <x:f>IF($A211="","",Locations!C91)</x:f>
      </x:c>
      <x:c r="D211" s="128" t="str">
        <x:f>IF($A211="","",Locations!D91)</x:f>
      </x:c>
      <x:c r="E211" s="128" t="str">
        <x:f>IF($A211="","",Locations!F91)</x:f>
      </x:c>
      <x:c r="F211" s="128" t="str">
        <x:f>IF($A211="","",Locations!E91)</x:f>
      </x:c>
      <x:c r="G211" s="128" t="str">
        <x:f>IF($A211="","","LOCATION")</x:f>
      </x:c>
      <x:c r="H211" s="128" t="str">
        <x:f>IF($A211="","","OK")</x:f>
      </x:c>
    </x:row>
    <x:row r="212">
      <x:c r="A212" s="128" t="str">
        <x:f>IF(AND(Locations!A92="Yes",Locations!I92="OK"),Locations!B92,"")</x:f>
      </x:c>
      <x:c r="B212" s="128" t="str">
        <x:f>IF($A212="","",XLOOKUP(Locations!B92,NOCsTbl[NOC ID],NOCsTbl[Display Name],""))</x:f>
      </x:c>
      <x:c r="C212" s="128" t="str">
        <x:f>IF($A212="","",Locations!C92)</x:f>
      </x:c>
      <x:c r="D212" s="128" t="str">
        <x:f>IF($A212="","",Locations!D92)</x:f>
      </x:c>
      <x:c r="E212" s="128" t="str">
        <x:f>IF($A212="","",Locations!F92)</x:f>
      </x:c>
      <x:c r="F212" s="128" t="str">
        <x:f>IF($A212="","",Locations!E92)</x:f>
      </x:c>
      <x:c r="G212" s="128" t="str">
        <x:f>IF($A212="","","LOCATION")</x:f>
      </x:c>
      <x:c r="H212" s="128" t="str">
        <x:f>IF($A212="","","OK")</x:f>
      </x:c>
    </x:row>
    <x:row r="213">
      <x:c r="A213" s="128" t="str">
        <x:f>IF(AND(Locations!A93="Yes",Locations!I93="OK"),Locations!B93,"")</x:f>
      </x:c>
      <x:c r="B213" s="128" t="str">
        <x:f>IF($A213="","",XLOOKUP(Locations!B93,NOCsTbl[NOC ID],NOCsTbl[Display Name],""))</x:f>
      </x:c>
      <x:c r="C213" s="128" t="str">
        <x:f>IF($A213="","",Locations!C93)</x:f>
      </x:c>
      <x:c r="D213" s="128" t="str">
        <x:f>IF($A213="","",Locations!D93)</x:f>
      </x:c>
      <x:c r="E213" s="128" t="str">
        <x:f>IF($A213="","",Locations!F93)</x:f>
      </x:c>
      <x:c r="F213" s="128" t="str">
        <x:f>IF($A213="","",Locations!E93)</x:f>
      </x:c>
      <x:c r="G213" s="128" t="str">
        <x:f>IF($A213="","","LOCATION")</x:f>
      </x:c>
      <x:c r="H213" s="128" t="str">
        <x:f>IF($A213="","","OK")</x:f>
      </x:c>
    </x:row>
    <x:row r="214">
      <x:c r="A214" s="128" t="str">
        <x:f>IF(AND(Locations!A94="Yes",Locations!I94="OK"),Locations!B94,"")</x:f>
      </x:c>
      <x:c r="B214" s="128" t="str">
        <x:f>IF($A214="","",XLOOKUP(Locations!B94,NOCsTbl[NOC ID],NOCsTbl[Display Name],""))</x:f>
      </x:c>
      <x:c r="C214" s="128" t="str">
        <x:f>IF($A214="","",Locations!C94)</x:f>
      </x:c>
      <x:c r="D214" s="128" t="str">
        <x:f>IF($A214="","",Locations!D94)</x:f>
      </x:c>
      <x:c r="E214" s="128" t="str">
        <x:f>IF($A214="","",Locations!F94)</x:f>
      </x:c>
      <x:c r="F214" s="128" t="str">
        <x:f>IF($A214="","",Locations!E94)</x:f>
      </x:c>
      <x:c r="G214" s="128" t="str">
        <x:f>IF($A214="","","LOCATION")</x:f>
      </x:c>
      <x:c r="H214" s="128" t="str">
        <x:f>IF($A214="","","OK")</x:f>
      </x:c>
    </x:row>
    <x:row r="215">
      <x:c r="A215" s="128" t="str">
        <x:f>IF(AND(Locations!A95="Yes",Locations!I95="OK"),Locations!B95,"")</x:f>
      </x:c>
      <x:c r="B215" s="128" t="str">
        <x:f>IF($A215="","",XLOOKUP(Locations!B95,NOCsTbl[NOC ID],NOCsTbl[Display Name],""))</x:f>
      </x:c>
      <x:c r="C215" s="128" t="str">
        <x:f>IF($A215="","",Locations!C95)</x:f>
      </x:c>
      <x:c r="D215" s="128" t="str">
        <x:f>IF($A215="","",Locations!D95)</x:f>
      </x:c>
      <x:c r="E215" s="128" t="str">
        <x:f>IF($A215="","",Locations!F95)</x:f>
      </x:c>
      <x:c r="F215" s="128" t="str">
        <x:f>IF($A215="","",Locations!E95)</x:f>
      </x:c>
      <x:c r="G215" s="128" t="str">
        <x:f>IF($A215="","","LOCATION")</x:f>
      </x:c>
      <x:c r="H215" s="128" t="str">
        <x:f>IF($A215="","","OK")</x:f>
      </x:c>
    </x:row>
    <x:row r="216">
      <x:c r="A216" s="128" t="str">
        <x:f>IF(AND(Locations!A96="Yes",Locations!I96="OK"),Locations!B96,"")</x:f>
      </x:c>
      <x:c r="B216" s="128" t="str">
        <x:f>IF($A216="","",XLOOKUP(Locations!B96,NOCsTbl[NOC ID],NOCsTbl[Display Name],""))</x:f>
      </x:c>
      <x:c r="C216" s="128" t="str">
        <x:f>IF($A216="","",Locations!C96)</x:f>
      </x:c>
      <x:c r="D216" s="128" t="str">
        <x:f>IF($A216="","",Locations!D96)</x:f>
      </x:c>
      <x:c r="E216" s="128" t="str">
        <x:f>IF($A216="","",Locations!F96)</x:f>
      </x:c>
      <x:c r="F216" s="128" t="str">
        <x:f>IF($A216="","",Locations!E96)</x:f>
      </x:c>
      <x:c r="G216" s="128" t="str">
        <x:f>IF($A216="","","LOCATION")</x:f>
      </x:c>
      <x:c r="H216" s="128" t="str">
        <x:f>IF($A216="","","OK")</x:f>
      </x:c>
    </x:row>
    <x:row r="217">
      <x:c r="A217" s="128" t="str">
        <x:f>IF(AND(Locations!A97="Yes",Locations!I97="OK"),Locations!B97,"")</x:f>
      </x:c>
      <x:c r="B217" s="128" t="str">
        <x:f>IF($A217="","",XLOOKUP(Locations!B97,NOCsTbl[NOC ID],NOCsTbl[Display Name],""))</x:f>
      </x:c>
      <x:c r="C217" s="128" t="str">
        <x:f>IF($A217="","",Locations!C97)</x:f>
      </x:c>
      <x:c r="D217" s="128" t="str">
        <x:f>IF($A217="","",Locations!D97)</x:f>
      </x:c>
      <x:c r="E217" s="128" t="str">
        <x:f>IF($A217="","",Locations!F97)</x:f>
      </x:c>
      <x:c r="F217" s="128" t="str">
        <x:f>IF($A217="","",Locations!E97)</x:f>
      </x:c>
      <x:c r="G217" s="128" t="str">
        <x:f>IF($A217="","","LOCATION")</x:f>
      </x:c>
      <x:c r="H217" s="128" t="str">
        <x:f>IF($A217="","","OK")</x:f>
      </x:c>
    </x:row>
    <x:row r="218">
      <x:c r="A218" s="128" t="str">
        <x:f>IF(AND(Locations!A98="Yes",Locations!I98="OK"),Locations!B98,"")</x:f>
      </x:c>
      <x:c r="B218" s="128" t="str">
        <x:f>IF($A218="","",XLOOKUP(Locations!B98,NOCsTbl[NOC ID],NOCsTbl[Display Name],""))</x:f>
      </x:c>
      <x:c r="C218" s="128" t="str">
        <x:f>IF($A218="","",Locations!C98)</x:f>
      </x:c>
      <x:c r="D218" s="128" t="str">
        <x:f>IF($A218="","",Locations!D98)</x:f>
      </x:c>
      <x:c r="E218" s="128" t="str">
        <x:f>IF($A218="","",Locations!F98)</x:f>
      </x:c>
      <x:c r="F218" s="128" t="str">
        <x:f>IF($A218="","",Locations!E98)</x:f>
      </x:c>
      <x:c r="G218" s="128" t="str">
        <x:f>IF($A218="","","LOCATION")</x:f>
      </x:c>
      <x:c r="H218" s="128" t="str">
        <x:f>IF($A218="","","OK")</x:f>
      </x:c>
    </x:row>
    <x:row r="219">
      <x:c r="A219" s="128" t="str">
        <x:f>IF(AND(Locations!A99="Yes",Locations!I99="OK"),Locations!B99,"")</x:f>
      </x:c>
      <x:c r="B219" s="128" t="str">
        <x:f>IF($A219="","",XLOOKUP(Locations!B99,NOCsTbl[NOC ID],NOCsTbl[Display Name],""))</x:f>
      </x:c>
      <x:c r="C219" s="128" t="str">
        <x:f>IF($A219="","",Locations!C99)</x:f>
      </x:c>
      <x:c r="D219" s="128" t="str">
        <x:f>IF($A219="","",Locations!D99)</x:f>
      </x:c>
      <x:c r="E219" s="128" t="str">
        <x:f>IF($A219="","",Locations!F99)</x:f>
      </x:c>
      <x:c r="F219" s="128" t="str">
        <x:f>IF($A219="","",Locations!E99)</x:f>
      </x:c>
      <x:c r="G219" s="128" t="str">
        <x:f>IF($A219="","","LOCATION")</x:f>
      </x:c>
      <x:c r="H219" s="128" t="str">
        <x:f>IF($A219="","","OK")</x:f>
      </x:c>
    </x:row>
    <x:row r="220">
      <x:c r="A220" s="128" t="str">
        <x:f>IF(AND(Locations!A100="Yes",Locations!I100="OK"),Locations!B100,"")</x:f>
      </x:c>
      <x:c r="B220" s="128" t="str">
        <x:f>IF($A220="","",XLOOKUP(Locations!B100,NOCsTbl[NOC ID],NOCsTbl[Display Name],""))</x:f>
      </x:c>
      <x:c r="C220" s="128" t="str">
        <x:f>IF($A220="","",Locations!C100)</x:f>
      </x:c>
      <x:c r="D220" s="128" t="str">
        <x:f>IF($A220="","",Locations!D100)</x:f>
      </x:c>
      <x:c r="E220" s="128" t="str">
        <x:f>IF($A220="","",Locations!F100)</x:f>
      </x:c>
      <x:c r="F220" s="128" t="str">
        <x:f>IF($A220="","",Locations!E100)</x:f>
      </x:c>
      <x:c r="G220" s="128" t="str">
        <x:f>IF($A220="","","LOCATION")</x:f>
      </x:c>
      <x:c r="H220" s="128" t="str">
        <x:f>IF($A220="","","OK")</x:f>
      </x:c>
    </x:row>
    <x:row r="221">
      <x:c r="A221" s="128" t="str">
        <x:f>IF(AND(Locations!A101="Yes",Locations!I101="OK"),Locations!B101,"")</x:f>
      </x:c>
      <x:c r="B221" s="128" t="str">
        <x:f>IF($A221="","",XLOOKUP(Locations!B101,NOCsTbl[NOC ID],NOCsTbl[Display Name],""))</x:f>
      </x:c>
      <x:c r="C221" s="128" t="str">
        <x:f>IF($A221="","",Locations!C101)</x:f>
      </x:c>
      <x:c r="D221" s="128" t="str">
        <x:f>IF($A221="","",Locations!D101)</x:f>
      </x:c>
      <x:c r="E221" s="128" t="str">
        <x:f>IF($A221="","",Locations!F101)</x:f>
      </x:c>
      <x:c r="F221" s="128" t="str">
        <x:f>IF($A221="","",Locations!E101)</x:f>
      </x:c>
      <x:c r="G221" s="128" t="str">
        <x:f>IF($A221="","","LOCATION")</x:f>
      </x:c>
      <x:c r="H221" s="128" t="str">
        <x:f>IF($A221="","","OK")</x:f>
      </x:c>
    </x:row>
    <x:row r="222">
      <x:c r="A222" s="128" t="str">
        <x:f>IF(AND(Locations!A102="Yes",Locations!I102="OK"),Locations!B102,"")</x:f>
      </x:c>
      <x:c r="B222" s="128" t="str">
        <x:f>IF($A222="","",XLOOKUP(Locations!B102,NOCsTbl[NOC ID],NOCsTbl[Display Name],""))</x:f>
      </x:c>
      <x:c r="C222" s="128" t="str">
        <x:f>IF($A222="","",Locations!C102)</x:f>
      </x:c>
      <x:c r="D222" s="128" t="str">
        <x:f>IF($A222="","",Locations!D102)</x:f>
      </x:c>
      <x:c r="E222" s="128" t="str">
        <x:f>IF($A222="","",Locations!F102)</x:f>
      </x:c>
      <x:c r="F222" s="128" t="str">
        <x:f>IF($A222="","",Locations!E102)</x:f>
      </x:c>
      <x:c r="G222" s="128" t="str">
        <x:f>IF($A222="","","LOCATION")</x:f>
      </x:c>
      <x:c r="H222" s="128" t="str">
        <x:f>IF($A222="","","OK")</x:f>
      </x:c>
    </x:row>
    <x:row r="223">
      <x:c r="A223" s="128" t="str">
        <x:f>IF(AND(Locations!A103="Yes",Locations!I103="OK"),Locations!B103,"")</x:f>
      </x:c>
      <x:c r="B223" s="128" t="str">
        <x:f>IF($A223="","",XLOOKUP(Locations!B103,NOCsTbl[NOC ID],NOCsTbl[Display Name],""))</x:f>
      </x:c>
      <x:c r="C223" s="128" t="str">
        <x:f>IF($A223="","",Locations!C103)</x:f>
      </x:c>
      <x:c r="D223" s="128" t="str">
        <x:f>IF($A223="","",Locations!D103)</x:f>
      </x:c>
      <x:c r="E223" s="128" t="str">
        <x:f>IF($A223="","",Locations!F103)</x:f>
      </x:c>
      <x:c r="F223" s="128" t="str">
        <x:f>IF($A223="","",Locations!E103)</x:f>
      </x:c>
      <x:c r="G223" s="128" t="str">
        <x:f>IF($A223="","","LOCATION")</x:f>
      </x:c>
      <x:c r="H223" s="128" t="str">
        <x:f>IF($A223="","","OK")</x:f>
      </x:c>
    </x:row>
    <x:row r="224">
      <x:c r="A224" s="128" t="str">
        <x:f>IF(AND(Locations!A104="Yes",Locations!I104="OK"),Locations!B104,"")</x:f>
      </x:c>
      <x:c r="B224" s="128" t="str">
        <x:f>IF($A224="","",XLOOKUP(Locations!B104,NOCsTbl[NOC ID],NOCsTbl[Display Name],""))</x:f>
      </x:c>
      <x:c r="C224" s="128" t="str">
        <x:f>IF($A224="","",Locations!C104)</x:f>
      </x:c>
      <x:c r="D224" s="128" t="str">
        <x:f>IF($A224="","",Locations!D104)</x:f>
      </x:c>
      <x:c r="E224" s="128" t="str">
        <x:f>IF($A224="","",Locations!F104)</x:f>
      </x:c>
      <x:c r="F224" s="128" t="str">
        <x:f>IF($A224="","",Locations!E104)</x:f>
      </x:c>
      <x:c r="G224" s="128" t="str">
        <x:f>IF($A224="","","LOCATION")</x:f>
      </x:c>
      <x:c r="H224" s="128" t="str">
        <x:f>IF($A224="","","OK")</x:f>
      </x:c>
    </x:row>
    <x:row r="225">
      <x:c r="A225" s="128" t="str">
        <x:f>IF(AND(Locations!A105="Yes",Locations!I105="OK"),Locations!B105,"")</x:f>
      </x:c>
      <x:c r="B225" s="128" t="str">
        <x:f>IF($A225="","",XLOOKUP(Locations!B105,NOCsTbl[NOC ID],NOCsTbl[Display Name],""))</x:f>
      </x:c>
      <x:c r="C225" s="128" t="str">
        <x:f>IF($A225="","",Locations!C105)</x:f>
      </x:c>
      <x:c r="D225" s="128" t="str">
        <x:f>IF($A225="","",Locations!D105)</x:f>
      </x:c>
      <x:c r="E225" s="128" t="str">
        <x:f>IF($A225="","",Locations!F105)</x:f>
      </x:c>
      <x:c r="F225" s="128" t="str">
        <x:f>IF($A225="","",Locations!E105)</x:f>
      </x:c>
      <x:c r="G225" s="128" t="str">
        <x:f>IF($A225="","","LOCATION")</x:f>
      </x:c>
      <x:c r="H225" s="128" t="str">
        <x:f>IF($A225="","","OK")</x:f>
      </x:c>
    </x:row>
    <x:row r="226">
      <x:c r="A226" s="128" t="str">
        <x:f>IF(AND(Locations!A106="Yes",Locations!I106="OK"),Locations!B106,"")</x:f>
      </x:c>
      <x:c r="B226" s="128" t="str">
        <x:f>IF($A226="","",XLOOKUP(Locations!B106,NOCsTbl[NOC ID],NOCsTbl[Display Name],""))</x:f>
      </x:c>
      <x:c r="C226" s="128" t="str">
        <x:f>IF($A226="","",Locations!C106)</x:f>
      </x:c>
      <x:c r="D226" s="128" t="str">
        <x:f>IF($A226="","",Locations!D106)</x:f>
      </x:c>
      <x:c r="E226" s="128" t="str">
        <x:f>IF($A226="","",Locations!F106)</x:f>
      </x:c>
      <x:c r="F226" s="128" t="str">
        <x:f>IF($A226="","",Locations!E106)</x:f>
      </x:c>
      <x:c r="G226" s="128" t="str">
        <x:f>IF($A226="","","LOCATION")</x:f>
      </x:c>
      <x:c r="H226" s="128" t="str">
        <x:f>IF($A226="","","OK")</x:f>
      </x:c>
    </x:row>
    <x:row r="227">
      <x:c r="A227" s="128" t="str">
        <x:f>IF(AND(Locations!A107="Yes",Locations!I107="OK"),Locations!B107,"")</x:f>
      </x:c>
      <x:c r="B227" s="128" t="str">
        <x:f>IF($A227="","",XLOOKUP(Locations!B107,NOCsTbl[NOC ID],NOCsTbl[Display Name],""))</x:f>
      </x:c>
      <x:c r="C227" s="128" t="str">
        <x:f>IF($A227="","",Locations!C107)</x:f>
      </x:c>
      <x:c r="D227" s="128" t="str">
        <x:f>IF($A227="","",Locations!D107)</x:f>
      </x:c>
      <x:c r="E227" s="128" t="str">
        <x:f>IF($A227="","",Locations!F107)</x:f>
      </x:c>
      <x:c r="F227" s="128" t="str">
        <x:f>IF($A227="","",Locations!E107)</x:f>
      </x:c>
      <x:c r="G227" s="128" t="str">
        <x:f>IF($A227="","","LOCATION")</x:f>
      </x:c>
      <x:c r="H227" s="128" t="str">
        <x:f>IF($A227="","","OK")</x:f>
      </x:c>
    </x:row>
    <x:row r="228">
      <x:c r="A228" s="128" t="str">
        <x:f>IF(AND(Locations!A108="Yes",Locations!I108="OK"),Locations!B108,"")</x:f>
      </x:c>
      <x:c r="B228" s="128" t="str">
        <x:f>IF($A228="","",XLOOKUP(Locations!B108,NOCsTbl[NOC ID],NOCsTbl[Display Name],""))</x:f>
      </x:c>
      <x:c r="C228" s="128" t="str">
        <x:f>IF($A228="","",Locations!C108)</x:f>
      </x:c>
      <x:c r="D228" s="128" t="str">
        <x:f>IF($A228="","",Locations!D108)</x:f>
      </x:c>
      <x:c r="E228" s="128" t="str">
        <x:f>IF($A228="","",Locations!F108)</x:f>
      </x:c>
      <x:c r="F228" s="128" t="str">
        <x:f>IF($A228="","",Locations!E108)</x:f>
      </x:c>
      <x:c r="G228" s="128" t="str">
        <x:f>IF($A228="","","LOCATION")</x:f>
      </x:c>
      <x:c r="H228" s="128" t="str">
        <x:f>IF($A228="","","OK")</x:f>
      </x:c>
    </x:row>
    <x:row r="229">
      <x:c r="A229" s="128" t="str">
        <x:f>IF(AND(Locations!A109="Yes",Locations!I109="OK"),Locations!B109,"")</x:f>
      </x:c>
      <x:c r="B229" s="128" t="str">
        <x:f>IF($A229="","",XLOOKUP(Locations!B109,NOCsTbl[NOC ID],NOCsTbl[Display Name],""))</x:f>
      </x:c>
      <x:c r="C229" s="128" t="str">
        <x:f>IF($A229="","",Locations!C109)</x:f>
      </x:c>
      <x:c r="D229" s="128" t="str">
        <x:f>IF($A229="","",Locations!D109)</x:f>
      </x:c>
      <x:c r="E229" s="128" t="str">
        <x:f>IF($A229="","",Locations!F109)</x:f>
      </x:c>
      <x:c r="F229" s="128" t="str">
        <x:f>IF($A229="","",Locations!E109)</x:f>
      </x:c>
      <x:c r="G229" s="128" t="str">
        <x:f>IF($A229="","","LOCATION")</x:f>
      </x:c>
      <x:c r="H229" s="128" t="str">
        <x:f>IF($A229="","","OK")</x:f>
      </x:c>
    </x:row>
    <x:row r="230">
      <x:c r="A230" s="128" t="str">
        <x:f>IF(AND(Locations!A110="Yes",Locations!I110="OK"),Locations!B110,"")</x:f>
      </x:c>
      <x:c r="B230" s="128" t="str">
        <x:f>IF($A230="","",XLOOKUP(Locations!B110,NOCsTbl[NOC ID],NOCsTbl[Display Name],""))</x:f>
      </x:c>
      <x:c r="C230" s="128" t="str">
        <x:f>IF($A230="","",Locations!C110)</x:f>
      </x:c>
      <x:c r="D230" s="128" t="str">
        <x:f>IF($A230="","",Locations!D110)</x:f>
      </x:c>
      <x:c r="E230" s="128" t="str">
        <x:f>IF($A230="","",Locations!F110)</x:f>
      </x:c>
      <x:c r="F230" s="128" t="str">
        <x:f>IF($A230="","",Locations!E110)</x:f>
      </x:c>
      <x:c r="G230" s="128" t="str">
        <x:f>IF($A230="","","LOCATION")</x:f>
      </x:c>
      <x:c r="H230" s="128" t="str">
        <x:f>IF($A230="","","OK")</x:f>
      </x:c>
    </x:row>
    <x:row r="231">
      <x:c r="A231" s="128" t="str">
        <x:f>IF(AND(Locations!A111="Yes",Locations!I111="OK"),Locations!B111,"")</x:f>
      </x:c>
      <x:c r="B231" s="128" t="str">
        <x:f>IF($A231="","",XLOOKUP(Locations!B111,NOCsTbl[NOC ID],NOCsTbl[Display Name],""))</x:f>
      </x:c>
      <x:c r="C231" s="128" t="str">
        <x:f>IF($A231="","",Locations!C111)</x:f>
      </x:c>
      <x:c r="D231" s="128" t="str">
        <x:f>IF($A231="","",Locations!D111)</x:f>
      </x:c>
      <x:c r="E231" s="128" t="str">
        <x:f>IF($A231="","",Locations!F111)</x:f>
      </x:c>
      <x:c r="F231" s="128" t="str">
        <x:f>IF($A231="","",Locations!E111)</x:f>
      </x:c>
      <x:c r="G231" s="128" t="str">
        <x:f>IF($A231="","","LOCATION")</x:f>
      </x:c>
      <x:c r="H231" s="128" t="str">
        <x:f>IF($A231="","","OK")</x:f>
      </x:c>
    </x:row>
    <x:row r="232">
      <x:c r="A232" s="128" t="str">
        <x:f>IF(AND(Locations!A112="Yes",Locations!I112="OK"),Locations!B112,"")</x:f>
      </x:c>
      <x:c r="B232" s="128" t="str">
        <x:f>IF($A232="","",XLOOKUP(Locations!B112,NOCsTbl[NOC ID],NOCsTbl[Display Name],""))</x:f>
      </x:c>
      <x:c r="C232" s="128" t="str">
        <x:f>IF($A232="","",Locations!C112)</x:f>
      </x:c>
      <x:c r="D232" s="128" t="str">
        <x:f>IF($A232="","",Locations!D112)</x:f>
      </x:c>
      <x:c r="E232" s="128" t="str">
        <x:f>IF($A232="","",Locations!F112)</x:f>
      </x:c>
      <x:c r="F232" s="128" t="str">
        <x:f>IF($A232="","",Locations!E112)</x:f>
      </x:c>
      <x:c r="G232" s="128" t="str">
        <x:f>IF($A232="","","LOCATION")</x:f>
      </x:c>
      <x:c r="H232" s="128" t="str">
        <x:f>IF($A232="","","OK")</x:f>
      </x:c>
    </x:row>
    <x:row r="233">
      <x:c r="A233" s="128" t="str">
        <x:f>IF(AND(Locations!A113="Yes",Locations!I113="OK"),Locations!B113,"")</x:f>
      </x:c>
      <x:c r="B233" s="128" t="str">
        <x:f>IF($A233="","",XLOOKUP(Locations!B113,NOCsTbl[NOC ID],NOCsTbl[Display Name],""))</x:f>
      </x:c>
      <x:c r="C233" s="128" t="str">
        <x:f>IF($A233="","",Locations!C113)</x:f>
      </x:c>
      <x:c r="D233" s="128" t="str">
        <x:f>IF($A233="","",Locations!D113)</x:f>
      </x:c>
      <x:c r="E233" s="128" t="str">
        <x:f>IF($A233="","",Locations!F113)</x:f>
      </x:c>
      <x:c r="F233" s="128" t="str">
        <x:f>IF($A233="","",Locations!E113)</x:f>
      </x:c>
      <x:c r="G233" s="128" t="str">
        <x:f>IF($A233="","","LOCATION")</x:f>
      </x:c>
      <x:c r="H233" s="128" t="str">
        <x:f>IF($A233="","","OK")</x:f>
      </x:c>
    </x:row>
    <x:row r="234">
      <x:c r="A234" s="128" t="str">
        <x:f>IF(AND(Locations!A114="Yes",Locations!I114="OK"),Locations!B114,"")</x:f>
      </x:c>
      <x:c r="B234" s="128" t="str">
        <x:f>IF($A234="","",XLOOKUP(Locations!B114,NOCsTbl[NOC ID],NOCsTbl[Display Name],""))</x:f>
      </x:c>
      <x:c r="C234" s="128" t="str">
        <x:f>IF($A234="","",Locations!C114)</x:f>
      </x:c>
      <x:c r="D234" s="128" t="str">
        <x:f>IF($A234="","",Locations!D114)</x:f>
      </x:c>
      <x:c r="E234" s="128" t="str">
        <x:f>IF($A234="","",Locations!F114)</x:f>
      </x:c>
      <x:c r="F234" s="128" t="str">
        <x:f>IF($A234="","",Locations!E114)</x:f>
      </x:c>
      <x:c r="G234" s="128" t="str">
        <x:f>IF($A234="","","LOCATION")</x:f>
      </x:c>
      <x:c r="H234" s="128" t="str">
        <x:f>IF($A234="","","OK")</x:f>
      </x:c>
    </x:row>
    <x:row r="235">
      <x:c r="A235" s="128" t="str">
        <x:f>IF(AND(Locations!A115="Yes",Locations!I115="OK"),Locations!B115,"")</x:f>
      </x:c>
      <x:c r="B235" s="128" t="str">
        <x:f>IF($A235="","",XLOOKUP(Locations!B115,NOCsTbl[NOC ID],NOCsTbl[Display Name],""))</x:f>
      </x:c>
      <x:c r="C235" s="128" t="str">
        <x:f>IF($A235="","",Locations!C115)</x:f>
      </x:c>
      <x:c r="D235" s="128" t="str">
        <x:f>IF($A235="","",Locations!D115)</x:f>
      </x:c>
      <x:c r="E235" s="128" t="str">
        <x:f>IF($A235="","",Locations!F115)</x:f>
      </x:c>
      <x:c r="F235" s="128" t="str">
        <x:f>IF($A235="","",Locations!E115)</x:f>
      </x:c>
      <x:c r="G235" s="128" t="str">
        <x:f>IF($A235="","","LOCATION")</x:f>
      </x:c>
      <x:c r="H235" s="128" t="str">
        <x:f>IF($A235="","","OK")</x:f>
      </x:c>
    </x:row>
    <x:row r="236">
      <x:c r="A236" s="128" t="str">
        <x:f>IF(AND(Locations!A116="Yes",Locations!I116="OK"),Locations!B116,"")</x:f>
      </x:c>
      <x:c r="B236" s="128" t="str">
        <x:f>IF($A236="","",XLOOKUP(Locations!B116,NOCsTbl[NOC ID],NOCsTbl[Display Name],""))</x:f>
      </x:c>
      <x:c r="C236" s="128" t="str">
        <x:f>IF($A236="","",Locations!C116)</x:f>
      </x:c>
      <x:c r="D236" s="128" t="str">
        <x:f>IF($A236="","",Locations!D116)</x:f>
      </x:c>
      <x:c r="E236" s="128" t="str">
        <x:f>IF($A236="","",Locations!F116)</x:f>
      </x:c>
      <x:c r="F236" s="128" t="str">
        <x:f>IF($A236="","",Locations!E116)</x:f>
      </x:c>
      <x:c r="G236" s="128" t="str">
        <x:f>IF($A236="","","LOCATION")</x:f>
      </x:c>
      <x:c r="H236" s="128" t="str">
        <x:f>IF($A236="","","OK")</x:f>
      </x:c>
    </x:row>
    <x:row r="237">
      <x:c r="A237" s="128" t="str">
        <x:f>IF(AND(Locations!A117="Yes",Locations!I117="OK"),Locations!B117,"")</x:f>
      </x:c>
      <x:c r="B237" s="128" t="str">
        <x:f>IF($A237="","",XLOOKUP(Locations!B117,NOCsTbl[NOC ID],NOCsTbl[Display Name],""))</x:f>
      </x:c>
      <x:c r="C237" s="128" t="str">
        <x:f>IF($A237="","",Locations!C117)</x:f>
      </x:c>
      <x:c r="D237" s="128" t="str">
        <x:f>IF($A237="","",Locations!D117)</x:f>
      </x:c>
      <x:c r="E237" s="128" t="str">
        <x:f>IF($A237="","",Locations!F117)</x:f>
      </x:c>
      <x:c r="F237" s="128" t="str">
        <x:f>IF($A237="","",Locations!E117)</x:f>
      </x:c>
      <x:c r="G237" s="128" t="str">
        <x:f>IF($A237="","","LOCATION")</x:f>
      </x:c>
      <x:c r="H237" s="128" t="str">
        <x:f>IF($A237="","","OK")</x:f>
      </x:c>
    </x:row>
    <x:row r="238">
      <x:c r="A238" s="128" t="str">
        <x:f>IF(AND(Locations!A118="Yes",Locations!I118="OK"),Locations!B118,"")</x:f>
      </x:c>
      <x:c r="B238" s="128" t="str">
        <x:f>IF($A238="","",XLOOKUP(Locations!B118,NOCsTbl[NOC ID],NOCsTbl[Display Name],""))</x:f>
      </x:c>
      <x:c r="C238" s="128" t="str">
        <x:f>IF($A238="","",Locations!C118)</x:f>
      </x:c>
      <x:c r="D238" s="128" t="str">
        <x:f>IF($A238="","",Locations!D118)</x:f>
      </x:c>
      <x:c r="E238" s="128" t="str">
        <x:f>IF($A238="","",Locations!F118)</x:f>
      </x:c>
      <x:c r="F238" s="128" t="str">
        <x:f>IF($A238="","",Locations!E118)</x:f>
      </x:c>
      <x:c r="G238" s="128" t="str">
        <x:f>IF($A238="","","LOCATION")</x:f>
      </x:c>
      <x:c r="H238" s="128" t="str">
        <x:f>IF($A238="","","OK")</x:f>
      </x:c>
    </x:row>
    <x:row r="239">
      <x:c r="A239" s="128" t="str">
        <x:f>IF(AND(Locations!A119="Yes",Locations!I119="OK"),Locations!B119,"")</x:f>
      </x:c>
      <x:c r="B239" s="128" t="str">
        <x:f>IF($A239="","",XLOOKUP(Locations!B119,NOCsTbl[NOC ID],NOCsTbl[Display Name],""))</x:f>
      </x:c>
      <x:c r="C239" s="128" t="str">
        <x:f>IF($A239="","",Locations!C119)</x:f>
      </x:c>
      <x:c r="D239" s="128" t="str">
        <x:f>IF($A239="","",Locations!D119)</x:f>
      </x:c>
      <x:c r="E239" s="128" t="str">
        <x:f>IF($A239="","",Locations!F119)</x:f>
      </x:c>
      <x:c r="F239" s="128" t="str">
        <x:f>IF($A239="","",Locations!E119)</x:f>
      </x:c>
      <x:c r="G239" s="128" t="str">
        <x:f>IF($A239="","","LOCATION")</x:f>
      </x:c>
      <x:c r="H239" s="128" t="str">
        <x:f>IF($A239="","","OK")</x:f>
      </x:c>
    </x:row>
    <x:row r="240">
      <x:c r="A240" s="128" t="str">
        <x:f>IF(AND(Locations!A120="Yes",Locations!I120="OK"),Locations!B120,"")</x:f>
      </x:c>
      <x:c r="B240" s="128" t="str">
        <x:f>IF($A240="","",XLOOKUP(Locations!B120,NOCsTbl[NOC ID],NOCsTbl[Display Name],""))</x:f>
      </x:c>
      <x:c r="C240" s="128" t="str">
        <x:f>IF($A240="","",Locations!C120)</x:f>
      </x:c>
      <x:c r="D240" s="128" t="str">
        <x:f>IF($A240="","",Locations!D120)</x:f>
      </x:c>
      <x:c r="E240" s="128" t="str">
        <x:f>IF($A240="","",Locations!F120)</x:f>
      </x:c>
      <x:c r="F240" s="128" t="str">
        <x:f>IF($A240="","",Locations!E120)</x:f>
      </x:c>
      <x:c r="G240" s="128" t="str">
        <x:f>IF($A240="","","LOCATION")</x:f>
      </x:c>
      <x:c r="H240" s="128" t="str">
        <x:f>IF($A240="","","OK")</x:f>
      </x:c>
    </x:row>
    <x:row r="241">
      <x:c r="A241" s="128" t="str">
        <x:f>IF(AND(Locations!A121="Yes",Locations!I121="OK"),Locations!B121,"")</x:f>
      </x:c>
      <x:c r="B241" s="128" t="str">
        <x:f>IF($A241="","",XLOOKUP(Locations!B121,NOCsTbl[NOC ID],NOCsTbl[Display Name],""))</x:f>
      </x:c>
      <x:c r="C241" s="128" t="str">
        <x:f>IF($A241="","",Locations!C121)</x:f>
      </x:c>
      <x:c r="D241" s="128" t="str">
        <x:f>IF($A241="","",Locations!D121)</x:f>
      </x:c>
      <x:c r="E241" s="128" t="str">
        <x:f>IF($A241="","",Locations!F121)</x:f>
      </x:c>
      <x:c r="F241" s="128" t="str">
        <x:f>IF($A241="","",Locations!E121)</x:f>
      </x:c>
      <x:c r="G241" s="128" t="str">
        <x:f>IF($A241="","","LOCATION")</x:f>
      </x:c>
      <x:c r="H241" s="128" t="str">
        <x:f>IF($A241="","","OK")</x:f>
      </x:c>
    </x:row>
    <x:row r="242">
      <x:c r="A242" s="128" t="str">
        <x:f>IF(AND(Locations!A122="Yes",Locations!I122="OK"),Locations!B122,"")</x:f>
      </x:c>
      <x:c r="B242" s="128" t="str">
        <x:f>IF($A242="","",XLOOKUP(Locations!B122,NOCsTbl[NOC ID],NOCsTbl[Display Name],""))</x:f>
      </x:c>
      <x:c r="C242" s="128" t="str">
        <x:f>IF($A242="","",Locations!C122)</x:f>
      </x:c>
      <x:c r="D242" s="128" t="str">
        <x:f>IF($A242="","",Locations!D122)</x:f>
      </x:c>
      <x:c r="E242" s="128" t="str">
        <x:f>IF($A242="","",Locations!F122)</x:f>
      </x:c>
      <x:c r="F242" s="128" t="str">
        <x:f>IF($A242="","",Locations!E122)</x:f>
      </x:c>
      <x:c r="G242" s="128" t="str">
        <x:f>IF($A242="","","LOCATION")</x:f>
      </x:c>
      <x:c r="H242" s="128" t="str">
        <x:f>IF($A242="","","OK")</x:f>
      </x:c>
    </x:row>
    <x:row r="243">
      <x:c r="A243" s="128" t="str">
        <x:f>IF(AND(Locations!A123="Yes",Locations!I123="OK"),Locations!B123,"")</x:f>
      </x:c>
      <x:c r="B243" s="128" t="str">
        <x:f>IF($A243="","",XLOOKUP(Locations!B123,NOCsTbl[NOC ID],NOCsTbl[Display Name],""))</x:f>
      </x:c>
      <x:c r="C243" s="128" t="str">
        <x:f>IF($A243="","",Locations!C123)</x:f>
      </x:c>
      <x:c r="D243" s="128" t="str">
        <x:f>IF($A243="","",Locations!D123)</x:f>
      </x:c>
      <x:c r="E243" s="128" t="str">
        <x:f>IF($A243="","",Locations!F123)</x:f>
      </x:c>
      <x:c r="F243" s="128" t="str">
        <x:f>IF($A243="","",Locations!E123)</x:f>
      </x:c>
      <x:c r="G243" s="128" t="str">
        <x:f>IF($A243="","","LOCATION")</x:f>
      </x:c>
      <x:c r="H243" s="128" t="str">
        <x:f>IF($A243="","","OK")</x:f>
      </x:c>
    </x:row>
    <x:row r="244">
      <x:c r="A244" s="128" t="str">
        <x:f>IF(AND(Locations!A124="Yes",Locations!I124="OK"),Locations!B124,"")</x:f>
      </x:c>
      <x:c r="B244" s="128" t="str">
        <x:f>IF($A244="","",XLOOKUP(Locations!B124,NOCsTbl[NOC ID],NOCsTbl[Display Name],""))</x:f>
      </x:c>
      <x:c r="C244" s="128" t="str">
        <x:f>IF($A244="","",Locations!C124)</x:f>
      </x:c>
      <x:c r="D244" s="128" t="str">
        <x:f>IF($A244="","",Locations!D124)</x:f>
      </x:c>
      <x:c r="E244" s="128" t="str">
        <x:f>IF($A244="","",Locations!F124)</x:f>
      </x:c>
      <x:c r="F244" s="128" t="str">
        <x:f>IF($A244="","",Locations!E124)</x:f>
      </x:c>
      <x:c r="G244" s="128" t="str">
        <x:f>IF($A244="","","LOCATION")</x:f>
      </x:c>
      <x:c r="H244" s="128" t="str">
        <x:f>IF($A244="","","OK")</x:f>
      </x:c>
    </x:row>
    <x:row r="245">
      <x:c r="A245" s="128" t="str">
        <x:f>IF(AND(Locations!A125="Yes",Locations!I125="OK"),Locations!B125,"")</x:f>
      </x:c>
      <x:c r="B245" s="128" t="str">
        <x:f>IF($A245="","",XLOOKUP(Locations!B125,NOCsTbl[NOC ID],NOCsTbl[Display Name],""))</x:f>
      </x:c>
      <x:c r="C245" s="128" t="str">
        <x:f>IF($A245="","",Locations!C125)</x:f>
      </x:c>
      <x:c r="D245" s="128" t="str">
        <x:f>IF($A245="","",Locations!D125)</x:f>
      </x:c>
      <x:c r="E245" s="128" t="str">
        <x:f>IF($A245="","",Locations!F125)</x:f>
      </x:c>
      <x:c r="F245" s="128" t="str">
        <x:f>IF($A245="","",Locations!E125)</x:f>
      </x:c>
      <x:c r="G245" s="128" t="str">
        <x:f>IF($A245="","","LOCATION")</x:f>
      </x:c>
      <x:c r="H245" s="128" t="str">
        <x:f>IF($A245="","","OK")</x:f>
      </x:c>
    </x:row>
    <x:row r="246">
      <x:c r="A246" s="128" t="str">
        <x:f>IF(AND(Locations!A126="Yes",Locations!I126="OK"),Locations!B126,"")</x:f>
      </x:c>
      <x:c r="B246" s="128" t="str">
        <x:f>IF($A246="","",XLOOKUP(Locations!B126,NOCsTbl[NOC ID],NOCsTbl[Display Name],""))</x:f>
      </x:c>
      <x:c r="C246" s="128" t="str">
        <x:f>IF($A246="","",Locations!C126)</x:f>
      </x:c>
      <x:c r="D246" s="128" t="str">
        <x:f>IF($A246="","",Locations!D126)</x:f>
      </x:c>
      <x:c r="E246" s="128" t="str">
        <x:f>IF($A246="","",Locations!F126)</x:f>
      </x:c>
      <x:c r="F246" s="128" t="str">
        <x:f>IF($A246="","",Locations!E126)</x:f>
      </x:c>
      <x:c r="G246" s="128" t="str">
        <x:f>IF($A246="","","LOCATION")</x:f>
      </x:c>
      <x:c r="H246" s="128" t="str">
        <x:f>IF($A246="","","OK")</x:f>
      </x:c>
    </x:row>
    <x:row r="247">
      <x:c r="A247" s="128" t="str">
        <x:f>IF(AND(Locations!A127="Yes",Locations!I127="OK"),Locations!B127,"")</x:f>
      </x:c>
      <x:c r="B247" s="128" t="str">
        <x:f>IF($A247="","",XLOOKUP(Locations!B127,NOCsTbl[NOC ID],NOCsTbl[Display Name],""))</x:f>
      </x:c>
      <x:c r="C247" s="128" t="str">
        <x:f>IF($A247="","",Locations!C127)</x:f>
      </x:c>
      <x:c r="D247" s="128" t="str">
        <x:f>IF($A247="","",Locations!D127)</x:f>
      </x:c>
      <x:c r="E247" s="128" t="str">
        <x:f>IF($A247="","",Locations!F127)</x:f>
      </x:c>
      <x:c r="F247" s="128" t="str">
        <x:f>IF($A247="","",Locations!E127)</x:f>
      </x:c>
      <x:c r="G247" s="128" t="str">
        <x:f>IF($A247="","","LOCATION")</x:f>
      </x:c>
      <x:c r="H247" s="128" t="str">
        <x:f>IF($A247="","","OK")</x:f>
      </x:c>
    </x:row>
    <x:row r="248">
      <x:c r="A248" s="128" t="str">
        <x:f>IF(AND(Locations!A128="Yes",Locations!I128="OK"),Locations!B128,"")</x:f>
      </x:c>
      <x:c r="B248" s="128" t="str">
        <x:f>IF($A248="","",XLOOKUP(Locations!B128,NOCsTbl[NOC ID],NOCsTbl[Display Name],""))</x:f>
      </x:c>
      <x:c r="C248" s="128" t="str">
        <x:f>IF($A248="","",Locations!C128)</x:f>
      </x:c>
      <x:c r="D248" s="128" t="str">
        <x:f>IF($A248="","",Locations!D128)</x:f>
      </x:c>
      <x:c r="E248" s="128" t="str">
        <x:f>IF($A248="","",Locations!F128)</x:f>
      </x:c>
      <x:c r="F248" s="128" t="str">
        <x:f>IF($A248="","",Locations!E128)</x:f>
      </x:c>
      <x:c r="G248" s="128" t="str">
        <x:f>IF($A248="","","LOCATION")</x:f>
      </x:c>
      <x:c r="H248" s="128" t="str">
        <x:f>IF($A248="","","OK")</x:f>
      </x:c>
    </x:row>
    <x:row r="249">
      <x:c r="A249" s="128" t="str">
        <x:f>IF(AND(Locations!A129="Yes",Locations!I129="OK"),Locations!B129,"")</x:f>
      </x:c>
      <x:c r="B249" s="128" t="str">
        <x:f>IF($A249="","",XLOOKUP(Locations!B129,NOCsTbl[NOC ID],NOCsTbl[Display Name],""))</x:f>
      </x:c>
      <x:c r="C249" s="128" t="str">
        <x:f>IF($A249="","",Locations!C129)</x:f>
      </x:c>
      <x:c r="D249" s="128" t="str">
        <x:f>IF($A249="","",Locations!D129)</x:f>
      </x:c>
      <x:c r="E249" s="128" t="str">
        <x:f>IF($A249="","",Locations!F129)</x:f>
      </x:c>
      <x:c r="F249" s="128" t="str">
        <x:f>IF($A249="","",Locations!E129)</x:f>
      </x:c>
      <x:c r="G249" s="128" t="str">
        <x:f>IF($A249="","","LOCATION")</x:f>
      </x:c>
      <x:c r="H249" s="128" t="str">
        <x:f>IF($A249="","","OK")</x:f>
      </x:c>
    </x:row>
    <x:row r="250">
      <x:c r="A250" s="128" t="str">
        <x:f>IF(AND(Locations!A130="Yes",Locations!I130="OK"),Locations!B130,"")</x:f>
      </x:c>
      <x:c r="B250" s="128" t="str">
        <x:f>IF($A250="","",XLOOKUP(Locations!B130,NOCsTbl[NOC ID],NOCsTbl[Display Name],""))</x:f>
      </x:c>
      <x:c r="C250" s="128" t="str">
        <x:f>IF($A250="","",Locations!C130)</x:f>
      </x:c>
      <x:c r="D250" s="128" t="str">
        <x:f>IF($A250="","",Locations!D130)</x:f>
      </x:c>
      <x:c r="E250" s="128" t="str">
        <x:f>IF($A250="","",Locations!F130)</x:f>
      </x:c>
      <x:c r="F250" s="128" t="str">
        <x:f>IF($A250="","",Locations!E130)</x:f>
      </x:c>
      <x:c r="G250" s="128" t="str">
        <x:f>IF($A250="","","LOCATION")</x:f>
      </x:c>
      <x:c r="H250" s="128" t="str">
        <x:f>IF($A250="","","OK")</x:f>
      </x:c>
    </x:row>
    <x:row r="251">
      <x:c r="A251" s="128" t="str">
        <x:f>IF(AND(Locations!A131="Yes",Locations!I131="OK"),Locations!B131,"")</x:f>
      </x:c>
      <x:c r="B251" s="128" t="str">
        <x:f>IF($A251="","",XLOOKUP(Locations!B131,NOCsTbl[NOC ID],NOCsTbl[Display Name],""))</x:f>
      </x:c>
      <x:c r="C251" s="128" t="str">
        <x:f>IF($A251="","",Locations!C131)</x:f>
      </x:c>
      <x:c r="D251" s="128" t="str">
        <x:f>IF($A251="","",Locations!D131)</x:f>
      </x:c>
      <x:c r="E251" s="128" t="str">
        <x:f>IF($A251="","",Locations!F131)</x:f>
      </x:c>
      <x:c r="F251" s="128" t="str">
        <x:f>IF($A251="","",Locations!E131)</x:f>
      </x:c>
      <x:c r="G251" s="128" t="str">
        <x:f>IF($A251="","","LOCATION")</x:f>
      </x:c>
      <x:c r="H251" s="128" t="str">
        <x:f>IF($A251="","","OK")</x:f>
      </x:c>
    </x:row>
    <x:row r="252">
      <x:c r="A252" s="128" t="str">
        <x:f>IF(AND(Locations!A132="Yes",Locations!I132="OK"),Locations!B132,"")</x:f>
      </x:c>
      <x:c r="B252" s="128" t="str">
        <x:f>IF($A252="","",XLOOKUP(Locations!B132,NOCsTbl[NOC ID],NOCsTbl[Display Name],""))</x:f>
      </x:c>
      <x:c r="C252" s="128" t="str">
        <x:f>IF($A252="","",Locations!C132)</x:f>
      </x:c>
      <x:c r="D252" s="128" t="str">
        <x:f>IF($A252="","",Locations!D132)</x:f>
      </x:c>
      <x:c r="E252" s="128" t="str">
        <x:f>IF($A252="","",Locations!F132)</x:f>
      </x:c>
      <x:c r="F252" s="128" t="str">
        <x:f>IF($A252="","",Locations!E132)</x:f>
      </x:c>
      <x:c r="G252" s="128" t="str">
        <x:f>IF($A252="","","LOCATION")</x:f>
      </x:c>
      <x:c r="H252" s="128" t="str">
        <x:f>IF($A252="","","OK")</x:f>
      </x:c>
    </x:row>
    <x:row r="253">
      <x:c r="A253" s="128" t="str">
        <x:f>IF(AND(Locations!A133="Yes",Locations!I133="OK"),Locations!B133,"")</x:f>
      </x:c>
      <x:c r="B253" s="128" t="str">
        <x:f>IF($A253="","",XLOOKUP(Locations!B133,NOCsTbl[NOC ID],NOCsTbl[Display Name],""))</x:f>
      </x:c>
      <x:c r="C253" s="128" t="str">
        <x:f>IF($A253="","",Locations!C133)</x:f>
      </x:c>
      <x:c r="D253" s="128" t="str">
        <x:f>IF($A253="","",Locations!D133)</x:f>
      </x:c>
      <x:c r="E253" s="128" t="str">
        <x:f>IF($A253="","",Locations!F133)</x:f>
      </x:c>
      <x:c r="F253" s="128" t="str">
        <x:f>IF($A253="","",Locations!E133)</x:f>
      </x:c>
      <x:c r="G253" s="128" t="str">
        <x:f>IF($A253="","","LOCATION")</x:f>
      </x:c>
      <x:c r="H253" s="128" t="str">
        <x:f>IF($A253="","","OK")</x:f>
      </x:c>
    </x:row>
    <x:row r="254">
      <x:c r="A254" s="128" t="str">
        <x:f>IF(AND(Locations!A134="Yes",Locations!I134="OK"),Locations!B134,"")</x:f>
      </x:c>
      <x:c r="B254" s="128" t="str">
        <x:f>IF($A254="","",XLOOKUP(Locations!B134,NOCsTbl[NOC ID],NOCsTbl[Display Name],""))</x:f>
      </x:c>
      <x:c r="C254" s="128" t="str">
        <x:f>IF($A254="","",Locations!C134)</x:f>
      </x:c>
      <x:c r="D254" s="128" t="str">
        <x:f>IF($A254="","",Locations!D134)</x:f>
      </x:c>
      <x:c r="E254" s="128" t="str">
        <x:f>IF($A254="","",Locations!F134)</x:f>
      </x:c>
      <x:c r="F254" s="128" t="str">
        <x:f>IF($A254="","",Locations!E134)</x:f>
      </x:c>
      <x:c r="G254" s="128" t="str">
        <x:f>IF($A254="","","LOCATION")</x:f>
      </x:c>
      <x:c r="H254" s="128" t="str">
        <x:f>IF($A254="","","OK")</x:f>
      </x:c>
    </x:row>
    <x:row r="255">
      <x:c r="A255" s="128" t="str">
        <x:f>IF(AND(Locations!A135="Yes",Locations!I135="OK"),Locations!B135,"")</x:f>
      </x:c>
      <x:c r="B255" s="128" t="str">
        <x:f>IF($A255="","",XLOOKUP(Locations!B135,NOCsTbl[NOC ID],NOCsTbl[Display Name],""))</x:f>
      </x:c>
      <x:c r="C255" s="128" t="str">
        <x:f>IF($A255="","",Locations!C135)</x:f>
      </x:c>
      <x:c r="D255" s="128" t="str">
        <x:f>IF($A255="","",Locations!D135)</x:f>
      </x:c>
      <x:c r="E255" s="128" t="str">
        <x:f>IF($A255="","",Locations!F135)</x:f>
      </x:c>
      <x:c r="F255" s="128" t="str">
        <x:f>IF($A255="","",Locations!E135)</x:f>
      </x:c>
      <x:c r="G255" s="128" t="str">
        <x:f>IF($A255="","","LOCATION")</x:f>
      </x:c>
      <x:c r="H255" s="128" t="str">
        <x:f>IF($A255="","","OK")</x:f>
      </x:c>
    </x:row>
    <x:row r="256">
      <x:c r="A256" s="128" t="str">
        <x:f>IF(AND(Locations!A136="Yes",Locations!I136="OK"),Locations!B136,"")</x:f>
      </x:c>
      <x:c r="B256" s="128" t="str">
        <x:f>IF($A256="","",XLOOKUP(Locations!B136,NOCsTbl[NOC ID],NOCsTbl[Display Name],""))</x:f>
      </x:c>
      <x:c r="C256" s="128" t="str">
        <x:f>IF($A256="","",Locations!C136)</x:f>
      </x:c>
      <x:c r="D256" s="128" t="str">
        <x:f>IF($A256="","",Locations!D136)</x:f>
      </x:c>
      <x:c r="E256" s="128" t="str">
        <x:f>IF($A256="","",Locations!F136)</x:f>
      </x:c>
      <x:c r="F256" s="128" t="str">
        <x:f>IF($A256="","",Locations!E136)</x:f>
      </x:c>
      <x:c r="G256" s="128" t="str">
        <x:f>IF($A256="","","LOCATION")</x:f>
      </x:c>
      <x:c r="H256" s="128" t="str">
        <x:f>IF($A256="","","OK")</x:f>
      </x:c>
    </x:row>
    <x:row r="257">
      <x:c r="A257" s="128" t="str">
        <x:f>IF(AND(Locations!A137="Yes",Locations!I137="OK"),Locations!B137,"")</x:f>
      </x:c>
      <x:c r="B257" s="128" t="str">
        <x:f>IF($A257="","",XLOOKUP(Locations!B137,NOCsTbl[NOC ID],NOCsTbl[Display Name],""))</x:f>
      </x:c>
      <x:c r="C257" s="128" t="str">
        <x:f>IF($A257="","",Locations!C137)</x:f>
      </x:c>
      <x:c r="D257" s="128" t="str">
        <x:f>IF($A257="","",Locations!D137)</x:f>
      </x:c>
      <x:c r="E257" s="128" t="str">
        <x:f>IF($A257="","",Locations!F137)</x:f>
      </x:c>
      <x:c r="F257" s="128" t="str">
        <x:f>IF($A257="","",Locations!E137)</x:f>
      </x:c>
      <x:c r="G257" s="128" t="str">
        <x:f>IF($A257="","","LOCATION")</x:f>
      </x:c>
      <x:c r="H257" s="128" t="str">
        <x:f>IF($A257="","","OK")</x:f>
      </x:c>
    </x:row>
    <x:row r="258">
      <x:c r="A258" s="128" t="str">
        <x:f>IF(AND(Locations!A138="Yes",Locations!I138="OK"),Locations!B138,"")</x:f>
      </x:c>
      <x:c r="B258" s="128" t="str">
        <x:f>IF($A258="","",XLOOKUP(Locations!B138,NOCsTbl[NOC ID],NOCsTbl[Display Name],""))</x:f>
      </x:c>
      <x:c r="C258" s="128" t="str">
        <x:f>IF($A258="","",Locations!C138)</x:f>
      </x:c>
      <x:c r="D258" s="128" t="str">
        <x:f>IF($A258="","",Locations!D138)</x:f>
      </x:c>
      <x:c r="E258" s="128" t="str">
        <x:f>IF($A258="","",Locations!F138)</x:f>
      </x:c>
      <x:c r="F258" s="128" t="str">
        <x:f>IF($A258="","",Locations!E138)</x:f>
      </x:c>
      <x:c r="G258" s="128" t="str">
        <x:f>IF($A258="","","LOCATION")</x:f>
      </x:c>
      <x:c r="H258" s="128" t="str">
        <x:f>IF($A258="","","OK")</x:f>
      </x:c>
    </x:row>
    <x:row r="259">
      <x:c r="A259" s="128" t="str">
        <x:f>IF(AND(Locations!A139="Yes",Locations!I139="OK"),Locations!B139,"")</x:f>
      </x:c>
      <x:c r="B259" s="128" t="str">
        <x:f>IF($A259="","",XLOOKUP(Locations!B139,NOCsTbl[NOC ID],NOCsTbl[Display Name],""))</x:f>
      </x:c>
      <x:c r="C259" s="128" t="str">
        <x:f>IF($A259="","",Locations!C139)</x:f>
      </x:c>
      <x:c r="D259" s="128" t="str">
        <x:f>IF($A259="","",Locations!D139)</x:f>
      </x:c>
      <x:c r="E259" s="128" t="str">
        <x:f>IF($A259="","",Locations!F139)</x:f>
      </x:c>
      <x:c r="F259" s="128" t="str">
        <x:f>IF($A259="","",Locations!E139)</x:f>
      </x:c>
      <x:c r="G259" s="128" t="str">
        <x:f>IF($A259="","","LOCATION")</x:f>
      </x:c>
      <x:c r="H259" s="128" t="str">
        <x:f>IF($A259="","","OK")</x:f>
      </x:c>
    </x:row>
    <x:row r="260">
      <x:c r="A260" s="128" t="str">
        <x:f>IF(AND(Locations!A140="Yes",Locations!I140="OK"),Locations!B140,"")</x:f>
      </x:c>
      <x:c r="B260" s="128" t="str">
        <x:f>IF($A260="","",XLOOKUP(Locations!B140,NOCsTbl[NOC ID],NOCsTbl[Display Name],""))</x:f>
      </x:c>
      <x:c r="C260" s="128" t="str">
        <x:f>IF($A260="","",Locations!C140)</x:f>
      </x:c>
      <x:c r="D260" s="128" t="str">
        <x:f>IF($A260="","",Locations!D140)</x:f>
      </x:c>
      <x:c r="E260" s="128" t="str">
        <x:f>IF($A260="","",Locations!F140)</x:f>
      </x:c>
      <x:c r="F260" s="128" t="str">
        <x:f>IF($A260="","",Locations!E140)</x:f>
      </x:c>
      <x:c r="G260" s="128" t="str">
        <x:f>IF($A260="","","LOCATION")</x:f>
      </x:c>
      <x:c r="H260" s="128" t="str">
        <x:f>IF($A260="","","OK")</x:f>
      </x:c>
    </x:row>
    <x:row r="261">
      <x:c r="A261" s="128" t="str">
        <x:f>IF(AND(Locations!A141="Yes",Locations!I141="OK"),Locations!B141,"")</x:f>
      </x:c>
      <x:c r="B261" s="128" t="str">
        <x:f>IF($A261="","",XLOOKUP(Locations!B141,NOCsTbl[NOC ID],NOCsTbl[Display Name],""))</x:f>
      </x:c>
      <x:c r="C261" s="128" t="str">
        <x:f>IF($A261="","",Locations!C141)</x:f>
      </x:c>
      <x:c r="D261" s="128" t="str">
        <x:f>IF($A261="","",Locations!D141)</x:f>
      </x:c>
      <x:c r="E261" s="128" t="str">
        <x:f>IF($A261="","",Locations!F141)</x:f>
      </x:c>
      <x:c r="F261" s="128" t="str">
        <x:f>IF($A261="","",Locations!E141)</x:f>
      </x:c>
      <x:c r="G261" s="128" t="str">
        <x:f>IF($A261="","","LOCATION")</x:f>
      </x:c>
      <x:c r="H261" s="128" t="str">
        <x:f>IF($A261="","","OK")</x:f>
      </x:c>
    </x:row>
    <x:row r="262">
      <x:c r="A262" s="128" t="str">
        <x:f>IF(AND(Locations!A142="Yes",Locations!I142="OK"),Locations!B142,"")</x:f>
      </x:c>
      <x:c r="B262" s="128" t="str">
        <x:f>IF($A262="","",XLOOKUP(Locations!B142,NOCsTbl[NOC ID],NOCsTbl[Display Name],""))</x:f>
      </x:c>
      <x:c r="C262" s="128" t="str">
        <x:f>IF($A262="","",Locations!C142)</x:f>
      </x:c>
      <x:c r="D262" s="128" t="str">
        <x:f>IF($A262="","",Locations!D142)</x:f>
      </x:c>
      <x:c r="E262" s="128" t="str">
        <x:f>IF($A262="","",Locations!F142)</x:f>
      </x:c>
      <x:c r="F262" s="128" t="str">
        <x:f>IF($A262="","",Locations!E142)</x:f>
      </x:c>
      <x:c r="G262" s="128" t="str">
        <x:f>IF($A262="","","LOCATION")</x:f>
      </x:c>
      <x:c r="H262" s="128" t="str">
        <x:f>IF($A262="","","OK")</x:f>
      </x:c>
    </x:row>
    <x:row r="263">
      <x:c r="A263" s="128" t="str">
        <x:f>IF(AND(Locations!A143="Yes",Locations!I143="OK"),Locations!B143,"")</x:f>
      </x:c>
      <x:c r="B263" s="128" t="str">
        <x:f>IF($A263="","",XLOOKUP(Locations!B143,NOCsTbl[NOC ID],NOCsTbl[Display Name],""))</x:f>
      </x:c>
      <x:c r="C263" s="128" t="str">
        <x:f>IF($A263="","",Locations!C143)</x:f>
      </x:c>
      <x:c r="D263" s="128" t="str">
        <x:f>IF($A263="","",Locations!D143)</x:f>
      </x:c>
      <x:c r="E263" s="128" t="str">
        <x:f>IF($A263="","",Locations!F143)</x:f>
      </x:c>
      <x:c r="F263" s="128" t="str">
        <x:f>IF($A263="","",Locations!E143)</x:f>
      </x:c>
      <x:c r="G263" s="128" t="str">
        <x:f>IF($A263="","","LOCATION")</x:f>
      </x:c>
      <x:c r="H263" s="128" t="str">
        <x:f>IF($A263="","","OK")</x:f>
      </x:c>
    </x:row>
    <x:row r="264">
      <x:c r="A264" s="128" t="str">
        <x:f>IF(AND(Locations!A144="Yes",Locations!I144="OK"),Locations!B144,"")</x:f>
      </x:c>
      <x:c r="B264" s="128" t="str">
        <x:f>IF($A264="","",XLOOKUP(Locations!B144,NOCsTbl[NOC ID],NOCsTbl[Display Name],""))</x:f>
      </x:c>
      <x:c r="C264" s="128" t="str">
        <x:f>IF($A264="","",Locations!C144)</x:f>
      </x:c>
      <x:c r="D264" s="128" t="str">
        <x:f>IF($A264="","",Locations!D144)</x:f>
      </x:c>
      <x:c r="E264" s="128" t="str">
        <x:f>IF($A264="","",Locations!F144)</x:f>
      </x:c>
      <x:c r="F264" s="128" t="str">
        <x:f>IF($A264="","",Locations!E144)</x:f>
      </x:c>
      <x:c r="G264" s="128" t="str">
        <x:f>IF($A264="","","LOCATION")</x:f>
      </x:c>
      <x:c r="H264" s="128" t="str">
        <x:f>IF($A264="","","OK")</x:f>
      </x:c>
    </x:row>
    <x:row r="265">
      <x:c r="A265" s="128" t="str">
        <x:f>IF(AND(Locations!A145="Yes",Locations!I145="OK"),Locations!B145,"")</x:f>
      </x:c>
      <x:c r="B265" s="128" t="str">
        <x:f>IF($A265="","",XLOOKUP(Locations!B145,NOCsTbl[NOC ID],NOCsTbl[Display Name],""))</x:f>
      </x:c>
      <x:c r="C265" s="128" t="str">
        <x:f>IF($A265="","",Locations!C145)</x:f>
      </x:c>
      <x:c r="D265" s="128" t="str">
        <x:f>IF($A265="","",Locations!D145)</x:f>
      </x:c>
      <x:c r="E265" s="128" t="str">
        <x:f>IF($A265="","",Locations!F145)</x:f>
      </x:c>
      <x:c r="F265" s="128" t="str">
        <x:f>IF($A265="","",Locations!E145)</x:f>
      </x:c>
      <x:c r="G265" s="128" t="str">
        <x:f>IF($A265="","","LOCATION")</x:f>
      </x:c>
      <x:c r="H265" s="128" t="str">
        <x:f>IF($A265="","","OK")</x:f>
      </x:c>
    </x:row>
    <x:row r="266">
      <x:c r="A266" s="128" t="str">
        <x:f>IF(AND(Locations!A146="Yes",Locations!I146="OK"),Locations!B146,"")</x:f>
      </x:c>
      <x:c r="B266" s="128" t="str">
        <x:f>IF($A266="","",XLOOKUP(Locations!B146,NOCsTbl[NOC ID],NOCsTbl[Display Name],""))</x:f>
      </x:c>
      <x:c r="C266" s="128" t="str">
        <x:f>IF($A266="","",Locations!C146)</x:f>
      </x:c>
      <x:c r="D266" s="128" t="str">
        <x:f>IF($A266="","",Locations!D146)</x:f>
      </x:c>
      <x:c r="E266" s="128" t="str">
        <x:f>IF($A266="","",Locations!F146)</x:f>
      </x:c>
      <x:c r="F266" s="128" t="str">
        <x:f>IF($A266="","",Locations!E146)</x:f>
      </x:c>
      <x:c r="G266" s="128" t="str">
        <x:f>IF($A266="","","LOCATION")</x:f>
      </x:c>
      <x:c r="H266" s="128" t="str">
        <x:f>IF($A266="","","OK")</x:f>
      </x:c>
    </x:row>
    <x:row r="267">
      <x:c r="A267" s="128" t="str">
        <x:f>IF(AND(Locations!A147="Yes",Locations!I147="OK"),Locations!B147,"")</x:f>
      </x:c>
      <x:c r="B267" s="128" t="str">
        <x:f>IF($A267="","",XLOOKUP(Locations!B147,NOCsTbl[NOC ID],NOCsTbl[Display Name],""))</x:f>
      </x:c>
      <x:c r="C267" s="128" t="str">
        <x:f>IF($A267="","",Locations!C147)</x:f>
      </x:c>
      <x:c r="D267" s="128" t="str">
        <x:f>IF($A267="","",Locations!D147)</x:f>
      </x:c>
      <x:c r="E267" s="128" t="str">
        <x:f>IF($A267="","",Locations!F147)</x:f>
      </x:c>
      <x:c r="F267" s="128" t="str">
        <x:f>IF($A267="","",Locations!E147)</x:f>
      </x:c>
      <x:c r="G267" s="128" t="str">
        <x:f>IF($A267="","","LOCATION")</x:f>
      </x:c>
      <x:c r="H267" s="128" t="str">
        <x:f>IF($A267="","","OK")</x:f>
      </x:c>
    </x:row>
    <x:row r="268">
      <x:c r="A268" s="128" t="str">
        <x:f>IF(AND(Locations!A148="Yes",Locations!I148="OK"),Locations!B148,"")</x:f>
      </x:c>
      <x:c r="B268" s="128" t="str">
        <x:f>IF($A268="","",XLOOKUP(Locations!B148,NOCsTbl[NOC ID],NOCsTbl[Display Name],""))</x:f>
      </x:c>
      <x:c r="C268" s="128" t="str">
        <x:f>IF($A268="","",Locations!C148)</x:f>
      </x:c>
      <x:c r="D268" s="128" t="str">
        <x:f>IF($A268="","",Locations!D148)</x:f>
      </x:c>
      <x:c r="E268" s="128" t="str">
        <x:f>IF($A268="","",Locations!F148)</x:f>
      </x:c>
      <x:c r="F268" s="128" t="str">
        <x:f>IF($A268="","",Locations!E148)</x:f>
      </x:c>
      <x:c r="G268" s="128" t="str">
        <x:f>IF($A268="","","LOCATION")</x:f>
      </x:c>
      <x:c r="H268" s="128" t="str">
        <x:f>IF($A268="","","OK")</x:f>
      </x:c>
    </x:row>
    <x:row r="269">
      <x:c r="A269" s="128" t="str">
        <x:f>IF(AND(Locations!A149="Yes",Locations!I149="OK"),Locations!B149,"")</x:f>
      </x:c>
      <x:c r="B269" s="128" t="str">
        <x:f>IF($A269="","",XLOOKUP(Locations!B149,NOCsTbl[NOC ID],NOCsTbl[Display Name],""))</x:f>
      </x:c>
      <x:c r="C269" s="128" t="str">
        <x:f>IF($A269="","",Locations!C149)</x:f>
      </x:c>
      <x:c r="D269" s="128" t="str">
        <x:f>IF($A269="","",Locations!D149)</x:f>
      </x:c>
      <x:c r="E269" s="128" t="str">
        <x:f>IF($A269="","",Locations!F149)</x:f>
      </x:c>
      <x:c r="F269" s="128" t="str">
        <x:f>IF($A269="","",Locations!E149)</x:f>
      </x:c>
      <x:c r="G269" s="128" t="str">
        <x:f>IF($A269="","","LOCATION")</x:f>
      </x:c>
      <x:c r="H269" s="128" t="str">
        <x:f>IF($A269="","","OK")</x:f>
      </x:c>
    </x:row>
    <x:row r="270">
      <x:c r="A270" s="128" t="str">
        <x:f>IF(AND(Locations!A150="Yes",Locations!I150="OK"),Locations!B150,"")</x:f>
      </x:c>
      <x:c r="B270" s="128" t="str">
        <x:f>IF($A270="","",XLOOKUP(Locations!B150,NOCsTbl[NOC ID],NOCsTbl[Display Name],""))</x:f>
      </x:c>
      <x:c r="C270" s="128" t="str">
        <x:f>IF($A270="","",Locations!C150)</x:f>
      </x:c>
      <x:c r="D270" s="128" t="str">
        <x:f>IF($A270="","",Locations!D150)</x:f>
      </x:c>
      <x:c r="E270" s="128" t="str">
        <x:f>IF($A270="","",Locations!F150)</x:f>
      </x:c>
      <x:c r="F270" s="128" t="str">
        <x:f>IF($A270="","",Locations!E150)</x:f>
      </x:c>
      <x:c r="G270" s="128" t="str">
        <x:f>IF($A270="","","LOCATION")</x:f>
      </x:c>
      <x:c r="H270" s="128" t="str">
        <x:f>IF($A270="","","OK")</x:f>
      </x:c>
    </x:row>
    <x:row r="271">
      <x:c r="A271" s="128" t="str">
        <x:f>IF(AND(Locations!A151="Yes",Locations!I151="OK"),Locations!B151,"")</x:f>
      </x:c>
      <x:c r="B271" s="128" t="str">
        <x:f>IF($A271="","",XLOOKUP(Locations!B151,NOCsTbl[NOC ID],NOCsTbl[Display Name],""))</x:f>
      </x:c>
      <x:c r="C271" s="128" t="str">
        <x:f>IF($A271="","",Locations!C151)</x:f>
      </x:c>
      <x:c r="D271" s="128" t="str">
        <x:f>IF($A271="","",Locations!D151)</x:f>
      </x:c>
      <x:c r="E271" s="128" t="str">
        <x:f>IF($A271="","",Locations!F151)</x:f>
      </x:c>
      <x:c r="F271" s="128" t="str">
        <x:f>IF($A271="","",Locations!E151)</x:f>
      </x:c>
      <x:c r="G271" s="128" t="str">
        <x:f>IF($A271="","","LOCATION")</x:f>
      </x:c>
      <x:c r="H271" s="128" t="str">
        <x:f>IF($A271="","","OK")</x:f>
      </x:c>
    </x:row>
    <x:row r="272">
      <x:c r="A272" s="128" t="str">
        <x:f>IF(AND(Locations!A152="Yes",Locations!I152="OK"),Locations!B152,"")</x:f>
      </x:c>
      <x:c r="B272" s="128" t="str">
        <x:f>IF($A272="","",XLOOKUP(Locations!B152,NOCsTbl[NOC ID],NOCsTbl[Display Name],""))</x:f>
      </x:c>
      <x:c r="C272" s="128" t="str">
        <x:f>IF($A272="","",Locations!C152)</x:f>
      </x:c>
      <x:c r="D272" s="128" t="str">
        <x:f>IF($A272="","",Locations!D152)</x:f>
      </x:c>
      <x:c r="E272" s="128" t="str">
        <x:f>IF($A272="","",Locations!F152)</x:f>
      </x:c>
      <x:c r="F272" s="128" t="str">
        <x:f>IF($A272="","",Locations!E152)</x:f>
      </x:c>
      <x:c r="G272" s="128" t="str">
        <x:f>IF($A272="","","LOCATION")</x:f>
      </x:c>
      <x:c r="H272" s="128" t="str">
        <x:f>IF($A272="","","OK")</x:f>
      </x:c>
    </x:row>
    <x:row r="273">
      <x:c r="A273" s="128" t="str">
        <x:f>IF(AND(Locations!A153="Yes",Locations!I153="OK"),Locations!B153,"")</x:f>
      </x:c>
      <x:c r="B273" s="128" t="str">
        <x:f>IF($A273="","",XLOOKUP(Locations!B153,NOCsTbl[NOC ID],NOCsTbl[Display Name],""))</x:f>
      </x:c>
      <x:c r="C273" s="128" t="str">
        <x:f>IF($A273="","",Locations!C153)</x:f>
      </x:c>
      <x:c r="D273" s="128" t="str">
        <x:f>IF($A273="","",Locations!D153)</x:f>
      </x:c>
      <x:c r="E273" s="128" t="str">
        <x:f>IF($A273="","",Locations!F153)</x:f>
      </x:c>
      <x:c r="F273" s="128" t="str">
        <x:f>IF($A273="","",Locations!E153)</x:f>
      </x:c>
      <x:c r="G273" s="128" t="str">
        <x:f>IF($A273="","","LOCATION")</x:f>
      </x:c>
      <x:c r="H273" s="128" t="str">
        <x:f>IF($A273="","","OK")</x:f>
      </x:c>
    </x:row>
    <x:row r="274">
      <x:c r="A274" s="128" t="str">
        <x:f>IF(AND(Locations!A154="Yes",Locations!I154="OK"),Locations!B154,"")</x:f>
      </x:c>
      <x:c r="B274" s="128" t="str">
        <x:f>IF($A274="","",XLOOKUP(Locations!B154,NOCsTbl[NOC ID],NOCsTbl[Display Name],""))</x:f>
      </x:c>
      <x:c r="C274" s="128" t="str">
        <x:f>IF($A274="","",Locations!C154)</x:f>
      </x:c>
      <x:c r="D274" s="128" t="str">
        <x:f>IF($A274="","",Locations!D154)</x:f>
      </x:c>
      <x:c r="E274" s="128" t="str">
        <x:f>IF($A274="","",Locations!F154)</x:f>
      </x:c>
      <x:c r="F274" s="128" t="str">
        <x:f>IF($A274="","",Locations!E154)</x:f>
      </x:c>
      <x:c r="G274" s="128" t="str">
        <x:f>IF($A274="","","LOCATION")</x:f>
      </x:c>
      <x:c r="H274" s="128" t="str">
        <x:f>IF($A274="","","OK")</x:f>
      </x:c>
    </x:row>
    <x:row r="275">
      <x:c r="A275" s="128" t="str">
        <x:f>IF(AND(Locations!A155="Yes",Locations!I155="OK"),Locations!B155,"")</x:f>
      </x:c>
      <x:c r="B275" s="128" t="str">
        <x:f>IF($A275="","",XLOOKUP(Locations!B155,NOCsTbl[NOC ID],NOCsTbl[Display Name],""))</x:f>
      </x:c>
      <x:c r="C275" s="128" t="str">
        <x:f>IF($A275="","",Locations!C155)</x:f>
      </x:c>
      <x:c r="D275" s="128" t="str">
        <x:f>IF($A275="","",Locations!D155)</x:f>
      </x:c>
      <x:c r="E275" s="128" t="str">
        <x:f>IF($A275="","",Locations!F155)</x:f>
      </x:c>
      <x:c r="F275" s="128" t="str">
        <x:f>IF($A275="","",Locations!E155)</x:f>
      </x:c>
      <x:c r="G275" s="128" t="str">
        <x:f>IF($A275="","","LOCATION")</x:f>
      </x:c>
      <x:c r="H275" s="128" t="str">
        <x:f>IF($A275="","","OK")</x:f>
      </x:c>
    </x:row>
    <x:row r="276">
      <x:c r="A276" s="128" t="str">
        <x:f>IF(AND(Locations!A156="Yes",Locations!I156="OK"),Locations!B156,"")</x:f>
      </x:c>
      <x:c r="B276" s="128" t="str">
        <x:f>IF($A276="","",XLOOKUP(Locations!B156,NOCsTbl[NOC ID],NOCsTbl[Display Name],""))</x:f>
      </x:c>
      <x:c r="C276" s="128" t="str">
        <x:f>IF($A276="","",Locations!C156)</x:f>
      </x:c>
      <x:c r="D276" s="128" t="str">
        <x:f>IF($A276="","",Locations!D156)</x:f>
      </x:c>
      <x:c r="E276" s="128" t="str">
        <x:f>IF($A276="","",Locations!F156)</x:f>
      </x:c>
      <x:c r="F276" s="128" t="str">
        <x:f>IF($A276="","",Locations!E156)</x:f>
      </x:c>
      <x:c r="G276" s="128" t="str">
        <x:f>IF($A276="","","LOCATION")</x:f>
      </x:c>
      <x:c r="H276" s="128" t="str">
        <x:f>IF($A276="","","OK")</x:f>
      </x:c>
    </x:row>
    <x:row r="277">
      <x:c r="A277" s="128" t="str">
        <x:f>IF(AND(Locations!A157="Yes",Locations!I157="OK"),Locations!B157,"")</x:f>
      </x:c>
      <x:c r="B277" s="128" t="str">
        <x:f>IF($A277="","",XLOOKUP(Locations!B157,NOCsTbl[NOC ID],NOCsTbl[Display Name],""))</x:f>
      </x:c>
      <x:c r="C277" s="128" t="str">
        <x:f>IF($A277="","",Locations!C157)</x:f>
      </x:c>
      <x:c r="D277" s="128" t="str">
        <x:f>IF($A277="","",Locations!D157)</x:f>
      </x:c>
      <x:c r="E277" s="128" t="str">
        <x:f>IF($A277="","",Locations!F157)</x:f>
      </x:c>
      <x:c r="F277" s="128" t="str">
        <x:f>IF($A277="","",Locations!E157)</x:f>
      </x:c>
      <x:c r="G277" s="128" t="str">
        <x:f>IF($A277="","","LOCATION")</x:f>
      </x:c>
      <x:c r="H277" s="128" t="str">
        <x:f>IF($A277="","","OK")</x:f>
      </x:c>
    </x:row>
    <x:row r="278">
      <x:c r="A278" s="128" t="str">
        <x:f>IF(AND(Locations!A158="Yes",Locations!I158="OK"),Locations!B158,"")</x:f>
      </x:c>
      <x:c r="B278" s="128" t="str">
        <x:f>IF($A278="","",XLOOKUP(Locations!B158,NOCsTbl[NOC ID],NOCsTbl[Display Name],""))</x:f>
      </x:c>
      <x:c r="C278" s="128" t="str">
        <x:f>IF($A278="","",Locations!C158)</x:f>
      </x:c>
      <x:c r="D278" s="128" t="str">
        <x:f>IF($A278="","",Locations!D158)</x:f>
      </x:c>
      <x:c r="E278" s="128" t="str">
        <x:f>IF($A278="","",Locations!F158)</x:f>
      </x:c>
      <x:c r="F278" s="128" t="str">
        <x:f>IF($A278="","",Locations!E158)</x:f>
      </x:c>
      <x:c r="G278" s="128" t="str">
        <x:f>IF($A278="","","LOCATION")</x:f>
      </x:c>
      <x:c r="H278" s="128" t="str">
        <x:f>IF($A278="","","OK")</x:f>
      </x:c>
    </x:row>
    <x:row r="279">
      <x:c r="A279" s="128" t="str">
        <x:f>IF(AND(Locations!A159="Yes",Locations!I159="OK"),Locations!B159,"")</x:f>
      </x:c>
      <x:c r="B279" s="128" t="str">
        <x:f>IF($A279="","",XLOOKUP(Locations!B159,NOCsTbl[NOC ID],NOCsTbl[Display Name],""))</x:f>
      </x:c>
      <x:c r="C279" s="128" t="str">
        <x:f>IF($A279="","",Locations!C159)</x:f>
      </x:c>
      <x:c r="D279" s="128" t="str">
        <x:f>IF($A279="","",Locations!D159)</x:f>
      </x:c>
      <x:c r="E279" s="128" t="str">
        <x:f>IF($A279="","",Locations!F159)</x:f>
      </x:c>
      <x:c r="F279" s="128" t="str">
        <x:f>IF($A279="","",Locations!E159)</x:f>
      </x:c>
      <x:c r="G279" s="128" t="str">
        <x:f>IF($A279="","","LOCATION")</x:f>
      </x:c>
      <x:c r="H279" s="128" t="str">
        <x:f>IF($A279="","","OK")</x:f>
      </x:c>
    </x:row>
    <x:row r="280">
      <x:c r="A280" s="128" t="str">
        <x:f>IF(AND(Locations!A160="Yes",Locations!I160="OK"),Locations!B160,"")</x:f>
      </x:c>
      <x:c r="B280" s="128" t="str">
        <x:f>IF($A280="","",XLOOKUP(Locations!B160,NOCsTbl[NOC ID],NOCsTbl[Display Name],""))</x:f>
      </x:c>
      <x:c r="C280" s="128" t="str">
        <x:f>IF($A280="","",Locations!C160)</x:f>
      </x:c>
      <x:c r="D280" s="128" t="str">
        <x:f>IF($A280="","",Locations!D160)</x:f>
      </x:c>
      <x:c r="E280" s="128" t="str">
        <x:f>IF($A280="","",Locations!F160)</x:f>
      </x:c>
      <x:c r="F280" s="128" t="str">
        <x:f>IF($A280="","",Locations!E160)</x:f>
      </x:c>
      <x:c r="G280" s="128" t="str">
        <x:f>IF($A280="","","LOCATION")</x:f>
      </x:c>
      <x:c r="H280" s="128" t="str">
        <x:f>IF($A280="","","OK")</x:f>
      </x:c>
    </x:row>
    <x:row r="281">
      <x:c r="A281" s="128" t="str">
        <x:f>IF(AND(Locations!A161="Yes",Locations!I161="OK"),Locations!B161,"")</x:f>
      </x:c>
      <x:c r="B281" s="128" t="str">
        <x:f>IF($A281="","",XLOOKUP(Locations!B161,NOCsTbl[NOC ID],NOCsTbl[Display Name],""))</x:f>
      </x:c>
      <x:c r="C281" s="128" t="str">
        <x:f>IF($A281="","",Locations!C161)</x:f>
      </x:c>
      <x:c r="D281" s="128" t="str">
        <x:f>IF($A281="","",Locations!D161)</x:f>
      </x:c>
      <x:c r="E281" s="128" t="str">
        <x:f>IF($A281="","",Locations!F161)</x:f>
      </x:c>
      <x:c r="F281" s="128" t="str">
        <x:f>IF($A281="","",Locations!E161)</x:f>
      </x:c>
      <x:c r="G281" s="128" t="str">
        <x:f>IF($A281="","","LOCATION")</x:f>
      </x:c>
      <x:c r="H281" s="128" t="str">
        <x:f>IF($A281="","","OK")</x:f>
      </x:c>
    </x:row>
    <x:row r="282">
      <x:c r="A282" s="128" t="str">
        <x:f>IF(AND(Locations!A162="Yes",Locations!I162="OK"),Locations!B162,"")</x:f>
      </x:c>
      <x:c r="B282" s="128" t="str">
        <x:f>IF($A282="","",XLOOKUP(Locations!B162,NOCsTbl[NOC ID],NOCsTbl[Display Name],""))</x:f>
      </x:c>
      <x:c r="C282" s="128" t="str">
        <x:f>IF($A282="","",Locations!C162)</x:f>
      </x:c>
      <x:c r="D282" s="128" t="str">
        <x:f>IF($A282="","",Locations!D162)</x:f>
      </x:c>
      <x:c r="E282" s="128" t="str">
        <x:f>IF($A282="","",Locations!F162)</x:f>
      </x:c>
      <x:c r="F282" s="128" t="str">
        <x:f>IF($A282="","",Locations!E162)</x:f>
      </x:c>
      <x:c r="G282" s="128" t="str">
        <x:f>IF($A282="","","LOCATION")</x:f>
      </x:c>
      <x:c r="H282" s="128" t="str">
        <x:f>IF($A282="","","OK")</x:f>
      </x:c>
    </x:row>
    <x:row r="283">
      <x:c r="A283" s="128" t="str">
        <x:f>IF(AND(Locations!A163="Yes",Locations!I163="OK"),Locations!B163,"")</x:f>
      </x:c>
      <x:c r="B283" s="128" t="str">
        <x:f>IF($A283="","",XLOOKUP(Locations!B163,NOCsTbl[NOC ID],NOCsTbl[Display Name],""))</x:f>
      </x:c>
      <x:c r="C283" s="128" t="str">
        <x:f>IF($A283="","",Locations!C163)</x:f>
      </x:c>
      <x:c r="D283" s="128" t="str">
        <x:f>IF($A283="","",Locations!D163)</x:f>
      </x:c>
      <x:c r="E283" s="128" t="str">
        <x:f>IF($A283="","",Locations!F163)</x:f>
      </x:c>
      <x:c r="F283" s="128" t="str">
        <x:f>IF($A283="","",Locations!E163)</x:f>
      </x:c>
      <x:c r="G283" s="128" t="str">
        <x:f>IF($A283="","","LOCATION")</x:f>
      </x:c>
      <x:c r="H283" s="128" t="str">
        <x:f>IF($A283="","","OK")</x:f>
      </x:c>
    </x:row>
    <x:row r="284">
      <x:c r="A284" s="128" t="str">
        <x:f>IF(AND(Locations!A164="Yes",Locations!I164="OK"),Locations!B164,"")</x:f>
      </x:c>
      <x:c r="B284" s="128" t="str">
        <x:f>IF($A284="","",XLOOKUP(Locations!B164,NOCsTbl[NOC ID],NOCsTbl[Display Name],""))</x:f>
      </x:c>
      <x:c r="C284" s="128" t="str">
        <x:f>IF($A284="","",Locations!C164)</x:f>
      </x:c>
      <x:c r="D284" s="128" t="str">
        <x:f>IF($A284="","",Locations!D164)</x:f>
      </x:c>
      <x:c r="E284" s="128" t="str">
        <x:f>IF($A284="","",Locations!F164)</x:f>
      </x:c>
      <x:c r="F284" s="128" t="str">
        <x:f>IF($A284="","",Locations!E164)</x:f>
      </x:c>
      <x:c r="G284" s="128" t="str">
        <x:f>IF($A284="","","LOCATION")</x:f>
      </x:c>
      <x:c r="H284" s="128" t="str">
        <x:f>IF($A284="","","OK")</x:f>
      </x:c>
    </x:row>
    <x:row r="285">
      <x:c r="A285" s="128" t="str">
        <x:f>IF(AND(Locations!A165="Yes",Locations!I165="OK"),Locations!B165,"")</x:f>
      </x:c>
      <x:c r="B285" s="128" t="str">
        <x:f>IF($A285="","",XLOOKUP(Locations!B165,NOCsTbl[NOC ID],NOCsTbl[Display Name],""))</x:f>
      </x:c>
      <x:c r="C285" s="128" t="str">
        <x:f>IF($A285="","",Locations!C165)</x:f>
      </x:c>
      <x:c r="D285" s="128" t="str">
        <x:f>IF($A285="","",Locations!D165)</x:f>
      </x:c>
      <x:c r="E285" s="128" t="str">
        <x:f>IF($A285="","",Locations!F165)</x:f>
      </x:c>
      <x:c r="F285" s="128" t="str">
        <x:f>IF($A285="","",Locations!E165)</x:f>
      </x:c>
      <x:c r="G285" s="128" t="str">
        <x:f>IF($A285="","","LOCATION")</x:f>
      </x:c>
      <x:c r="H285" s="128" t="str">
        <x:f>IF($A285="","","OK")</x:f>
      </x:c>
    </x:row>
    <x:row r="286">
      <x:c r="A286" s="128" t="str">
        <x:f>IF(AND(Locations!A166="Yes",Locations!I166="OK"),Locations!B166,"")</x:f>
      </x:c>
      <x:c r="B286" s="128" t="str">
        <x:f>IF($A286="","",XLOOKUP(Locations!B166,NOCsTbl[NOC ID],NOCsTbl[Display Name],""))</x:f>
      </x:c>
      <x:c r="C286" s="128" t="str">
        <x:f>IF($A286="","",Locations!C166)</x:f>
      </x:c>
      <x:c r="D286" s="128" t="str">
        <x:f>IF($A286="","",Locations!D166)</x:f>
      </x:c>
      <x:c r="E286" s="128" t="str">
        <x:f>IF($A286="","",Locations!F166)</x:f>
      </x:c>
      <x:c r="F286" s="128" t="str">
        <x:f>IF($A286="","",Locations!E166)</x:f>
      </x:c>
      <x:c r="G286" s="128" t="str">
        <x:f>IF($A286="","","LOCATION")</x:f>
      </x:c>
      <x:c r="H286" s="128" t="str">
        <x:f>IF($A286="","","OK")</x:f>
      </x:c>
    </x:row>
    <x:row r="287">
      <x:c r="A287" s="128" t="str">
        <x:f>IF(AND(Locations!A167="Yes",Locations!I167="OK"),Locations!B167,"")</x:f>
      </x:c>
      <x:c r="B287" s="128" t="str">
        <x:f>IF($A287="","",XLOOKUP(Locations!B167,NOCsTbl[NOC ID],NOCsTbl[Display Name],""))</x:f>
      </x:c>
      <x:c r="C287" s="128" t="str">
        <x:f>IF($A287="","",Locations!C167)</x:f>
      </x:c>
      <x:c r="D287" s="128" t="str">
        <x:f>IF($A287="","",Locations!D167)</x:f>
      </x:c>
      <x:c r="E287" s="128" t="str">
        <x:f>IF($A287="","",Locations!F167)</x:f>
      </x:c>
      <x:c r="F287" s="128" t="str">
        <x:f>IF($A287="","",Locations!E167)</x:f>
      </x:c>
      <x:c r="G287" s="128" t="str">
        <x:f>IF($A287="","","LOCATION")</x:f>
      </x:c>
      <x:c r="H287" s="128" t="str">
        <x:f>IF($A287="","","OK")</x:f>
      </x:c>
    </x:row>
    <x:row r="288">
      <x:c r="A288" s="128" t="str">
        <x:f>IF(AND(Locations!A168="Yes",Locations!I168="OK"),Locations!B168,"")</x:f>
      </x:c>
      <x:c r="B288" s="128" t="str">
        <x:f>IF($A288="","",XLOOKUP(Locations!B168,NOCsTbl[NOC ID],NOCsTbl[Display Name],""))</x:f>
      </x:c>
      <x:c r="C288" s="128" t="str">
        <x:f>IF($A288="","",Locations!C168)</x:f>
      </x:c>
      <x:c r="D288" s="128" t="str">
        <x:f>IF($A288="","",Locations!D168)</x:f>
      </x:c>
      <x:c r="E288" s="128" t="str">
        <x:f>IF($A288="","",Locations!F168)</x:f>
      </x:c>
      <x:c r="F288" s="128" t="str">
        <x:f>IF($A288="","",Locations!E168)</x:f>
      </x:c>
      <x:c r="G288" s="128" t="str">
        <x:f>IF($A288="","","LOCATION")</x:f>
      </x:c>
      <x:c r="H288" s="128" t="str">
        <x:f>IF($A288="","","OK")</x:f>
      </x:c>
    </x:row>
    <x:row r="289">
      <x:c r="A289" s="128" t="str">
        <x:f>IF(AND(Locations!A169="Yes",Locations!I169="OK"),Locations!B169,"")</x:f>
      </x:c>
      <x:c r="B289" s="128" t="str">
        <x:f>IF($A289="","",XLOOKUP(Locations!B169,NOCsTbl[NOC ID],NOCsTbl[Display Name],""))</x:f>
      </x:c>
      <x:c r="C289" s="128" t="str">
        <x:f>IF($A289="","",Locations!C169)</x:f>
      </x:c>
      <x:c r="D289" s="128" t="str">
        <x:f>IF($A289="","",Locations!D169)</x:f>
      </x:c>
      <x:c r="E289" s="128" t="str">
        <x:f>IF($A289="","",Locations!F169)</x:f>
      </x:c>
      <x:c r="F289" s="128" t="str">
        <x:f>IF($A289="","",Locations!E169)</x:f>
      </x:c>
      <x:c r="G289" s="128" t="str">
        <x:f>IF($A289="","","LOCATION")</x:f>
      </x:c>
      <x:c r="H289" s="128" t="str">
        <x:f>IF($A289="","","OK")</x:f>
      </x:c>
    </x:row>
    <x:row r="290">
      <x:c r="A290" s="128" t="str">
        <x:f>IF(AND(Locations!A170="Yes",Locations!I170="OK"),Locations!B170,"")</x:f>
      </x:c>
      <x:c r="B290" s="128" t="str">
        <x:f>IF($A290="","",XLOOKUP(Locations!B170,NOCsTbl[NOC ID],NOCsTbl[Display Name],""))</x:f>
      </x:c>
      <x:c r="C290" s="128" t="str">
        <x:f>IF($A290="","",Locations!C170)</x:f>
      </x:c>
      <x:c r="D290" s="128" t="str">
        <x:f>IF($A290="","",Locations!D170)</x:f>
      </x:c>
      <x:c r="E290" s="128" t="str">
        <x:f>IF($A290="","",Locations!F170)</x:f>
      </x:c>
      <x:c r="F290" s="128" t="str">
        <x:f>IF($A290="","",Locations!E170)</x:f>
      </x:c>
      <x:c r="G290" s="128" t="str">
        <x:f>IF($A290="","","LOCATION")</x:f>
      </x:c>
      <x:c r="H290" s="128" t="str">
        <x:f>IF($A290="","","OK")</x:f>
      </x:c>
    </x:row>
    <x:row r="291">
      <x:c r="A291" s="128" t="str">
        <x:f>IF(AND(Locations!A171="Yes",Locations!I171="OK"),Locations!B171,"")</x:f>
      </x:c>
      <x:c r="B291" s="128" t="str">
        <x:f>IF($A291="","",XLOOKUP(Locations!B171,NOCsTbl[NOC ID],NOCsTbl[Display Name],""))</x:f>
      </x:c>
      <x:c r="C291" s="128" t="str">
        <x:f>IF($A291="","",Locations!C171)</x:f>
      </x:c>
      <x:c r="D291" s="128" t="str">
        <x:f>IF($A291="","",Locations!D171)</x:f>
      </x:c>
      <x:c r="E291" s="128" t="str">
        <x:f>IF($A291="","",Locations!F171)</x:f>
      </x:c>
      <x:c r="F291" s="128" t="str">
        <x:f>IF($A291="","",Locations!E171)</x:f>
      </x:c>
      <x:c r="G291" s="128" t="str">
        <x:f>IF($A291="","","LOCATION")</x:f>
      </x:c>
      <x:c r="H291" s="128" t="str">
        <x:f>IF($A291="","","OK")</x:f>
      </x:c>
    </x:row>
    <x:row r="292">
      <x:c r="A292" s="128" t="str">
        <x:f>IF(AND(Locations!A172="Yes",Locations!I172="OK"),Locations!B172,"")</x:f>
      </x:c>
      <x:c r="B292" s="128" t="str">
        <x:f>IF($A292="","",XLOOKUP(Locations!B172,NOCsTbl[NOC ID],NOCsTbl[Display Name],""))</x:f>
      </x:c>
      <x:c r="C292" s="128" t="str">
        <x:f>IF($A292="","",Locations!C172)</x:f>
      </x:c>
      <x:c r="D292" s="128" t="str">
        <x:f>IF($A292="","",Locations!D172)</x:f>
      </x:c>
      <x:c r="E292" s="128" t="str">
        <x:f>IF($A292="","",Locations!F172)</x:f>
      </x:c>
      <x:c r="F292" s="128" t="str">
        <x:f>IF($A292="","",Locations!E172)</x:f>
      </x:c>
      <x:c r="G292" s="128" t="str">
        <x:f>IF($A292="","","LOCATION")</x:f>
      </x:c>
      <x:c r="H292" s="128" t="str">
        <x:f>IF($A292="","","OK")</x:f>
      </x:c>
    </x:row>
    <x:row r="293">
      <x:c r="A293" s="128" t="str">
        <x:f>IF(AND(Locations!A173="Yes",Locations!I173="OK"),Locations!B173,"")</x:f>
      </x:c>
      <x:c r="B293" s="128" t="str">
        <x:f>IF($A293="","",XLOOKUP(Locations!B173,NOCsTbl[NOC ID],NOCsTbl[Display Name],""))</x:f>
      </x:c>
      <x:c r="C293" s="128" t="str">
        <x:f>IF($A293="","",Locations!C173)</x:f>
      </x:c>
      <x:c r="D293" s="128" t="str">
        <x:f>IF($A293="","",Locations!D173)</x:f>
      </x:c>
      <x:c r="E293" s="128" t="str">
        <x:f>IF($A293="","",Locations!F173)</x:f>
      </x:c>
      <x:c r="F293" s="128" t="str">
        <x:f>IF($A293="","",Locations!E173)</x:f>
      </x:c>
      <x:c r="G293" s="128" t="str">
        <x:f>IF($A293="","","LOCATION")</x:f>
      </x:c>
      <x:c r="H293" s="128" t="str">
        <x:f>IF($A293="","","OK")</x:f>
      </x:c>
    </x:row>
    <x:row r="294">
      <x:c r="A294" s="128" t="str">
        <x:f>IF(AND(Locations!A174="Yes",Locations!I174="OK"),Locations!B174,"")</x:f>
      </x:c>
      <x:c r="B294" s="128" t="str">
        <x:f>IF($A294="","",XLOOKUP(Locations!B174,NOCsTbl[NOC ID],NOCsTbl[Display Name],""))</x:f>
      </x:c>
      <x:c r="C294" s="128" t="str">
        <x:f>IF($A294="","",Locations!C174)</x:f>
      </x:c>
      <x:c r="D294" s="128" t="str">
        <x:f>IF($A294="","",Locations!D174)</x:f>
      </x:c>
      <x:c r="E294" s="128" t="str">
        <x:f>IF($A294="","",Locations!F174)</x:f>
      </x:c>
      <x:c r="F294" s="128" t="str">
        <x:f>IF($A294="","",Locations!E174)</x:f>
      </x:c>
      <x:c r="G294" s="128" t="str">
        <x:f>IF($A294="","","LOCATION")</x:f>
      </x:c>
      <x:c r="H294" s="128" t="str">
        <x:f>IF($A294="","","OK")</x:f>
      </x:c>
    </x:row>
    <x:row r="295">
      <x:c r="A295" s="128" t="str">
        <x:f>IF(AND(Locations!A175="Yes",Locations!I175="OK"),Locations!B175,"")</x:f>
      </x:c>
      <x:c r="B295" s="128" t="str">
        <x:f>IF($A295="","",XLOOKUP(Locations!B175,NOCsTbl[NOC ID],NOCsTbl[Display Name],""))</x:f>
      </x:c>
      <x:c r="C295" s="128" t="str">
        <x:f>IF($A295="","",Locations!C175)</x:f>
      </x:c>
      <x:c r="D295" s="128" t="str">
        <x:f>IF($A295="","",Locations!D175)</x:f>
      </x:c>
      <x:c r="E295" s="128" t="str">
        <x:f>IF($A295="","",Locations!F175)</x:f>
      </x:c>
      <x:c r="F295" s="128" t="str">
        <x:f>IF($A295="","",Locations!E175)</x:f>
      </x:c>
      <x:c r="G295" s="128" t="str">
        <x:f>IF($A295="","","LOCATION")</x:f>
      </x:c>
      <x:c r="H295" s="128" t="str">
        <x:f>IF($A295="","","OK")</x:f>
      </x:c>
    </x:row>
    <x:row r="296">
      <x:c r="A296" s="128" t="str">
        <x:f>IF(AND(Locations!A176="Yes",Locations!I176="OK"),Locations!B176,"")</x:f>
      </x:c>
      <x:c r="B296" s="128" t="str">
        <x:f>IF($A296="","",XLOOKUP(Locations!B176,NOCsTbl[NOC ID],NOCsTbl[Display Name],""))</x:f>
      </x:c>
      <x:c r="C296" s="128" t="str">
        <x:f>IF($A296="","",Locations!C176)</x:f>
      </x:c>
      <x:c r="D296" s="128" t="str">
        <x:f>IF($A296="","",Locations!D176)</x:f>
      </x:c>
      <x:c r="E296" s="128" t="str">
        <x:f>IF($A296="","",Locations!F176)</x:f>
      </x:c>
      <x:c r="F296" s="128" t="str">
        <x:f>IF($A296="","",Locations!E176)</x:f>
      </x:c>
      <x:c r="G296" s="128" t="str">
        <x:f>IF($A296="","","LOCATION")</x:f>
      </x:c>
      <x:c r="H296" s="128" t="str">
        <x:f>IF($A296="","","OK")</x:f>
      </x:c>
    </x:row>
    <x:row r="297">
      <x:c r="A297" s="128" t="str">
        <x:f>IF(AND(Locations!A177="Yes",Locations!I177="OK"),Locations!B177,"")</x:f>
      </x:c>
      <x:c r="B297" s="128" t="str">
        <x:f>IF($A297="","",XLOOKUP(Locations!B177,NOCsTbl[NOC ID],NOCsTbl[Display Name],""))</x:f>
      </x:c>
      <x:c r="C297" s="128" t="str">
        <x:f>IF($A297="","",Locations!C177)</x:f>
      </x:c>
      <x:c r="D297" s="128" t="str">
        <x:f>IF($A297="","",Locations!D177)</x:f>
      </x:c>
      <x:c r="E297" s="128" t="str">
        <x:f>IF($A297="","",Locations!F177)</x:f>
      </x:c>
      <x:c r="F297" s="128" t="str">
        <x:f>IF($A297="","",Locations!E177)</x:f>
      </x:c>
      <x:c r="G297" s="128" t="str">
        <x:f>IF($A297="","","LOCATION")</x:f>
      </x:c>
      <x:c r="H297" s="128" t="str">
        <x:f>IF($A297="","","OK")</x:f>
      </x:c>
    </x:row>
    <x:row r="298">
      <x:c r="A298" s="128" t="str">
        <x:f>IF(AND(Locations!A178="Yes",Locations!I178="OK"),Locations!B178,"")</x:f>
      </x:c>
      <x:c r="B298" s="128" t="str">
        <x:f>IF($A298="","",XLOOKUP(Locations!B178,NOCsTbl[NOC ID],NOCsTbl[Display Name],""))</x:f>
      </x:c>
      <x:c r="C298" s="128" t="str">
        <x:f>IF($A298="","",Locations!C178)</x:f>
      </x:c>
      <x:c r="D298" s="128" t="str">
        <x:f>IF($A298="","",Locations!D178)</x:f>
      </x:c>
      <x:c r="E298" s="128" t="str">
        <x:f>IF($A298="","",Locations!F178)</x:f>
      </x:c>
      <x:c r="F298" s="128" t="str">
        <x:f>IF($A298="","",Locations!E178)</x:f>
      </x:c>
      <x:c r="G298" s="128" t="str">
        <x:f>IF($A298="","","LOCATION")</x:f>
      </x:c>
      <x:c r="H298" s="128" t="str">
        <x:f>IF($A298="","","OK")</x:f>
      </x:c>
    </x:row>
    <x:row r="299">
      <x:c r="A299" s="128" t="str">
        <x:f>IF(AND(Locations!A179="Yes",Locations!I179="OK"),Locations!B179,"")</x:f>
      </x:c>
      <x:c r="B299" s="128" t="str">
        <x:f>IF($A299="","",XLOOKUP(Locations!B179,NOCsTbl[NOC ID],NOCsTbl[Display Name],""))</x:f>
      </x:c>
      <x:c r="C299" s="128" t="str">
        <x:f>IF($A299="","",Locations!C179)</x:f>
      </x:c>
      <x:c r="D299" s="128" t="str">
        <x:f>IF($A299="","",Locations!D179)</x:f>
      </x:c>
      <x:c r="E299" s="128" t="str">
        <x:f>IF($A299="","",Locations!F179)</x:f>
      </x:c>
      <x:c r="F299" s="128" t="str">
        <x:f>IF($A299="","",Locations!E179)</x:f>
      </x:c>
      <x:c r="G299" s="128" t="str">
        <x:f>IF($A299="","","LOCATION")</x:f>
      </x:c>
      <x:c r="H299" s="128" t="str">
        <x:f>IF($A299="","","OK")</x:f>
      </x:c>
    </x:row>
    <x:row r="300">
      <x:c r="A300" s="128" t="str">
        <x:f>IF(AND(Locations!A180="Yes",Locations!I180="OK"),Locations!B180,"")</x:f>
      </x:c>
      <x:c r="B300" s="128" t="str">
        <x:f>IF($A300="","",XLOOKUP(Locations!B180,NOCsTbl[NOC ID],NOCsTbl[Display Name],""))</x:f>
      </x:c>
      <x:c r="C300" s="128" t="str">
        <x:f>IF($A300="","",Locations!C180)</x:f>
      </x:c>
      <x:c r="D300" s="128" t="str">
        <x:f>IF($A300="","",Locations!D180)</x:f>
      </x:c>
      <x:c r="E300" s="128" t="str">
        <x:f>IF($A300="","",Locations!F180)</x:f>
      </x:c>
      <x:c r="F300" s="128" t="str">
        <x:f>IF($A300="","",Locations!E180)</x:f>
      </x:c>
      <x:c r="G300" s="128" t="str">
        <x:f>IF($A300="","","LOCATION")</x:f>
      </x:c>
      <x:c r="H300" s="128" t="str">
        <x:f>IF($A300="","","OK")</x:f>
      </x:c>
    </x:row>
    <x:row r="301">
      <x:c r="A301" s="128" t="str">
        <x:f>IF(AND(Locations!A181="Yes",Locations!I181="OK"),Locations!B181,"")</x:f>
      </x:c>
      <x:c r="B301" s="128" t="str">
        <x:f>IF($A301="","",XLOOKUP(Locations!B181,NOCsTbl[NOC ID],NOCsTbl[Display Name],""))</x:f>
      </x:c>
      <x:c r="C301" s="128" t="str">
        <x:f>IF($A301="","",Locations!C181)</x:f>
      </x:c>
      <x:c r="D301" s="128" t="str">
        <x:f>IF($A301="","",Locations!D181)</x:f>
      </x:c>
      <x:c r="E301" s="128" t="str">
        <x:f>IF($A301="","",Locations!F181)</x:f>
      </x:c>
      <x:c r="F301" s="128" t="str">
        <x:f>IF($A301="","",Locations!E181)</x:f>
      </x:c>
      <x:c r="G301" s="128" t="str">
        <x:f>IF($A301="","","LOCATION")</x:f>
      </x:c>
      <x:c r="H301" s="128" t="str">
        <x:f>IF($A301="","","OK")</x:f>
      </x:c>
    </x:row>
    <x:row r="302">
      <x:c r="A302" s="128" t="str">
        <x:f>IF(AND(Locations!A182="Yes",Locations!I182="OK"),Locations!B182,"")</x:f>
      </x:c>
      <x:c r="B302" s="128" t="str">
        <x:f>IF($A302="","",XLOOKUP(Locations!B182,NOCsTbl[NOC ID],NOCsTbl[Display Name],""))</x:f>
      </x:c>
      <x:c r="C302" s="128" t="str">
        <x:f>IF($A302="","",Locations!C182)</x:f>
      </x:c>
      <x:c r="D302" s="128" t="str">
        <x:f>IF($A302="","",Locations!D182)</x:f>
      </x:c>
      <x:c r="E302" s="128" t="str">
        <x:f>IF($A302="","",Locations!F182)</x:f>
      </x:c>
      <x:c r="F302" s="128" t="str">
        <x:f>IF($A302="","",Locations!E182)</x:f>
      </x:c>
      <x:c r="G302" s="128" t="str">
        <x:f>IF($A302="","","LOCATION")</x:f>
      </x:c>
      <x:c r="H302" s="128" t="str">
        <x:f>IF($A302="","","OK")</x:f>
      </x:c>
    </x:row>
    <x:row r="303">
      <x:c r="A303" s="128" t="str">
        <x:f>IF(AND(Locations!A183="Yes",Locations!I183="OK"),Locations!B183,"")</x:f>
      </x:c>
      <x:c r="B303" s="128" t="str">
        <x:f>IF($A303="","",XLOOKUP(Locations!B183,NOCsTbl[NOC ID],NOCsTbl[Display Name],""))</x:f>
      </x:c>
      <x:c r="C303" s="128" t="str">
        <x:f>IF($A303="","",Locations!C183)</x:f>
      </x:c>
      <x:c r="D303" s="128" t="str">
        <x:f>IF($A303="","",Locations!D183)</x:f>
      </x:c>
      <x:c r="E303" s="128" t="str">
        <x:f>IF($A303="","",Locations!F183)</x:f>
      </x:c>
      <x:c r="F303" s="128" t="str">
        <x:f>IF($A303="","",Locations!E183)</x:f>
      </x:c>
      <x:c r="G303" s="128" t="str">
        <x:f>IF($A303="","","LOCATION")</x:f>
      </x:c>
      <x:c r="H303" s="128" t="str">
        <x:f>IF($A303="","","OK")</x:f>
      </x:c>
    </x:row>
    <x:row r="304">
      <x:c r="A304" s="128" t="str">
        <x:f>IF(AND(Locations!A184="Yes",Locations!I184="OK"),Locations!B184,"")</x:f>
      </x:c>
      <x:c r="B304" s="128" t="str">
        <x:f>IF($A304="","",XLOOKUP(Locations!B184,NOCsTbl[NOC ID],NOCsTbl[Display Name],""))</x:f>
      </x:c>
      <x:c r="C304" s="128" t="str">
        <x:f>IF($A304="","",Locations!C184)</x:f>
      </x:c>
      <x:c r="D304" s="128" t="str">
        <x:f>IF($A304="","",Locations!D184)</x:f>
      </x:c>
      <x:c r="E304" s="128" t="str">
        <x:f>IF($A304="","",Locations!F184)</x:f>
      </x:c>
      <x:c r="F304" s="128" t="str">
        <x:f>IF($A304="","",Locations!E184)</x:f>
      </x:c>
      <x:c r="G304" s="128" t="str">
        <x:f>IF($A304="","","LOCATION")</x:f>
      </x:c>
      <x:c r="H304" s="128" t="str">
        <x:f>IF($A304="","","OK")</x:f>
      </x:c>
    </x:row>
    <x:row r="305">
      <x:c r="A305" s="128" t="str">
        <x:f>IF(AND(Locations!A185="Yes",Locations!I185="OK"),Locations!B185,"")</x:f>
      </x:c>
      <x:c r="B305" s="128" t="str">
        <x:f>IF($A305="","",XLOOKUP(Locations!B185,NOCsTbl[NOC ID],NOCsTbl[Display Name],""))</x:f>
      </x:c>
      <x:c r="C305" s="128" t="str">
        <x:f>IF($A305="","",Locations!C185)</x:f>
      </x:c>
      <x:c r="D305" s="128" t="str">
        <x:f>IF($A305="","",Locations!D185)</x:f>
      </x:c>
      <x:c r="E305" s="128" t="str">
        <x:f>IF($A305="","",Locations!F185)</x:f>
      </x:c>
      <x:c r="F305" s="128" t="str">
        <x:f>IF($A305="","",Locations!E185)</x:f>
      </x:c>
      <x:c r="G305" s="128" t="str">
        <x:f>IF($A305="","","LOCATION")</x:f>
      </x:c>
      <x:c r="H305" s="128" t="str">
        <x:f>IF($A305="","","OK")</x:f>
      </x:c>
    </x:row>
    <x:row r="306">
      <x:c r="A306" s="128" t="str">
        <x:f>IF(AND(Locations!A186="Yes",Locations!I186="OK"),Locations!B186,"")</x:f>
      </x:c>
      <x:c r="B306" s="128" t="str">
        <x:f>IF($A306="","",XLOOKUP(Locations!B186,NOCsTbl[NOC ID],NOCsTbl[Display Name],""))</x:f>
      </x:c>
      <x:c r="C306" s="128" t="str">
        <x:f>IF($A306="","",Locations!C186)</x:f>
      </x:c>
      <x:c r="D306" s="128" t="str">
        <x:f>IF($A306="","",Locations!D186)</x:f>
      </x:c>
      <x:c r="E306" s="128" t="str">
        <x:f>IF($A306="","",Locations!F186)</x:f>
      </x:c>
      <x:c r="F306" s="128" t="str">
        <x:f>IF($A306="","",Locations!E186)</x:f>
      </x:c>
      <x:c r="G306" s="128" t="str">
        <x:f>IF($A306="","","LOCATION")</x:f>
      </x:c>
      <x:c r="H306" s="128" t="str">
        <x:f>IF($A306="","","OK")</x:f>
      </x:c>
    </x:row>
    <x:row r="307">
      <x:c r="A307" s="128" t="str">
        <x:f>IF(AND(Locations!A187="Yes",Locations!I187="OK"),Locations!B187,"")</x:f>
      </x:c>
      <x:c r="B307" s="128" t="str">
        <x:f>IF($A307="","",XLOOKUP(Locations!B187,NOCsTbl[NOC ID],NOCsTbl[Display Name],""))</x:f>
      </x:c>
      <x:c r="C307" s="128" t="str">
        <x:f>IF($A307="","",Locations!C187)</x:f>
      </x:c>
      <x:c r="D307" s="128" t="str">
        <x:f>IF($A307="","",Locations!D187)</x:f>
      </x:c>
      <x:c r="E307" s="128" t="str">
        <x:f>IF($A307="","",Locations!F187)</x:f>
      </x:c>
      <x:c r="F307" s="128" t="str">
        <x:f>IF($A307="","",Locations!E187)</x:f>
      </x:c>
      <x:c r="G307" s="128" t="str">
        <x:f>IF($A307="","","LOCATION")</x:f>
      </x:c>
      <x:c r="H307" s="128" t="str">
        <x:f>IF($A307="","","OK")</x:f>
      </x:c>
    </x:row>
    <x:row r="308">
      <x:c r="A308" s="128" t="str">
        <x:f>IF(AND(Locations!A188="Yes",Locations!I188="OK"),Locations!B188,"")</x:f>
      </x:c>
      <x:c r="B308" s="128" t="str">
        <x:f>IF($A308="","",XLOOKUP(Locations!B188,NOCsTbl[NOC ID],NOCsTbl[Display Name],""))</x:f>
      </x:c>
      <x:c r="C308" s="128" t="str">
        <x:f>IF($A308="","",Locations!C188)</x:f>
      </x:c>
      <x:c r="D308" s="128" t="str">
        <x:f>IF($A308="","",Locations!D188)</x:f>
      </x:c>
      <x:c r="E308" s="128" t="str">
        <x:f>IF($A308="","",Locations!F188)</x:f>
      </x:c>
      <x:c r="F308" s="128" t="str">
        <x:f>IF($A308="","",Locations!E188)</x:f>
      </x:c>
      <x:c r="G308" s="128" t="str">
        <x:f>IF($A308="","","LOCATION")</x:f>
      </x:c>
      <x:c r="H308" s="128" t="str">
        <x:f>IF($A308="","","OK")</x:f>
      </x:c>
    </x:row>
    <x:row r="309">
      <x:c r="A309" s="128" t="str">
        <x:f>IF(AND(Locations!A189="Yes",Locations!I189="OK"),Locations!B189,"")</x:f>
      </x:c>
      <x:c r="B309" s="128" t="str">
        <x:f>IF($A309="","",XLOOKUP(Locations!B189,NOCsTbl[NOC ID],NOCsTbl[Display Name],""))</x:f>
      </x:c>
      <x:c r="C309" s="128" t="str">
        <x:f>IF($A309="","",Locations!C189)</x:f>
      </x:c>
      <x:c r="D309" s="128" t="str">
        <x:f>IF($A309="","",Locations!D189)</x:f>
      </x:c>
      <x:c r="E309" s="128" t="str">
        <x:f>IF($A309="","",Locations!F189)</x:f>
      </x:c>
      <x:c r="F309" s="128" t="str">
        <x:f>IF($A309="","",Locations!E189)</x:f>
      </x:c>
      <x:c r="G309" s="128" t="str">
        <x:f>IF($A309="","","LOCATION")</x:f>
      </x:c>
      <x:c r="H309" s="128" t="str">
        <x:f>IF($A309="","","OK")</x:f>
      </x:c>
    </x:row>
    <x:row r="310">
      <x:c r="A310" s="128" t="str">
        <x:f>IF(AND(Locations!A190="Yes",Locations!I190="OK"),Locations!B190,"")</x:f>
      </x:c>
      <x:c r="B310" s="128" t="str">
        <x:f>IF($A310="","",XLOOKUP(Locations!B190,NOCsTbl[NOC ID],NOCsTbl[Display Name],""))</x:f>
      </x:c>
      <x:c r="C310" s="128" t="str">
        <x:f>IF($A310="","",Locations!C190)</x:f>
      </x:c>
      <x:c r="D310" s="128" t="str">
        <x:f>IF($A310="","",Locations!D190)</x:f>
      </x:c>
      <x:c r="E310" s="128" t="str">
        <x:f>IF($A310="","",Locations!F190)</x:f>
      </x:c>
      <x:c r="F310" s="128" t="str">
        <x:f>IF($A310="","",Locations!E190)</x:f>
      </x:c>
      <x:c r="G310" s="128" t="str">
        <x:f>IF($A310="","","LOCATION")</x:f>
      </x:c>
      <x:c r="H310" s="128" t="str">
        <x:f>IF($A310="","","OK")</x:f>
      </x:c>
    </x:row>
    <x:row r="311">
      <x:c r="A311" s="128" t="str">
        <x:f>IF(AND(Locations!A191="Yes",Locations!I191="OK"),Locations!B191,"")</x:f>
      </x:c>
      <x:c r="B311" s="128" t="str">
        <x:f>IF($A311="","",XLOOKUP(Locations!B191,NOCsTbl[NOC ID],NOCsTbl[Display Name],""))</x:f>
      </x:c>
      <x:c r="C311" s="128" t="str">
        <x:f>IF($A311="","",Locations!C191)</x:f>
      </x:c>
      <x:c r="D311" s="128" t="str">
        <x:f>IF($A311="","",Locations!D191)</x:f>
      </x:c>
      <x:c r="E311" s="128" t="str">
        <x:f>IF($A311="","",Locations!F191)</x:f>
      </x:c>
      <x:c r="F311" s="128" t="str">
        <x:f>IF($A311="","",Locations!E191)</x:f>
      </x:c>
      <x:c r="G311" s="128" t="str">
        <x:f>IF($A311="","","LOCATION")</x:f>
      </x:c>
      <x:c r="H311" s="128" t="str">
        <x:f>IF($A311="","","OK")</x:f>
      </x:c>
    </x:row>
    <x:row r="312">
      <x:c r="A312" s="128" t="str">
        <x:f>IF(AND(Locations!A192="Yes",Locations!I192="OK"),Locations!B192,"")</x:f>
      </x:c>
      <x:c r="B312" s="128" t="str">
        <x:f>IF($A312="","",XLOOKUP(Locations!B192,NOCsTbl[NOC ID],NOCsTbl[Display Name],""))</x:f>
      </x:c>
      <x:c r="C312" s="128" t="str">
        <x:f>IF($A312="","",Locations!C192)</x:f>
      </x:c>
      <x:c r="D312" s="128" t="str">
        <x:f>IF($A312="","",Locations!D192)</x:f>
      </x:c>
      <x:c r="E312" s="128" t="str">
        <x:f>IF($A312="","",Locations!F192)</x:f>
      </x:c>
      <x:c r="F312" s="128" t="str">
        <x:f>IF($A312="","",Locations!E192)</x:f>
      </x:c>
      <x:c r="G312" s="128" t="str">
        <x:f>IF($A312="","","LOCATION")</x:f>
      </x:c>
      <x:c r="H312" s="128" t="str">
        <x:f>IF($A312="","","OK")</x:f>
      </x:c>
    </x:row>
    <x:row r="313">
      <x:c r="A313" s="128" t="str">
        <x:f>IF(AND(Locations!A193="Yes",Locations!I193="OK"),Locations!B193,"")</x:f>
      </x:c>
      <x:c r="B313" s="128" t="str">
        <x:f>IF($A313="","",XLOOKUP(Locations!B193,NOCsTbl[NOC ID],NOCsTbl[Display Name],""))</x:f>
      </x:c>
      <x:c r="C313" s="128" t="str">
        <x:f>IF($A313="","",Locations!C193)</x:f>
      </x:c>
      <x:c r="D313" s="128" t="str">
        <x:f>IF($A313="","",Locations!D193)</x:f>
      </x:c>
      <x:c r="E313" s="128" t="str">
        <x:f>IF($A313="","",Locations!F193)</x:f>
      </x:c>
      <x:c r="F313" s="128" t="str">
        <x:f>IF($A313="","",Locations!E193)</x:f>
      </x:c>
      <x:c r="G313" s="128" t="str">
        <x:f>IF($A313="","","LOCATION")</x:f>
      </x:c>
      <x:c r="H313" s="128" t="str">
        <x:f>IF($A313="","","OK")</x:f>
      </x:c>
    </x:row>
    <x:row r="314">
      <x:c r="A314" s="128" t="str">
        <x:f>IF(AND(Locations!A194="Yes",Locations!I194="OK"),Locations!B194,"")</x:f>
      </x:c>
      <x:c r="B314" s="128" t="str">
        <x:f>IF($A314="","",XLOOKUP(Locations!B194,NOCsTbl[NOC ID],NOCsTbl[Display Name],""))</x:f>
      </x:c>
      <x:c r="C314" s="128" t="str">
        <x:f>IF($A314="","",Locations!C194)</x:f>
      </x:c>
      <x:c r="D314" s="128" t="str">
        <x:f>IF($A314="","",Locations!D194)</x:f>
      </x:c>
      <x:c r="E314" s="128" t="str">
        <x:f>IF($A314="","",Locations!F194)</x:f>
      </x:c>
      <x:c r="F314" s="128" t="str">
        <x:f>IF($A314="","",Locations!E194)</x:f>
      </x:c>
      <x:c r="G314" s="128" t="str">
        <x:f>IF($A314="","","LOCATION")</x:f>
      </x:c>
      <x:c r="H314" s="128" t="str">
        <x:f>IF($A314="","","OK")</x:f>
      </x:c>
    </x:row>
    <x:row r="315">
      <x:c r="A315" s="128" t="str">
        <x:f>IF(AND(Locations!A195="Yes",Locations!I195="OK"),Locations!B195,"")</x:f>
      </x:c>
      <x:c r="B315" s="128" t="str">
        <x:f>IF($A315="","",XLOOKUP(Locations!B195,NOCsTbl[NOC ID],NOCsTbl[Display Name],""))</x:f>
      </x:c>
      <x:c r="C315" s="128" t="str">
        <x:f>IF($A315="","",Locations!C195)</x:f>
      </x:c>
      <x:c r="D315" s="128" t="str">
        <x:f>IF($A315="","",Locations!D195)</x:f>
      </x:c>
      <x:c r="E315" s="128" t="str">
        <x:f>IF($A315="","",Locations!F195)</x:f>
      </x:c>
      <x:c r="F315" s="128" t="str">
        <x:f>IF($A315="","",Locations!E195)</x:f>
      </x:c>
      <x:c r="G315" s="128" t="str">
        <x:f>IF($A315="","","LOCATION")</x:f>
      </x:c>
      <x:c r="H315" s="128" t="str">
        <x:f>IF($A315="","","OK")</x:f>
      </x:c>
    </x:row>
    <x:row r="316">
      <x:c r="A316" s="128" t="str">
        <x:f>IF(AND(Locations!A196="Yes",Locations!I196="OK"),Locations!B196,"")</x:f>
      </x:c>
      <x:c r="B316" s="128" t="str">
        <x:f>IF($A316="","",XLOOKUP(Locations!B196,NOCsTbl[NOC ID],NOCsTbl[Display Name],""))</x:f>
      </x:c>
      <x:c r="C316" s="128" t="str">
        <x:f>IF($A316="","",Locations!C196)</x:f>
      </x:c>
      <x:c r="D316" s="128" t="str">
        <x:f>IF($A316="","",Locations!D196)</x:f>
      </x:c>
      <x:c r="E316" s="128" t="str">
        <x:f>IF($A316="","",Locations!F196)</x:f>
      </x:c>
      <x:c r="F316" s="128" t="str">
        <x:f>IF($A316="","",Locations!E196)</x:f>
      </x:c>
      <x:c r="G316" s="128" t="str">
        <x:f>IF($A316="","","LOCATION")</x:f>
      </x:c>
      <x:c r="H316" s="128" t="str">
        <x:f>IF($A316="","","OK")</x:f>
      </x:c>
    </x:row>
    <x:row r="317">
      <x:c r="A317" s="128" t="str">
        <x:f>IF(AND(Locations!A197="Yes",Locations!I197="OK"),Locations!B197,"")</x:f>
      </x:c>
      <x:c r="B317" s="128" t="str">
        <x:f>IF($A317="","",XLOOKUP(Locations!B197,NOCsTbl[NOC ID],NOCsTbl[Display Name],""))</x:f>
      </x:c>
      <x:c r="C317" s="128" t="str">
        <x:f>IF($A317="","",Locations!C197)</x:f>
      </x:c>
      <x:c r="D317" s="128" t="str">
        <x:f>IF($A317="","",Locations!D197)</x:f>
      </x:c>
      <x:c r="E317" s="128" t="str">
        <x:f>IF($A317="","",Locations!F197)</x:f>
      </x:c>
      <x:c r="F317" s="128" t="str">
        <x:f>IF($A317="","",Locations!E197)</x:f>
      </x:c>
      <x:c r="G317" s="128" t="str">
        <x:f>IF($A317="","","LOCATION")</x:f>
      </x:c>
      <x:c r="H317" s="128" t="str">
        <x:f>IF($A317="","","OK")</x:f>
      </x:c>
    </x:row>
    <x:row r="318">
      <x:c r="A318" s="128" t="str">
        <x:f>IF(AND(Locations!A198="Yes",Locations!I198="OK"),Locations!B198,"")</x:f>
      </x:c>
      <x:c r="B318" s="128" t="str">
        <x:f>IF($A318="","",XLOOKUP(Locations!B198,NOCsTbl[NOC ID],NOCsTbl[Display Name],""))</x:f>
      </x:c>
      <x:c r="C318" s="128" t="str">
        <x:f>IF($A318="","",Locations!C198)</x:f>
      </x:c>
      <x:c r="D318" s="128" t="str">
        <x:f>IF($A318="","",Locations!D198)</x:f>
      </x:c>
      <x:c r="E318" s="128" t="str">
        <x:f>IF($A318="","",Locations!F198)</x:f>
      </x:c>
      <x:c r="F318" s="128" t="str">
        <x:f>IF($A318="","",Locations!E198)</x:f>
      </x:c>
      <x:c r="G318" s="128" t="str">
        <x:f>IF($A318="","","LOCATION")</x:f>
      </x:c>
      <x:c r="H318" s="128" t="str">
        <x:f>IF($A318="","","OK")</x:f>
      </x:c>
    </x:row>
    <x:row r="319">
      <x:c r="A319" s="128" t="str">
        <x:f>IF(AND(Locations!A199="Yes",Locations!I199="OK"),Locations!B199,"")</x:f>
      </x:c>
      <x:c r="B319" s="128" t="str">
        <x:f>IF($A319="","",XLOOKUP(Locations!B199,NOCsTbl[NOC ID],NOCsTbl[Display Name],""))</x:f>
      </x:c>
      <x:c r="C319" s="128" t="str">
        <x:f>IF($A319="","",Locations!C199)</x:f>
      </x:c>
      <x:c r="D319" s="128" t="str">
        <x:f>IF($A319="","",Locations!D199)</x:f>
      </x:c>
      <x:c r="E319" s="128" t="str">
        <x:f>IF($A319="","",Locations!F199)</x:f>
      </x:c>
      <x:c r="F319" s="128" t="str">
        <x:f>IF($A319="","",Locations!E199)</x:f>
      </x:c>
      <x:c r="G319" s="128" t="str">
        <x:f>IF($A319="","","LOCATION")</x:f>
      </x:c>
      <x:c r="H319" s="128" t="str">
        <x:f>IF($A319="","","OK")</x:f>
      </x:c>
    </x:row>
    <x:row r="320">
      <x:c r="A320" s="128" t="str">
        <x:f>IF(AND(Locations!A200="Yes",Locations!I200="OK"),Locations!B200,"")</x:f>
      </x:c>
      <x:c r="B320" s="128" t="str">
        <x:f>IF($A320="","",XLOOKUP(Locations!B200,NOCsTbl[NOC ID],NOCsTbl[Display Name],""))</x:f>
      </x:c>
      <x:c r="C320" s="128" t="str">
        <x:f>IF($A320="","",Locations!C200)</x:f>
      </x:c>
      <x:c r="D320" s="128" t="str">
        <x:f>IF($A320="","",Locations!D200)</x:f>
      </x:c>
      <x:c r="E320" s="128" t="str">
        <x:f>IF($A320="","",Locations!F200)</x:f>
      </x:c>
      <x:c r="F320" s="128" t="str">
        <x:f>IF($A320="","",Locations!E200)</x:f>
      </x:c>
      <x:c r="G320" s="128" t="str">
        <x:f>IF($A320="","","LOCATION")</x:f>
      </x:c>
      <x:c r="H320" s="128" t="str">
        <x:f>IF($A320="","","OK")</x:f>
      </x:c>
    </x:row>
    <x:row r="321">
      <x:c r="A321" s="128" t="str">
        <x:f>IF(AND(Locations!A201="Yes",Locations!I201="OK"),Locations!B201,"")</x:f>
      </x:c>
      <x:c r="B321" s="128" t="str">
        <x:f>IF($A321="","",XLOOKUP(Locations!B201,NOCsTbl[NOC ID],NOCsTbl[Display Name],""))</x:f>
      </x:c>
      <x:c r="C321" s="128" t="str">
        <x:f>IF($A321="","",Locations!C201)</x:f>
      </x:c>
      <x:c r="D321" s="128" t="str">
        <x:f>IF($A321="","",Locations!D201)</x:f>
      </x:c>
      <x:c r="E321" s="128" t="str">
        <x:f>IF($A321="","",Locations!F201)</x:f>
      </x:c>
      <x:c r="F321" s="128" t="str">
        <x:f>IF($A321="","",Locations!E201)</x:f>
      </x:c>
      <x:c r="G321" s="128" t="str">
        <x:f>IF($A321="","","LOCATION")</x:f>
      </x:c>
      <x:c r="H321" s="128" t="str">
        <x:f>IF($A321="","","OK")</x:f>
      </x:c>
    </x:row>
    <x:row r="322">
      <x:c r="A322" s="128" t="str">
        <x:f>IF(AND(Locations!A202="Yes",Locations!I202="OK"),Locations!B202,"")</x:f>
      </x:c>
      <x:c r="B322" s="128" t="str">
        <x:f>IF($A322="","",XLOOKUP(Locations!B202,NOCsTbl[NOC ID],NOCsTbl[Display Name],""))</x:f>
      </x:c>
      <x:c r="C322" s="128" t="str">
        <x:f>IF($A322="","",Locations!C202)</x:f>
      </x:c>
      <x:c r="D322" s="128" t="str">
        <x:f>IF($A322="","",Locations!D202)</x:f>
      </x:c>
      <x:c r="E322" s="128" t="str">
        <x:f>IF($A322="","",Locations!F202)</x:f>
      </x:c>
      <x:c r="F322" s="128" t="str">
        <x:f>IF($A322="","",Locations!E202)</x:f>
      </x:c>
      <x:c r="G322" s="128" t="str">
        <x:f>IF($A322="","","LOCATION")</x:f>
      </x:c>
      <x:c r="H322" s="128" t="str">
        <x:f>IF($A322="","","OK")</x:f>
      </x:c>
    </x:row>
    <x:row r="323">
      <x:c r="A323" s="128" t="str">
        <x:f>IF(AND(Locations!A203="Yes",Locations!I203="OK"),Locations!B203,"")</x:f>
      </x:c>
      <x:c r="B323" s="128" t="str">
        <x:f>IF($A323="","",XLOOKUP(Locations!B203,NOCsTbl[NOC ID],NOCsTbl[Display Name],""))</x:f>
      </x:c>
      <x:c r="C323" s="128" t="str">
        <x:f>IF($A323="","",Locations!C203)</x:f>
      </x:c>
      <x:c r="D323" s="128" t="str">
        <x:f>IF($A323="","",Locations!D203)</x:f>
      </x:c>
      <x:c r="E323" s="128" t="str">
        <x:f>IF($A323="","",Locations!F203)</x:f>
      </x:c>
      <x:c r="F323" s="128" t="str">
        <x:f>IF($A323="","",Locations!E203)</x:f>
      </x:c>
      <x:c r="G323" s="128" t="str">
        <x:f>IF($A323="","","LOCATION")</x:f>
      </x:c>
      <x:c r="H323" s="128" t="str">
        <x:f>IF($A323="","","OK")</x:f>
      </x:c>
    </x:row>
    <x:row r="324">
      <x:c r="A324" s="128" t="str">
        <x:f>IF(AND(Locations!A204="Yes",Locations!I204="OK"),Locations!B204,"")</x:f>
      </x:c>
      <x:c r="B324" s="128" t="str">
        <x:f>IF($A324="","",XLOOKUP(Locations!B204,NOCsTbl[NOC ID],NOCsTbl[Display Name],""))</x:f>
      </x:c>
      <x:c r="C324" s="128" t="str">
        <x:f>IF($A324="","",Locations!C204)</x:f>
      </x:c>
      <x:c r="D324" s="128" t="str">
        <x:f>IF($A324="","",Locations!D204)</x:f>
      </x:c>
      <x:c r="E324" s="128" t="str">
        <x:f>IF($A324="","",Locations!F204)</x:f>
      </x:c>
      <x:c r="F324" s="128" t="str">
        <x:f>IF($A324="","",Locations!E204)</x:f>
      </x:c>
      <x:c r="G324" s="128" t="str">
        <x:f>IF($A324="","","LOCATION")</x:f>
      </x:c>
      <x:c r="H324" s="128" t="str">
        <x:f>IF($A324="","","OK")</x:f>
      </x:c>
    </x:row>
    <x:row r="325">
      <x:c r="A325" s="128" t="str">
        <x:f>IF(AND(Locations!A205="Yes",Locations!I205="OK"),Locations!B205,"")</x:f>
      </x:c>
      <x:c r="B325" s="128" t="str">
        <x:f>IF($A325="","",XLOOKUP(Locations!B205,NOCsTbl[NOC ID],NOCsTbl[Display Name],""))</x:f>
      </x:c>
      <x:c r="C325" s="128" t="str">
        <x:f>IF($A325="","",Locations!C205)</x:f>
      </x:c>
      <x:c r="D325" s="128" t="str">
        <x:f>IF($A325="","",Locations!D205)</x:f>
      </x:c>
      <x:c r="E325" s="128" t="str">
        <x:f>IF($A325="","",Locations!F205)</x:f>
      </x:c>
      <x:c r="F325" s="128" t="str">
        <x:f>IF($A325="","",Locations!E205)</x:f>
      </x:c>
      <x:c r="G325" s="128" t="str">
        <x:f>IF($A325="","","LOCATION")</x:f>
      </x:c>
      <x:c r="H325" s="128" t="str">
        <x:f>IF($A325="","","OK")</x:f>
      </x:c>
    </x:row>
    <x:row r="326">
      <x:c r="A326" s="128" t="str">
        <x:f>IF(AND(Locations!A206="Yes",Locations!I206="OK"),Locations!B206,"")</x:f>
      </x:c>
      <x:c r="B326" s="128" t="str">
        <x:f>IF($A326="","",XLOOKUP(Locations!B206,NOCsTbl[NOC ID],NOCsTbl[Display Name],""))</x:f>
      </x:c>
      <x:c r="C326" s="128" t="str">
        <x:f>IF($A326="","",Locations!C206)</x:f>
      </x:c>
      <x:c r="D326" s="128" t="str">
        <x:f>IF($A326="","",Locations!D206)</x:f>
      </x:c>
      <x:c r="E326" s="128" t="str">
        <x:f>IF($A326="","",Locations!F206)</x:f>
      </x:c>
      <x:c r="F326" s="128" t="str">
        <x:f>IF($A326="","",Locations!E206)</x:f>
      </x:c>
      <x:c r="G326" s="128" t="str">
        <x:f>IF($A326="","","LOCATION")</x:f>
      </x:c>
      <x:c r="H326" s="128" t="str">
        <x:f>IF($A326="","","OK")</x:f>
      </x:c>
    </x:row>
    <x:row r="327">
      <x:c r="A327" s="128" t="str">
        <x:f>IF(AND(Locations!A207="Yes",Locations!I207="OK"),Locations!B207,"")</x:f>
      </x:c>
      <x:c r="B327" s="128" t="str">
        <x:f>IF($A327="","",XLOOKUP(Locations!B207,NOCsTbl[NOC ID],NOCsTbl[Display Name],""))</x:f>
      </x:c>
      <x:c r="C327" s="128" t="str">
        <x:f>IF($A327="","",Locations!C207)</x:f>
      </x:c>
      <x:c r="D327" s="128" t="str">
        <x:f>IF($A327="","",Locations!D207)</x:f>
      </x:c>
      <x:c r="E327" s="128" t="str">
        <x:f>IF($A327="","",Locations!F207)</x:f>
      </x:c>
      <x:c r="F327" s="128" t="str">
        <x:f>IF($A327="","",Locations!E207)</x:f>
      </x:c>
      <x:c r="G327" s="128" t="str">
        <x:f>IF($A327="","","LOCATION")</x:f>
      </x:c>
      <x:c r="H327" s="128" t="str">
        <x:f>IF($A327="","","OK")</x:f>
      </x:c>
    </x:row>
    <x:row r="328">
      <x:c r="A328" s="128" t="str">
        <x:f>IF(AND(Locations!A208="Yes",Locations!I208="OK"),Locations!B208,"")</x:f>
      </x:c>
      <x:c r="B328" s="128" t="str">
        <x:f>IF($A328="","",XLOOKUP(Locations!B208,NOCsTbl[NOC ID],NOCsTbl[Display Name],""))</x:f>
      </x:c>
      <x:c r="C328" s="128" t="str">
        <x:f>IF($A328="","",Locations!C208)</x:f>
      </x:c>
      <x:c r="D328" s="128" t="str">
        <x:f>IF($A328="","",Locations!D208)</x:f>
      </x:c>
      <x:c r="E328" s="128" t="str">
        <x:f>IF($A328="","",Locations!F208)</x:f>
      </x:c>
      <x:c r="F328" s="128" t="str">
        <x:f>IF($A328="","",Locations!E208)</x:f>
      </x:c>
      <x:c r="G328" s="128" t="str">
        <x:f>IF($A328="","","LOCATION")</x:f>
      </x:c>
      <x:c r="H328" s="128" t="str">
        <x:f>IF($A328="","","OK")</x:f>
      </x:c>
    </x:row>
    <x:row r="329">
      <x:c r="A329" s="128" t="str">
        <x:f>IF(AND(Locations!A209="Yes",Locations!I209="OK"),Locations!B209,"")</x:f>
      </x:c>
      <x:c r="B329" s="128" t="str">
        <x:f>IF($A329="","",XLOOKUP(Locations!B209,NOCsTbl[NOC ID],NOCsTbl[Display Name],""))</x:f>
      </x:c>
      <x:c r="C329" s="128" t="str">
        <x:f>IF($A329="","",Locations!C209)</x:f>
      </x:c>
      <x:c r="D329" s="128" t="str">
        <x:f>IF($A329="","",Locations!D209)</x:f>
      </x:c>
      <x:c r="E329" s="128" t="str">
        <x:f>IF($A329="","",Locations!F209)</x:f>
      </x:c>
      <x:c r="F329" s="128" t="str">
        <x:f>IF($A329="","",Locations!E209)</x:f>
      </x:c>
      <x:c r="G329" s="128" t="str">
        <x:f>IF($A329="","","LOCATION")</x:f>
      </x:c>
      <x:c r="H329" s="128" t="str">
        <x:f>IF($A329="","","OK")</x:f>
      </x:c>
    </x:row>
    <x:row r="330">
      <x:c r="A330" s="128" t="str">
        <x:f>IF(AND(Locations!A210="Yes",Locations!I210="OK"),Locations!B210,"")</x:f>
      </x:c>
      <x:c r="B330" s="128" t="str">
        <x:f>IF($A330="","",XLOOKUP(Locations!B210,NOCsTbl[NOC ID],NOCsTbl[Display Name],""))</x:f>
      </x:c>
      <x:c r="C330" s="128" t="str">
        <x:f>IF($A330="","",Locations!C210)</x:f>
      </x:c>
      <x:c r="D330" s="128" t="str">
        <x:f>IF($A330="","",Locations!D210)</x:f>
      </x:c>
      <x:c r="E330" s="128" t="str">
        <x:f>IF($A330="","",Locations!F210)</x:f>
      </x:c>
      <x:c r="F330" s="128" t="str">
        <x:f>IF($A330="","",Locations!E210)</x:f>
      </x:c>
      <x:c r="G330" s="128" t="str">
        <x:f>IF($A330="","","LOCATION")</x:f>
      </x:c>
      <x:c r="H330" s="128" t="str">
        <x:f>IF($A330="","","OK")</x:f>
      </x:c>
    </x:row>
    <x:row r="331">
      <x:c r="A331" s="128" t="str">
        <x:f>IF(AND(Locations!A211="Yes",Locations!I211="OK"),Locations!B211,"")</x:f>
      </x:c>
      <x:c r="B331" s="128" t="str">
        <x:f>IF($A331="","",XLOOKUP(Locations!B211,NOCsTbl[NOC ID],NOCsTbl[Display Name],""))</x:f>
      </x:c>
      <x:c r="C331" s="128" t="str">
        <x:f>IF($A331="","",Locations!C211)</x:f>
      </x:c>
      <x:c r="D331" s="128" t="str">
        <x:f>IF($A331="","",Locations!D211)</x:f>
      </x:c>
      <x:c r="E331" s="128" t="str">
        <x:f>IF($A331="","",Locations!F211)</x:f>
      </x:c>
      <x:c r="F331" s="128" t="str">
        <x:f>IF($A331="","",Locations!E211)</x:f>
      </x:c>
      <x:c r="G331" s="128" t="str">
        <x:f>IF($A331="","","LOCATION")</x:f>
      </x:c>
      <x:c r="H331" s="128" t="str">
        <x:f>IF($A331="","","OK")</x:f>
      </x:c>
    </x:row>
    <x:row r="332">
      <x:c r="A332" s="128" t="str">
        <x:f>IF(AND(Locations!A212="Yes",Locations!I212="OK"),Locations!B212,"")</x:f>
      </x:c>
      <x:c r="B332" s="128" t="str">
        <x:f>IF($A332="","",XLOOKUP(Locations!B212,NOCsTbl[NOC ID],NOCsTbl[Display Name],""))</x:f>
      </x:c>
      <x:c r="C332" s="128" t="str">
        <x:f>IF($A332="","",Locations!C212)</x:f>
      </x:c>
      <x:c r="D332" s="128" t="str">
        <x:f>IF($A332="","",Locations!D212)</x:f>
      </x:c>
      <x:c r="E332" s="128" t="str">
        <x:f>IF($A332="","",Locations!F212)</x:f>
      </x:c>
      <x:c r="F332" s="128" t="str">
        <x:f>IF($A332="","",Locations!E212)</x:f>
      </x:c>
      <x:c r="G332" s="128" t="str">
        <x:f>IF($A332="","","LOCATION")</x:f>
      </x:c>
      <x:c r="H332" s="128" t="str">
        <x:f>IF($A332="","","OK")</x:f>
      </x:c>
    </x:row>
    <x:row r="333">
      <x:c r="A333" s="128" t="str">
        <x:f>IF(AND(Locations!A213="Yes",Locations!I213="OK"),Locations!B213,"")</x:f>
      </x:c>
      <x:c r="B333" s="128" t="str">
        <x:f>IF($A333="","",XLOOKUP(Locations!B213,NOCsTbl[NOC ID],NOCsTbl[Display Name],""))</x:f>
      </x:c>
      <x:c r="C333" s="128" t="str">
        <x:f>IF($A333="","",Locations!C213)</x:f>
      </x:c>
      <x:c r="D333" s="128" t="str">
        <x:f>IF($A333="","",Locations!D213)</x:f>
      </x:c>
      <x:c r="E333" s="128" t="str">
        <x:f>IF($A333="","",Locations!F213)</x:f>
      </x:c>
      <x:c r="F333" s="128" t="str">
        <x:f>IF($A333="","",Locations!E213)</x:f>
      </x:c>
      <x:c r="G333" s="128" t="str">
        <x:f>IF($A333="","","LOCATION")</x:f>
      </x:c>
      <x:c r="H333" s="128" t="str">
        <x:f>IF($A333="","","OK")</x:f>
      </x:c>
    </x:row>
    <x:row r="334">
      <x:c r="A334" s="128" t="str">
        <x:f>IF(AND(Locations!A214="Yes",Locations!I214="OK"),Locations!B214,"")</x:f>
      </x:c>
      <x:c r="B334" s="128" t="str">
        <x:f>IF($A334="","",XLOOKUP(Locations!B214,NOCsTbl[NOC ID],NOCsTbl[Display Name],""))</x:f>
      </x:c>
      <x:c r="C334" s="128" t="str">
        <x:f>IF($A334="","",Locations!C214)</x:f>
      </x:c>
      <x:c r="D334" s="128" t="str">
        <x:f>IF($A334="","",Locations!D214)</x:f>
      </x:c>
      <x:c r="E334" s="128" t="str">
        <x:f>IF($A334="","",Locations!F214)</x:f>
      </x:c>
      <x:c r="F334" s="128" t="str">
        <x:f>IF($A334="","",Locations!E214)</x:f>
      </x:c>
      <x:c r="G334" s="128" t="str">
        <x:f>IF($A334="","","LOCATION")</x:f>
      </x:c>
      <x:c r="H334" s="128" t="str">
        <x:f>IF($A334="","","OK")</x:f>
      </x:c>
    </x:row>
    <x:row r="335">
      <x:c r="A335" s="128" t="str">
        <x:f>IF(AND(Locations!A215="Yes",Locations!I215="OK"),Locations!B215,"")</x:f>
      </x:c>
      <x:c r="B335" s="128" t="str">
        <x:f>IF($A335="","",XLOOKUP(Locations!B215,NOCsTbl[NOC ID],NOCsTbl[Display Name],""))</x:f>
      </x:c>
      <x:c r="C335" s="128" t="str">
        <x:f>IF($A335="","",Locations!C215)</x:f>
      </x:c>
      <x:c r="D335" s="128" t="str">
        <x:f>IF($A335="","",Locations!D215)</x:f>
      </x:c>
      <x:c r="E335" s="128" t="str">
        <x:f>IF($A335="","",Locations!F215)</x:f>
      </x:c>
      <x:c r="F335" s="128" t="str">
        <x:f>IF($A335="","",Locations!E215)</x:f>
      </x:c>
      <x:c r="G335" s="128" t="str">
        <x:f>IF($A335="","","LOCATION")</x:f>
      </x:c>
      <x:c r="H335" s="128" t="str">
        <x:f>IF($A335="","","OK")</x:f>
      </x:c>
    </x:row>
    <x:row r="336">
      <x:c r="A336" s="128" t="str">
        <x:f>IF(AND(Locations!A216="Yes",Locations!I216="OK"),Locations!B216,"")</x:f>
      </x:c>
      <x:c r="B336" s="128" t="str">
        <x:f>IF($A336="","",XLOOKUP(Locations!B216,NOCsTbl[NOC ID],NOCsTbl[Display Name],""))</x:f>
      </x:c>
      <x:c r="C336" s="128" t="str">
        <x:f>IF($A336="","",Locations!C216)</x:f>
      </x:c>
      <x:c r="D336" s="128" t="str">
        <x:f>IF($A336="","",Locations!D216)</x:f>
      </x:c>
      <x:c r="E336" s="128" t="str">
        <x:f>IF($A336="","",Locations!F216)</x:f>
      </x:c>
      <x:c r="F336" s="128" t="str">
        <x:f>IF($A336="","",Locations!E216)</x:f>
      </x:c>
      <x:c r="G336" s="128" t="str">
        <x:f>IF($A336="","","LOCATION")</x:f>
      </x:c>
      <x:c r="H336" s="128" t="str">
        <x:f>IF($A336="","","OK")</x:f>
      </x:c>
    </x:row>
    <x:row r="337">
      <x:c r="A337" s="128" t="str">
        <x:f>IF(AND(Locations!A217="Yes",Locations!I217="OK"),Locations!B217,"")</x:f>
      </x:c>
      <x:c r="B337" s="128" t="str">
        <x:f>IF($A337="","",XLOOKUP(Locations!B217,NOCsTbl[NOC ID],NOCsTbl[Display Name],""))</x:f>
      </x:c>
      <x:c r="C337" s="128" t="str">
        <x:f>IF($A337="","",Locations!C217)</x:f>
      </x:c>
      <x:c r="D337" s="128" t="str">
        <x:f>IF($A337="","",Locations!D217)</x:f>
      </x:c>
      <x:c r="E337" s="128" t="str">
        <x:f>IF($A337="","",Locations!F217)</x:f>
      </x:c>
      <x:c r="F337" s="128" t="str">
        <x:f>IF($A337="","",Locations!E217)</x:f>
      </x:c>
      <x:c r="G337" s="128" t="str">
        <x:f>IF($A337="","","LOCATION")</x:f>
      </x:c>
      <x:c r="H337" s="128" t="str">
        <x:f>IF($A337="","","OK")</x:f>
      </x:c>
    </x:row>
    <x:row r="338">
      <x:c r="A338" s="128" t="str">
        <x:f>IF(AND(Locations!A218="Yes",Locations!I218="OK"),Locations!B218,"")</x:f>
      </x:c>
      <x:c r="B338" s="128" t="str">
        <x:f>IF($A338="","",XLOOKUP(Locations!B218,NOCsTbl[NOC ID],NOCsTbl[Display Name],""))</x:f>
      </x:c>
      <x:c r="C338" s="128" t="str">
        <x:f>IF($A338="","",Locations!C218)</x:f>
      </x:c>
      <x:c r="D338" s="128" t="str">
        <x:f>IF($A338="","",Locations!D218)</x:f>
      </x:c>
      <x:c r="E338" s="128" t="str">
        <x:f>IF($A338="","",Locations!F218)</x:f>
      </x:c>
      <x:c r="F338" s="128" t="str">
        <x:f>IF($A338="","",Locations!E218)</x:f>
      </x:c>
      <x:c r="G338" s="128" t="str">
        <x:f>IF($A338="","","LOCATION")</x:f>
      </x:c>
      <x:c r="H338" s="128" t="str">
        <x:f>IF($A338="","","OK")</x:f>
      </x:c>
    </x:row>
    <x:row r="339">
      <x:c r="A339" s="128" t="str">
        <x:f>IF(AND(Locations!A219="Yes",Locations!I219="OK"),Locations!B219,"")</x:f>
      </x:c>
      <x:c r="B339" s="128" t="str">
        <x:f>IF($A339="","",XLOOKUP(Locations!B219,NOCsTbl[NOC ID],NOCsTbl[Display Name],""))</x:f>
      </x:c>
      <x:c r="C339" s="128" t="str">
        <x:f>IF($A339="","",Locations!C219)</x:f>
      </x:c>
      <x:c r="D339" s="128" t="str">
        <x:f>IF($A339="","",Locations!D219)</x:f>
      </x:c>
      <x:c r="E339" s="128" t="str">
        <x:f>IF($A339="","",Locations!F219)</x:f>
      </x:c>
      <x:c r="F339" s="128" t="str">
        <x:f>IF($A339="","",Locations!E219)</x:f>
      </x:c>
      <x:c r="G339" s="128" t="str">
        <x:f>IF($A339="","","LOCATION")</x:f>
      </x:c>
      <x:c r="H339" s="128" t="str">
        <x:f>IF($A339="","","OK")</x:f>
      </x:c>
    </x:row>
    <x:row r="340">
      <x:c r="A340" s="128" t="str">
        <x:f>IF(AND(Locations!A220="Yes",Locations!I220="OK"),Locations!B220,"")</x:f>
      </x:c>
      <x:c r="B340" s="128" t="str">
        <x:f>IF($A340="","",XLOOKUP(Locations!B220,NOCsTbl[NOC ID],NOCsTbl[Display Name],""))</x:f>
      </x:c>
      <x:c r="C340" s="128" t="str">
        <x:f>IF($A340="","",Locations!C220)</x:f>
      </x:c>
      <x:c r="D340" s="128" t="str">
        <x:f>IF($A340="","",Locations!D220)</x:f>
      </x:c>
      <x:c r="E340" s="128" t="str">
        <x:f>IF($A340="","",Locations!F220)</x:f>
      </x:c>
      <x:c r="F340" s="128" t="str">
        <x:f>IF($A340="","",Locations!E220)</x:f>
      </x:c>
      <x:c r="G340" s="128" t="str">
        <x:f>IF($A340="","","LOCATION")</x:f>
      </x:c>
      <x:c r="H340" s="128" t="str">
        <x:f>IF($A340="","","OK")</x:f>
      </x:c>
    </x:row>
    <x:row r="341">
      <x:c r="A341" s="128" t="str">
        <x:f>IF(AND(Locations!A221="Yes",Locations!I221="OK"),Locations!B221,"")</x:f>
      </x:c>
      <x:c r="B341" s="128" t="str">
        <x:f>IF($A341="","",XLOOKUP(Locations!B221,NOCsTbl[NOC ID],NOCsTbl[Display Name],""))</x:f>
      </x:c>
      <x:c r="C341" s="128" t="str">
        <x:f>IF($A341="","",Locations!C221)</x:f>
      </x:c>
      <x:c r="D341" s="128" t="str">
        <x:f>IF($A341="","",Locations!D221)</x:f>
      </x:c>
      <x:c r="E341" s="128" t="str">
        <x:f>IF($A341="","",Locations!F221)</x:f>
      </x:c>
      <x:c r="F341" s="128" t="str">
        <x:f>IF($A341="","",Locations!E221)</x:f>
      </x:c>
      <x:c r="G341" s="128" t="str">
        <x:f>IF($A341="","","LOCATION")</x:f>
      </x:c>
      <x:c r="H341" s="128" t="str">
        <x:f>IF($A341="","","OK")</x:f>
      </x:c>
    </x:row>
    <x:row r="342">
      <x:c r="A342" s="128" t="str">
        <x:f>IF(AND(Locations!A222="Yes",Locations!I222="OK"),Locations!B222,"")</x:f>
      </x:c>
      <x:c r="B342" s="128" t="str">
        <x:f>IF($A342="","",XLOOKUP(Locations!B222,NOCsTbl[NOC ID],NOCsTbl[Display Name],""))</x:f>
      </x:c>
      <x:c r="C342" s="128" t="str">
        <x:f>IF($A342="","",Locations!C222)</x:f>
      </x:c>
      <x:c r="D342" s="128" t="str">
        <x:f>IF($A342="","",Locations!D222)</x:f>
      </x:c>
      <x:c r="E342" s="128" t="str">
        <x:f>IF($A342="","",Locations!F222)</x:f>
      </x:c>
      <x:c r="F342" s="128" t="str">
        <x:f>IF($A342="","",Locations!E222)</x:f>
      </x:c>
      <x:c r="G342" s="128" t="str">
        <x:f>IF($A342="","","LOCATION")</x:f>
      </x:c>
      <x:c r="H342" s="128" t="str">
        <x:f>IF($A342="","","OK")</x:f>
      </x:c>
    </x:row>
    <x:row r="343">
      <x:c r="A343" s="128" t="str">
        <x:f>IF(AND(Locations!A223="Yes",Locations!I223="OK"),Locations!B223,"")</x:f>
      </x:c>
      <x:c r="B343" s="128" t="str">
        <x:f>IF($A343="","",XLOOKUP(Locations!B223,NOCsTbl[NOC ID],NOCsTbl[Display Name],""))</x:f>
      </x:c>
      <x:c r="C343" s="128" t="str">
        <x:f>IF($A343="","",Locations!C223)</x:f>
      </x:c>
      <x:c r="D343" s="128" t="str">
        <x:f>IF($A343="","",Locations!D223)</x:f>
      </x:c>
      <x:c r="E343" s="128" t="str">
        <x:f>IF($A343="","",Locations!F223)</x:f>
      </x:c>
      <x:c r="F343" s="128" t="str">
        <x:f>IF($A343="","",Locations!E223)</x:f>
      </x:c>
      <x:c r="G343" s="128" t="str">
        <x:f>IF($A343="","","LOCATION")</x:f>
      </x:c>
      <x:c r="H343" s="128" t="str">
        <x:f>IF($A343="","","OK")</x:f>
      </x:c>
    </x:row>
    <x:row r="344">
      <x:c r="A344" s="128" t="str">
        <x:f>IF(AND(Locations!A224="Yes",Locations!I224="OK"),Locations!B224,"")</x:f>
      </x:c>
      <x:c r="B344" s="128" t="str">
        <x:f>IF($A344="","",XLOOKUP(Locations!B224,NOCsTbl[NOC ID],NOCsTbl[Display Name],""))</x:f>
      </x:c>
      <x:c r="C344" s="128" t="str">
        <x:f>IF($A344="","",Locations!C224)</x:f>
      </x:c>
      <x:c r="D344" s="128" t="str">
        <x:f>IF($A344="","",Locations!D224)</x:f>
      </x:c>
      <x:c r="E344" s="128" t="str">
        <x:f>IF($A344="","",Locations!F224)</x:f>
      </x:c>
      <x:c r="F344" s="128" t="str">
        <x:f>IF($A344="","",Locations!E224)</x:f>
      </x:c>
      <x:c r="G344" s="128" t="str">
        <x:f>IF($A344="","","LOCATION")</x:f>
      </x:c>
      <x:c r="H344" s="128" t="str">
        <x:f>IF($A344="","","OK")</x:f>
      </x:c>
    </x:row>
    <x:row r="345">
      <x:c r="A345" s="128" t="str">
        <x:f>IF(AND(Locations!A225="Yes",Locations!I225="OK"),Locations!B225,"")</x:f>
      </x:c>
      <x:c r="B345" s="128" t="str">
        <x:f>IF($A345="","",XLOOKUP(Locations!B225,NOCsTbl[NOC ID],NOCsTbl[Display Name],""))</x:f>
      </x:c>
      <x:c r="C345" s="128" t="str">
        <x:f>IF($A345="","",Locations!C225)</x:f>
      </x:c>
      <x:c r="D345" s="128" t="str">
        <x:f>IF($A345="","",Locations!D225)</x:f>
      </x:c>
      <x:c r="E345" s="128" t="str">
        <x:f>IF($A345="","",Locations!F225)</x:f>
      </x:c>
      <x:c r="F345" s="128" t="str">
        <x:f>IF($A345="","",Locations!E225)</x:f>
      </x:c>
      <x:c r="G345" s="128" t="str">
        <x:f>IF($A345="","","LOCATION")</x:f>
      </x:c>
      <x:c r="H345" s="128" t="str">
        <x:f>IF($A345="","","OK")</x:f>
      </x:c>
    </x:row>
    <x:row r="346">
      <x:c r="A346" s="128" t="str">
        <x:f>IF(AND(Locations!A226="Yes",Locations!I226="OK"),Locations!B226,"")</x:f>
      </x:c>
      <x:c r="B346" s="128" t="str">
        <x:f>IF($A346="","",XLOOKUP(Locations!B226,NOCsTbl[NOC ID],NOCsTbl[Display Name],""))</x:f>
      </x:c>
      <x:c r="C346" s="128" t="str">
        <x:f>IF($A346="","",Locations!C226)</x:f>
      </x:c>
      <x:c r="D346" s="128" t="str">
        <x:f>IF($A346="","",Locations!D226)</x:f>
      </x:c>
      <x:c r="E346" s="128" t="str">
        <x:f>IF($A346="","",Locations!F226)</x:f>
      </x:c>
      <x:c r="F346" s="128" t="str">
        <x:f>IF($A346="","",Locations!E226)</x:f>
      </x:c>
      <x:c r="G346" s="128" t="str">
        <x:f>IF($A346="","","LOCATION")</x:f>
      </x:c>
      <x:c r="H346" s="128" t="str">
        <x:f>IF($A346="","","OK")</x:f>
      </x:c>
    </x:row>
    <x:row r="347">
      <x:c r="A347" s="128" t="str">
        <x:f>IF(AND(Locations!A227="Yes",Locations!I227="OK"),Locations!B227,"")</x:f>
      </x:c>
      <x:c r="B347" s="128" t="str">
        <x:f>IF($A347="","",XLOOKUP(Locations!B227,NOCsTbl[NOC ID],NOCsTbl[Display Name],""))</x:f>
      </x:c>
      <x:c r="C347" s="128" t="str">
        <x:f>IF($A347="","",Locations!C227)</x:f>
      </x:c>
      <x:c r="D347" s="128" t="str">
        <x:f>IF($A347="","",Locations!D227)</x:f>
      </x:c>
      <x:c r="E347" s="128" t="str">
        <x:f>IF($A347="","",Locations!F227)</x:f>
      </x:c>
      <x:c r="F347" s="128" t="str">
        <x:f>IF($A347="","",Locations!E227)</x:f>
      </x:c>
      <x:c r="G347" s="128" t="str">
        <x:f>IF($A347="","","LOCATION")</x:f>
      </x:c>
      <x:c r="H347" s="128" t="str">
        <x:f>IF($A347="","","OK")</x:f>
      </x:c>
    </x:row>
    <x:row r="348">
      <x:c r="A348" s="128" t="str">
        <x:f>IF(AND(Locations!A228="Yes",Locations!I228="OK"),Locations!B228,"")</x:f>
      </x:c>
      <x:c r="B348" s="128" t="str">
        <x:f>IF($A348="","",XLOOKUP(Locations!B228,NOCsTbl[NOC ID],NOCsTbl[Display Name],""))</x:f>
      </x:c>
      <x:c r="C348" s="128" t="str">
        <x:f>IF($A348="","",Locations!C228)</x:f>
      </x:c>
      <x:c r="D348" s="128" t="str">
        <x:f>IF($A348="","",Locations!D228)</x:f>
      </x:c>
      <x:c r="E348" s="128" t="str">
        <x:f>IF($A348="","",Locations!F228)</x:f>
      </x:c>
      <x:c r="F348" s="128" t="str">
        <x:f>IF($A348="","",Locations!E228)</x:f>
      </x:c>
      <x:c r="G348" s="128" t="str">
        <x:f>IF($A348="","","LOCATION")</x:f>
      </x:c>
      <x:c r="H348" s="128" t="str">
        <x:f>IF($A348="","","OK")</x:f>
      </x:c>
    </x:row>
    <x:row r="349">
      <x:c r="A349" s="128" t="str">
        <x:f>IF(AND(Locations!A229="Yes",Locations!I229="OK"),Locations!B229,"")</x:f>
      </x:c>
      <x:c r="B349" s="128" t="str">
        <x:f>IF($A349="","",XLOOKUP(Locations!B229,NOCsTbl[NOC ID],NOCsTbl[Display Name],""))</x:f>
      </x:c>
      <x:c r="C349" s="128" t="str">
        <x:f>IF($A349="","",Locations!C229)</x:f>
      </x:c>
      <x:c r="D349" s="128" t="str">
        <x:f>IF($A349="","",Locations!D229)</x:f>
      </x:c>
      <x:c r="E349" s="128" t="str">
        <x:f>IF($A349="","",Locations!F229)</x:f>
      </x:c>
      <x:c r="F349" s="128" t="str">
        <x:f>IF($A349="","",Locations!E229)</x:f>
      </x:c>
      <x:c r="G349" s="128" t="str">
        <x:f>IF($A349="","","LOCATION")</x:f>
      </x:c>
      <x:c r="H349" s="128" t="str">
        <x:f>IF($A349="","","OK")</x:f>
      </x:c>
    </x:row>
    <x:row r="350">
      <x:c r="A350" s="128" t="str">
        <x:f>IF(AND(Locations!A230="Yes",Locations!I230="OK"),Locations!B230,"")</x:f>
      </x:c>
      <x:c r="B350" s="128" t="str">
        <x:f>IF($A350="","",XLOOKUP(Locations!B230,NOCsTbl[NOC ID],NOCsTbl[Display Name],""))</x:f>
      </x:c>
      <x:c r="C350" s="128" t="str">
        <x:f>IF($A350="","",Locations!C230)</x:f>
      </x:c>
      <x:c r="D350" s="128" t="str">
        <x:f>IF($A350="","",Locations!D230)</x:f>
      </x:c>
      <x:c r="E350" s="128" t="str">
        <x:f>IF($A350="","",Locations!F230)</x:f>
      </x:c>
      <x:c r="F350" s="128" t="str">
        <x:f>IF($A350="","",Locations!E230)</x:f>
      </x:c>
      <x:c r="G350" s="128" t="str">
        <x:f>IF($A350="","","LOCATION")</x:f>
      </x:c>
      <x:c r="H350" s="128" t="str">
        <x:f>IF($A350="","","OK")</x:f>
      </x:c>
    </x:row>
    <x:row r="351">
      <x:c r="A351" s="128" t="str">
        <x:f>IF(AND(Locations!A231="Yes",Locations!I231="OK"),Locations!B231,"")</x:f>
      </x:c>
      <x:c r="B351" s="128" t="str">
        <x:f>IF($A351="","",XLOOKUP(Locations!B231,NOCsTbl[NOC ID],NOCsTbl[Display Name],""))</x:f>
      </x:c>
      <x:c r="C351" s="128" t="str">
        <x:f>IF($A351="","",Locations!C231)</x:f>
      </x:c>
      <x:c r="D351" s="128" t="str">
        <x:f>IF($A351="","",Locations!D231)</x:f>
      </x:c>
      <x:c r="E351" s="128" t="str">
        <x:f>IF($A351="","",Locations!F231)</x:f>
      </x:c>
      <x:c r="F351" s="128" t="str">
        <x:f>IF($A351="","",Locations!E231)</x:f>
      </x:c>
      <x:c r="G351" s="128" t="str">
        <x:f>IF($A351="","","LOCATION")</x:f>
      </x:c>
      <x:c r="H351" s="128" t="str">
        <x:f>IF($A351="","","OK")</x:f>
      </x:c>
    </x:row>
    <x:row r="352">
      <x:c r="A352" s="128" t="str">
        <x:f>IF(AND(Locations!A232="Yes",Locations!I232="OK"),Locations!B232,"")</x:f>
      </x:c>
      <x:c r="B352" s="128" t="str">
        <x:f>IF($A352="","",XLOOKUP(Locations!B232,NOCsTbl[NOC ID],NOCsTbl[Display Name],""))</x:f>
      </x:c>
      <x:c r="C352" s="128" t="str">
        <x:f>IF($A352="","",Locations!C232)</x:f>
      </x:c>
      <x:c r="D352" s="128" t="str">
        <x:f>IF($A352="","",Locations!D232)</x:f>
      </x:c>
      <x:c r="E352" s="128" t="str">
        <x:f>IF($A352="","",Locations!F232)</x:f>
      </x:c>
      <x:c r="F352" s="128" t="str">
        <x:f>IF($A352="","",Locations!E232)</x:f>
      </x:c>
      <x:c r="G352" s="128" t="str">
        <x:f>IF($A352="","","LOCATION")</x:f>
      </x:c>
      <x:c r="H352" s="128" t="str">
        <x:f>IF($A352="","","OK")</x:f>
      </x:c>
    </x:row>
    <x:row r="353">
      <x:c r="A353" s="128" t="str">
        <x:f>IF(AND(Locations!A233="Yes",Locations!I233="OK"),Locations!B233,"")</x:f>
      </x:c>
      <x:c r="B353" s="128" t="str">
        <x:f>IF($A353="","",XLOOKUP(Locations!B233,NOCsTbl[NOC ID],NOCsTbl[Display Name],""))</x:f>
      </x:c>
      <x:c r="C353" s="128" t="str">
        <x:f>IF($A353="","",Locations!C233)</x:f>
      </x:c>
      <x:c r="D353" s="128" t="str">
        <x:f>IF($A353="","",Locations!D233)</x:f>
      </x:c>
      <x:c r="E353" s="128" t="str">
        <x:f>IF($A353="","",Locations!F233)</x:f>
      </x:c>
      <x:c r="F353" s="128" t="str">
        <x:f>IF($A353="","",Locations!E233)</x:f>
      </x:c>
      <x:c r="G353" s="128" t="str">
        <x:f>IF($A353="","","LOCATION")</x:f>
      </x:c>
      <x:c r="H353" s="128" t="str">
        <x:f>IF($A353="","","OK")</x:f>
      </x:c>
    </x:row>
    <x:row r="354">
      <x:c r="A354" s="128" t="str">
        <x:f>IF(AND(Locations!A234="Yes",Locations!I234="OK"),Locations!B234,"")</x:f>
      </x:c>
      <x:c r="B354" s="128" t="str">
        <x:f>IF($A354="","",XLOOKUP(Locations!B234,NOCsTbl[NOC ID],NOCsTbl[Display Name],""))</x:f>
      </x:c>
      <x:c r="C354" s="128" t="str">
        <x:f>IF($A354="","",Locations!C234)</x:f>
      </x:c>
      <x:c r="D354" s="128" t="str">
        <x:f>IF($A354="","",Locations!D234)</x:f>
      </x:c>
      <x:c r="E354" s="128" t="str">
        <x:f>IF($A354="","",Locations!F234)</x:f>
      </x:c>
      <x:c r="F354" s="128" t="str">
        <x:f>IF($A354="","",Locations!E234)</x:f>
      </x:c>
      <x:c r="G354" s="128" t="str">
        <x:f>IF($A354="","","LOCATION")</x:f>
      </x:c>
      <x:c r="H354" s="128" t="str">
        <x:f>IF($A354="","","OK")</x:f>
      </x:c>
    </x:row>
    <x:row r="355">
      <x:c r="A355" s="128" t="str">
        <x:f>IF(AND(Locations!A235="Yes",Locations!I235="OK"),Locations!B235,"")</x:f>
      </x:c>
      <x:c r="B355" s="128" t="str">
        <x:f>IF($A355="","",XLOOKUP(Locations!B235,NOCsTbl[NOC ID],NOCsTbl[Display Name],""))</x:f>
      </x:c>
      <x:c r="C355" s="128" t="str">
        <x:f>IF($A355="","",Locations!C235)</x:f>
      </x:c>
      <x:c r="D355" s="128" t="str">
        <x:f>IF($A355="","",Locations!D235)</x:f>
      </x:c>
      <x:c r="E355" s="128" t="str">
        <x:f>IF($A355="","",Locations!F235)</x:f>
      </x:c>
      <x:c r="F355" s="128" t="str">
        <x:f>IF($A355="","",Locations!E235)</x:f>
      </x:c>
      <x:c r="G355" s="128" t="str">
        <x:f>IF($A355="","","LOCATION")</x:f>
      </x:c>
      <x:c r="H355" s="128" t="str">
        <x:f>IF($A355="","","OK")</x:f>
      </x:c>
    </x:row>
    <x:row r="356">
      <x:c r="A356" s="128" t="str">
        <x:f>IF(AND(Locations!A236="Yes",Locations!I236="OK"),Locations!B236,"")</x:f>
      </x:c>
      <x:c r="B356" s="128" t="str">
        <x:f>IF($A356="","",XLOOKUP(Locations!B236,NOCsTbl[NOC ID],NOCsTbl[Display Name],""))</x:f>
      </x:c>
      <x:c r="C356" s="128" t="str">
        <x:f>IF($A356="","",Locations!C236)</x:f>
      </x:c>
      <x:c r="D356" s="128" t="str">
        <x:f>IF($A356="","",Locations!D236)</x:f>
      </x:c>
      <x:c r="E356" s="128" t="str">
        <x:f>IF($A356="","",Locations!F236)</x:f>
      </x:c>
      <x:c r="F356" s="128" t="str">
        <x:f>IF($A356="","",Locations!E236)</x:f>
      </x:c>
      <x:c r="G356" s="128" t="str">
        <x:f>IF($A356="","","LOCATION")</x:f>
      </x:c>
      <x:c r="H356" s="128" t="str">
        <x:f>IF($A356="","","OK")</x:f>
      </x:c>
    </x:row>
    <x:row r="357">
      <x:c r="A357" s="128" t="str">
        <x:f>IF(AND(Locations!A237="Yes",Locations!I237="OK"),Locations!B237,"")</x:f>
      </x:c>
      <x:c r="B357" s="128" t="str">
        <x:f>IF($A357="","",XLOOKUP(Locations!B237,NOCsTbl[NOC ID],NOCsTbl[Display Name],""))</x:f>
      </x:c>
      <x:c r="C357" s="128" t="str">
        <x:f>IF($A357="","",Locations!C237)</x:f>
      </x:c>
      <x:c r="D357" s="128" t="str">
        <x:f>IF($A357="","",Locations!D237)</x:f>
      </x:c>
      <x:c r="E357" s="128" t="str">
        <x:f>IF($A357="","",Locations!F237)</x:f>
      </x:c>
      <x:c r="F357" s="128" t="str">
        <x:f>IF($A357="","",Locations!E237)</x:f>
      </x:c>
      <x:c r="G357" s="128" t="str">
        <x:f>IF($A357="","","LOCATION")</x:f>
      </x:c>
      <x:c r="H357" s="128" t="str">
        <x:f>IF($A357="","","OK")</x:f>
      </x:c>
    </x:row>
    <x:row r="358">
      <x:c r="A358" s="128" t="str">
        <x:f>IF(AND(Locations!A238="Yes",Locations!I238="OK"),Locations!B238,"")</x:f>
      </x:c>
      <x:c r="B358" s="128" t="str">
        <x:f>IF($A358="","",XLOOKUP(Locations!B238,NOCsTbl[NOC ID],NOCsTbl[Display Name],""))</x:f>
      </x:c>
      <x:c r="C358" s="128" t="str">
        <x:f>IF($A358="","",Locations!C238)</x:f>
      </x:c>
      <x:c r="D358" s="128" t="str">
        <x:f>IF($A358="","",Locations!D238)</x:f>
      </x:c>
      <x:c r="E358" s="128" t="str">
        <x:f>IF($A358="","",Locations!F238)</x:f>
      </x:c>
      <x:c r="F358" s="128" t="str">
        <x:f>IF($A358="","",Locations!E238)</x:f>
      </x:c>
      <x:c r="G358" s="128" t="str">
        <x:f>IF($A358="","","LOCATION")</x:f>
      </x:c>
      <x:c r="H358" s="128" t="str">
        <x:f>IF($A358="","","OK")</x:f>
      </x:c>
    </x:row>
    <x:row r="359">
      <x:c r="A359" s="128" t="str">
        <x:f>IF(AND(Locations!A239="Yes",Locations!I239="OK"),Locations!B239,"")</x:f>
      </x:c>
      <x:c r="B359" s="128" t="str">
        <x:f>IF($A359="","",XLOOKUP(Locations!B239,NOCsTbl[NOC ID],NOCsTbl[Display Name],""))</x:f>
      </x:c>
      <x:c r="C359" s="128" t="str">
        <x:f>IF($A359="","",Locations!C239)</x:f>
      </x:c>
      <x:c r="D359" s="128" t="str">
        <x:f>IF($A359="","",Locations!D239)</x:f>
      </x:c>
      <x:c r="E359" s="128" t="str">
        <x:f>IF($A359="","",Locations!F239)</x:f>
      </x:c>
      <x:c r="F359" s="128" t="str">
        <x:f>IF($A359="","",Locations!E239)</x:f>
      </x:c>
      <x:c r="G359" s="128" t="str">
        <x:f>IF($A359="","","LOCATION")</x:f>
      </x:c>
      <x:c r="H359" s="128" t="str">
        <x:f>IF($A359="","","OK")</x:f>
      </x:c>
    </x:row>
    <x:row r="360">
      <x:c r="A360" s="128" t="str">
        <x:f>IF(AND(Locations!A240="Yes",Locations!I240="OK"),Locations!B240,"")</x:f>
      </x:c>
      <x:c r="B360" s="128" t="str">
        <x:f>IF($A360="","",XLOOKUP(Locations!B240,NOCsTbl[NOC ID],NOCsTbl[Display Name],""))</x:f>
      </x:c>
      <x:c r="C360" s="128" t="str">
        <x:f>IF($A360="","",Locations!C240)</x:f>
      </x:c>
      <x:c r="D360" s="128" t="str">
        <x:f>IF($A360="","",Locations!D240)</x:f>
      </x:c>
      <x:c r="E360" s="128" t="str">
        <x:f>IF($A360="","",Locations!F240)</x:f>
      </x:c>
      <x:c r="F360" s="128" t="str">
        <x:f>IF($A360="","",Locations!E240)</x:f>
      </x:c>
      <x:c r="G360" s="128" t="str">
        <x:f>IF($A360="","","LOCATION")</x:f>
      </x:c>
      <x:c r="H360" s="128" t="str">
        <x:f>IF($A360="","","OK")</x:f>
      </x:c>
    </x:row>
    <x:row r="361">
      <x:c r="A361" s="128" t="str">
        <x:f>IF(AND(Locations!A241="Yes",Locations!I241="OK"),Locations!B241,"")</x:f>
      </x:c>
      <x:c r="B361" s="128" t="str">
        <x:f>IF($A361="","",XLOOKUP(Locations!B241,NOCsTbl[NOC ID],NOCsTbl[Display Name],""))</x:f>
      </x:c>
      <x:c r="C361" s="128" t="str">
        <x:f>IF($A361="","",Locations!C241)</x:f>
      </x:c>
      <x:c r="D361" s="128" t="str">
        <x:f>IF($A361="","",Locations!D241)</x:f>
      </x:c>
      <x:c r="E361" s="128" t="str">
        <x:f>IF($A361="","",Locations!F241)</x:f>
      </x:c>
      <x:c r="F361" s="128" t="str">
        <x:f>IF($A361="","",Locations!E241)</x:f>
      </x:c>
      <x:c r="G361" s="128" t="str">
        <x:f>IF($A361="","","LOCATION")</x:f>
      </x:c>
      <x:c r="H361" s="128" t="str">
        <x:f>IF($A361="","","OK")</x:f>
      </x:c>
    </x:row>
    <x:row r="362">
      <x:c r="A362" s="128" t="str">
        <x:f>IF(AND(Locations!A242="Yes",Locations!I242="OK"),Locations!B242,"")</x:f>
      </x:c>
      <x:c r="B362" s="128" t="str">
        <x:f>IF($A362="","",XLOOKUP(Locations!B242,NOCsTbl[NOC ID],NOCsTbl[Display Name],""))</x:f>
      </x:c>
      <x:c r="C362" s="128" t="str">
        <x:f>IF($A362="","",Locations!C242)</x:f>
      </x:c>
      <x:c r="D362" s="128" t="str">
        <x:f>IF($A362="","",Locations!D242)</x:f>
      </x:c>
      <x:c r="E362" s="128" t="str">
        <x:f>IF($A362="","",Locations!F242)</x:f>
      </x:c>
      <x:c r="F362" s="128" t="str">
        <x:f>IF($A362="","",Locations!E242)</x:f>
      </x:c>
      <x:c r="G362" s="128" t="str">
        <x:f>IF($A362="","","LOCATION")</x:f>
      </x:c>
      <x:c r="H362" s="128" t="str">
        <x:f>IF($A362="","","OK")</x:f>
      </x:c>
    </x:row>
    <x:row r="363">
      <x:c r="A363" s="128" t="str">
        <x:f>IF(AND(Locations!A243="Yes",Locations!I243="OK"),Locations!B243,"")</x:f>
      </x:c>
      <x:c r="B363" s="128" t="str">
        <x:f>IF($A363="","",XLOOKUP(Locations!B243,NOCsTbl[NOC ID],NOCsTbl[Display Name],""))</x:f>
      </x:c>
      <x:c r="C363" s="128" t="str">
        <x:f>IF($A363="","",Locations!C243)</x:f>
      </x:c>
      <x:c r="D363" s="128" t="str">
        <x:f>IF($A363="","",Locations!D243)</x:f>
      </x:c>
      <x:c r="E363" s="128" t="str">
        <x:f>IF($A363="","",Locations!F243)</x:f>
      </x:c>
      <x:c r="F363" s="128" t="str">
        <x:f>IF($A363="","",Locations!E243)</x:f>
      </x:c>
      <x:c r="G363" s="128" t="str">
        <x:f>IF($A363="","","LOCATION")</x:f>
      </x:c>
      <x:c r="H363" s="128" t="str">
        <x:f>IF($A363="","","OK")</x:f>
      </x:c>
    </x:row>
    <x:row r="364">
      <x:c r="A364" s="128" t="str">
        <x:f>IF(AND(Locations!A244="Yes",Locations!I244="OK"),Locations!B244,"")</x:f>
      </x:c>
      <x:c r="B364" s="128" t="str">
        <x:f>IF($A364="","",XLOOKUP(Locations!B244,NOCsTbl[NOC ID],NOCsTbl[Display Name],""))</x:f>
      </x:c>
      <x:c r="C364" s="128" t="str">
        <x:f>IF($A364="","",Locations!C244)</x:f>
      </x:c>
      <x:c r="D364" s="128" t="str">
        <x:f>IF($A364="","",Locations!D244)</x:f>
      </x:c>
      <x:c r="E364" s="128" t="str">
        <x:f>IF($A364="","",Locations!F244)</x:f>
      </x:c>
      <x:c r="F364" s="128" t="str">
        <x:f>IF($A364="","",Locations!E244)</x:f>
      </x:c>
      <x:c r="G364" s="128" t="str">
        <x:f>IF($A364="","","LOCATION")</x:f>
      </x:c>
      <x:c r="H364" s="128" t="str">
        <x:f>IF($A364="","","OK")</x:f>
      </x:c>
    </x:row>
    <x:row r="365">
      <x:c r="A365" s="128" t="str">
        <x:f>IF(AND(Locations!A245="Yes",Locations!I245="OK"),Locations!B245,"")</x:f>
      </x:c>
      <x:c r="B365" s="128" t="str">
        <x:f>IF($A365="","",XLOOKUP(Locations!B245,NOCsTbl[NOC ID],NOCsTbl[Display Name],""))</x:f>
      </x:c>
      <x:c r="C365" s="128" t="str">
        <x:f>IF($A365="","",Locations!C245)</x:f>
      </x:c>
      <x:c r="D365" s="128" t="str">
        <x:f>IF($A365="","",Locations!D245)</x:f>
      </x:c>
      <x:c r="E365" s="128" t="str">
        <x:f>IF($A365="","",Locations!F245)</x:f>
      </x:c>
      <x:c r="F365" s="128" t="str">
        <x:f>IF($A365="","",Locations!E245)</x:f>
      </x:c>
      <x:c r="G365" s="128" t="str">
        <x:f>IF($A365="","","LOCATION")</x:f>
      </x:c>
      <x:c r="H365" s="128" t="str">
        <x:f>IF($A365="","","OK")</x:f>
      </x:c>
    </x:row>
    <x:row r="366">
      <x:c r="A366" s="128" t="str">
        <x:f>IF(AND(Locations!A246="Yes",Locations!I246="OK"),Locations!B246,"")</x:f>
      </x:c>
      <x:c r="B366" s="128" t="str">
        <x:f>IF($A366="","",XLOOKUP(Locations!B246,NOCsTbl[NOC ID],NOCsTbl[Display Name],""))</x:f>
      </x:c>
      <x:c r="C366" s="128" t="str">
        <x:f>IF($A366="","",Locations!C246)</x:f>
      </x:c>
      <x:c r="D366" s="128" t="str">
        <x:f>IF($A366="","",Locations!D246)</x:f>
      </x:c>
      <x:c r="E366" s="128" t="str">
        <x:f>IF($A366="","",Locations!F246)</x:f>
      </x:c>
      <x:c r="F366" s="128" t="str">
        <x:f>IF($A366="","",Locations!E246)</x:f>
      </x:c>
      <x:c r="G366" s="128" t="str">
        <x:f>IF($A366="","","LOCATION")</x:f>
      </x:c>
      <x:c r="H366" s="128" t="str">
        <x:f>IF($A366="","","OK")</x:f>
      </x:c>
    </x:row>
    <x:row r="367">
      <x:c r="A367" s="128" t="str">
        <x:f>IF(AND(Locations!A247="Yes",Locations!I247="OK"),Locations!B247,"")</x:f>
      </x:c>
      <x:c r="B367" s="128" t="str">
        <x:f>IF($A367="","",XLOOKUP(Locations!B247,NOCsTbl[NOC ID],NOCsTbl[Display Name],""))</x:f>
      </x:c>
      <x:c r="C367" s="128" t="str">
        <x:f>IF($A367="","",Locations!C247)</x:f>
      </x:c>
      <x:c r="D367" s="128" t="str">
        <x:f>IF($A367="","",Locations!D247)</x:f>
      </x:c>
      <x:c r="E367" s="128" t="str">
        <x:f>IF($A367="","",Locations!F247)</x:f>
      </x:c>
      <x:c r="F367" s="128" t="str">
        <x:f>IF($A367="","",Locations!E247)</x:f>
      </x:c>
      <x:c r="G367" s="128" t="str">
        <x:f>IF($A367="","","LOCATION")</x:f>
      </x:c>
      <x:c r="H367" s="128" t="str">
        <x:f>IF($A367="","","OK")</x:f>
      </x:c>
    </x:row>
    <x:row r="368">
      <x:c r="A368" s="128" t="str">
        <x:f>IF(AND(Locations!A248="Yes",Locations!I248="OK"),Locations!B248,"")</x:f>
      </x:c>
      <x:c r="B368" s="128" t="str">
        <x:f>IF($A368="","",XLOOKUP(Locations!B248,NOCsTbl[NOC ID],NOCsTbl[Display Name],""))</x:f>
      </x:c>
      <x:c r="C368" s="128" t="str">
        <x:f>IF($A368="","",Locations!C248)</x:f>
      </x:c>
      <x:c r="D368" s="128" t="str">
        <x:f>IF($A368="","",Locations!D248)</x:f>
      </x:c>
      <x:c r="E368" s="128" t="str">
        <x:f>IF($A368="","",Locations!F248)</x:f>
      </x:c>
      <x:c r="F368" s="128" t="str">
        <x:f>IF($A368="","",Locations!E248)</x:f>
      </x:c>
      <x:c r="G368" s="128" t="str">
        <x:f>IF($A368="","","LOCATION")</x:f>
      </x:c>
      <x:c r="H368" s="128" t="str">
        <x:f>IF($A368="","","OK")</x:f>
      </x:c>
    </x:row>
    <x:row r="369">
      <x:c r="A369" s="128" t="str">
        <x:f>IF(AND(Locations!A249="Yes",Locations!I249="OK"),Locations!B249,"")</x:f>
      </x:c>
      <x:c r="B369" s="128" t="str">
        <x:f>IF($A369="","",XLOOKUP(Locations!B249,NOCsTbl[NOC ID],NOCsTbl[Display Name],""))</x:f>
      </x:c>
      <x:c r="C369" s="128" t="str">
        <x:f>IF($A369="","",Locations!C249)</x:f>
      </x:c>
      <x:c r="D369" s="128" t="str">
        <x:f>IF($A369="","",Locations!D249)</x:f>
      </x:c>
      <x:c r="E369" s="128" t="str">
        <x:f>IF($A369="","",Locations!F249)</x:f>
      </x:c>
      <x:c r="F369" s="128" t="str">
        <x:f>IF($A369="","",Locations!E249)</x:f>
      </x:c>
      <x:c r="G369" s="128" t="str">
        <x:f>IF($A369="","","LOCATION")</x:f>
      </x:c>
      <x:c r="H369" s="128" t="str">
        <x:f>IF($A369="","","OK")</x:f>
      </x:c>
    </x:row>
    <x:row r="370">
      <x:c r="A370" s="128" t="str">
        <x:f>IF(AND(Locations!A250="Yes",Locations!I250="OK"),Locations!B250,"")</x:f>
      </x:c>
      <x:c r="B370" s="128" t="str">
        <x:f>IF($A370="","",XLOOKUP(Locations!B250,NOCsTbl[NOC ID],NOCsTbl[Display Name],""))</x:f>
      </x:c>
      <x:c r="C370" s="128" t="str">
        <x:f>IF($A370="","",Locations!C250)</x:f>
      </x:c>
      <x:c r="D370" s="128" t="str">
        <x:f>IF($A370="","",Locations!D250)</x:f>
      </x:c>
      <x:c r="E370" s="128" t="str">
        <x:f>IF($A370="","",Locations!F250)</x:f>
      </x:c>
      <x:c r="F370" s="128" t="str">
        <x:f>IF($A370="","",Locations!E250)</x:f>
      </x:c>
      <x:c r="G370" s="128" t="str">
        <x:f>IF($A370="","","LOCATION")</x:f>
      </x:c>
      <x:c r="H370" s="128" t="str">
        <x:f>IF($A370="","","OK")</x:f>
      </x:c>
    </x:row>
    <x:row r="371">
      <x:c r="A371" s="128" t="str">
        <x:f>IF(AND(Locations!A251="Yes",Locations!I251="OK"),Locations!B251,"")</x:f>
      </x:c>
      <x:c r="B371" s="128" t="str">
        <x:f>IF($A371="","",XLOOKUP(Locations!B251,NOCsTbl[NOC ID],NOCsTbl[Display Name],""))</x:f>
      </x:c>
      <x:c r="C371" s="128" t="str">
        <x:f>IF($A371="","",Locations!C251)</x:f>
      </x:c>
      <x:c r="D371" s="128" t="str">
        <x:f>IF($A371="","",Locations!D251)</x:f>
      </x:c>
      <x:c r="E371" s="128" t="str">
        <x:f>IF($A371="","",Locations!F251)</x:f>
      </x:c>
      <x:c r="F371" s="128" t="str">
        <x:f>IF($A371="","",Locations!E251)</x:f>
      </x:c>
      <x:c r="G371" s="128" t="str">
        <x:f>IF($A371="","","LOCATION")</x:f>
      </x:c>
      <x:c r="H371" s="128" t="str">
        <x:f>IF($A371="","","OK")</x:f>
      </x:c>
    </x:row>
    <x:row r="372">
      <x:c r="A372" s="128" t="str">
        <x:f>IF(AND(Locations!A252="Yes",Locations!I252="OK"),Locations!B252,"")</x:f>
      </x:c>
      <x:c r="B372" s="128" t="str">
        <x:f>IF($A372="","",XLOOKUP(Locations!B252,NOCsTbl[NOC ID],NOCsTbl[Display Name],""))</x:f>
      </x:c>
      <x:c r="C372" s="128" t="str">
        <x:f>IF($A372="","",Locations!C252)</x:f>
      </x:c>
      <x:c r="D372" s="128" t="str">
        <x:f>IF($A372="","",Locations!D252)</x:f>
      </x:c>
      <x:c r="E372" s="128" t="str">
        <x:f>IF($A372="","",Locations!F252)</x:f>
      </x:c>
      <x:c r="F372" s="128" t="str">
        <x:f>IF($A372="","",Locations!E252)</x:f>
      </x:c>
      <x:c r="G372" s="128" t="str">
        <x:f>IF($A372="","","LOCATION")</x:f>
      </x:c>
      <x:c r="H372" s="128" t="str">
        <x:f>IF($A372="","","OK")</x:f>
      </x:c>
    </x:row>
    <x:row r="373">
      <x:c r="A373" s="128" t="str">
        <x:f>IF(AND(Locations!A253="Yes",Locations!I253="OK"),Locations!B253,"")</x:f>
      </x:c>
      <x:c r="B373" s="128" t="str">
        <x:f>IF($A373="","",XLOOKUP(Locations!B253,NOCsTbl[NOC ID],NOCsTbl[Display Name],""))</x:f>
      </x:c>
      <x:c r="C373" s="128" t="str">
        <x:f>IF($A373="","",Locations!C253)</x:f>
      </x:c>
      <x:c r="D373" s="128" t="str">
        <x:f>IF($A373="","",Locations!D253)</x:f>
      </x:c>
      <x:c r="E373" s="128" t="str">
        <x:f>IF($A373="","",Locations!F253)</x:f>
      </x:c>
      <x:c r="F373" s="128" t="str">
        <x:f>IF($A373="","",Locations!E253)</x:f>
      </x:c>
      <x:c r="G373" s="128" t="str">
        <x:f>IF($A373="","","LOCATION")</x:f>
      </x:c>
      <x:c r="H373" s="128" t="str">
        <x:f>IF($A373="","","OK")</x:f>
      </x:c>
    </x:row>
    <x:row r="374">
      <x:c r="A374" s="128" t="str">
        <x:f>IF(AND(Locations!A254="Yes",Locations!I254="OK"),Locations!B254,"")</x:f>
      </x:c>
      <x:c r="B374" s="128" t="str">
        <x:f>IF($A374="","",XLOOKUP(Locations!B254,NOCsTbl[NOC ID],NOCsTbl[Display Name],""))</x:f>
      </x:c>
      <x:c r="C374" s="128" t="str">
        <x:f>IF($A374="","",Locations!C254)</x:f>
      </x:c>
      <x:c r="D374" s="128" t="str">
        <x:f>IF($A374="","",Locations!D254)</x:f>
      </x:c>
      <x:c r="E374" s="128" t="str">
        <x:f>IF($A374="","",Locations!F254)</x:f>
      </x:c>
      <x:c r="F374" s="128" t="str">
        <x:f>IF($A374="","",Locations!E254)</x:f>
      </x:c>
      <x:c r="G374" s="128" t="str">
        <x:f>IF($A374="","","LOCATION")</x:f>
      </x:c>
      <x:c r="H374" s="128" t="str">
        <x:f>IF($A374="","","OK")</x:f>
      </x:c>
    </x:row>
    <x:row r="375">
      <x:c r="A375" s="128" t="str">
        <x:f>IF(AND(Locations!A255="Yes",Locations!I255="OK"),Locations!B255,"")</x:f>
      </x:c>
      <x:c r="B375" s="128" t="str">
        <x:f>IF($A375="","",XLOOKUP(Locations!B255,NOCsTbl[NOC ID],NOCsTbl[Display Name],""))</x:f>
      </x:c>
      <x:c r="C375" s="128" t="str">
        <x:f>IF($A375="","",Locations!C255)</x:f>
      </x:c>
      <x:c r="D375" s="128" t="str">
        <x:f>IF($A375="","",Locations!D255)</x:f>
      </x:c>
      <x:c r="E375" s="128" t="str">
        <x:f>IF($A375="","",Locations!F255)</x:f>
      </x:c>
      <x:c r="F375" s="128" t="str">
        <x:f>IF($A375="","",Locations!E255)</x:f>
      </x:c>
      <x:c r="G375" s="128" t="str">
        <x:f>IF($A375="","","LOCATION")</x:f>
      </x:c>
      <x:c r="H375" s="128" t="str">
        <x:f>IF($A375="","","OK")</x:f>
      </x:c>
    </x:row>
    <x:row r="376">
      <x:c r="A376" s="128" t="str">
        <x:f>IF(AND(Locations!A256="Yes",Locations!I256="OK"),Locations!B256,"")</x:f>
      </x:c>
      <x:c r="B376" s="128" t="str">
        <x:f>IF($A376="","",XLOOKUP(Locations!B256,NOCsTbl[NOC ID],NOCsTbl[Display Name],""))</x:f>
      </x:c>
      <x:c r="C376" s="128" t="str">
        <x:f>IF($A376="","",Locations!C256)</x:f>
      </x:c>
      <x:c r="D376" s="128" t="str">
        <x:f>IF($A376="","",Locations!D256)</x:f>
      </x:c>
      <x:c r="E376" s="128" t="str">
        <x:f>IF($A376="","",Locations!F256)</x:f>
      </x:c>
      <x:c r="F376" s="128" t="str">
        <x:f>IF($A376="","",Locations!E256)</x:f>
      </x:c>
      <x:c r="G376" s="128" t="str">
        <x:f>IF($A376="","","LOCATION")</x:f>
      </x:c>
      <x:c r="H376" s="128" t="str">
        <x:f>IF($A376="","","OK")</x:f>
      </x:c>
    </x:row>
    <x:row r="377">
      <x:c r="A377" s="128" t="str">
        <x:f>IF(AND(Locations!A257="Yes",Locations!I257="OK"),Locations!B257,"")</x:f>
      </x:c>
      <x:c r="B377" s="128" t="str">
        <x:f>IF($A377="","",XLOOKUP(Locations!B257,NOCsTbl[NOC ID],NOCsTbl[Display Name],""))</x:f>
      </x:c>
      <x:c r="C377" s="128" t="str">
        <x:f>IF($A377="","",Locations!C257)</x:f>
      </x:c>
      <x:c r="D377" s="128" t="str">
        <x:f>IF($A377="","",Locations!D257)</x:f>
      </x:c>
      <x:c r="E377" s="128" t="str">
        <x:f>IF($A377="","",Locations!F257)</x:f>
      </x:c>
      <x:c r="F377" s="128" t="str">
        <x:f>IF($A377="","",Locations!E257)</x:f>
      </x:c>
      <x:c r="G377" s="128" t="str">
        <x:f>IF($A377="","","LOCATION")</x:f>
      </x:c>
      <x:c r="H377" s="128" t="str">
        <x:f>IF($A377="","","OK")</x:f>
      </x:c>
    </x:row>
    <x:row r="378">
      <x:c r="A378" s="128" t="str">
        <x:f>IF(AND(Locations!A258="Yes",Locations!I258="OK"),Locations!B258,"")</x:f>
      </x:c>
      <x:c r="B378" s="128" t="str">
        <x:f>IF($A378="","",XLOOKUP(Locations!B258,NOCsTbl[NOC ID],NOCsTbl[Display Name],""))</x:f>
      </x:c>
      <x:c r="C378" s="128" t="str">
        <x:f>IF($A378="","",Locations!C258)</x:f>
      </x:c>
      <x:c r="D378" s="128" t="str">
        <x:f>IF($A378="","",Locations!D258)</x:f>
      </x:c>
      <x:c r="E378" s="128" t="str">
        <x:f>IF($A378="","",Locations!F258)</x:f>
      </x:c>
      <x:c r="F378" s="128" t="str">
        <x:f>IF($A378="","",Locations!E258)</x:f>
      </x:c>
      <x:c r="G378" s="128" t="str">
        <x:f>IF($A378="","","LOCATION")</x:f>
      </x:c>
      <x:c r="H378" s="128" t="str">
        <x:f>IF($A378="","","OK")</x:f>
      </x:c>
    </x:row>
    <x:row r="379">
      <x:c r="A379" s="128" t="str">
        <x:f>IF(AND(Locations!A259="Yes",Locations!I259="OK"),Locations!B259,"")</x:f>
      </x:c>
      <x:c r="B379" s="128" t="str">
        <x:f>IF($A379="","",XLOOKUP(Locations!B259,NOCsTbl[NOC ID],NOCsTbl[Display Name],""))</x:f>
      </x:c>
      <x:c r="C379" s="128" t="str">
        <x:f>IF($A379="","",Locations!C259)</x:f>
      </x:c>
      <x:c r="D379" s="128" t="str">
        <x:f>IF($A379="","",Locations!D259)</x:f>
      </x:c>
      <x:c r="E379" s="128" t="str">
        <x:f>IF($A379="","",Locations!F259)</x:f>
      </x:c>
      <x:c r="F379" s="128" t="str">
        <x:f>IF($A379="","",Locations!E259)</x:f>
      </x:c>
      <x:c r="G379" s="128" t="str">
        <x:f>IF($A379="","","LOCATION")</x:f>
      </x:c>
      <x:c r="H379" s="128" t="str">
        <x:f>IF($A379="","","OK")</x:f>
      </x:c>
    </x:row>
    <x:row r="380">
      <x:c r="A380" s="128" t="str">
        <x:f>IF(AND(Locations!A260="Yes",Locations!I260="OK"),Locations!B260,"")</x:f>
      </x:c>
      <x:c r="B380" s="128" t="str">
        <x:f>IF($A380="","",XLOOKUP(Locations!B260,NOCsTbl[NOC ID],NOCsTbl[Display Name],""))</x:f>
      </x:c>
      <x:c r="C380" s="128" t="str">
        <x:f>IF($A380="","",Locations!C260)</x:f>
      </x:c>
      <x:c r="D380" s="128" t="str">
        <x:f>IF($A380="","",Locations!D260)</x:f>
      </x:c>
      <x:c r="E380" s="128" t="str">
        <x:f>IF($A380="","",Locations!F260)</x:f>
      </x:c>
      <x:c r="F380" s="128" t="str">
        <x:f>IF($A380="","",Locations!E260)</x:f>
      </x:c>
      <x:c r="G380" s="128" t="str">
        <x:f>IF($A380="","","LOCATION")</x:f>
      </x:c>
      <x:c r="H380" s="128" t="str">
        <x:f>IF($A380="","","OK")</x:f>
      </x:c>
    </x:row>
    <x:row r="381">
      <x:c r="A381" s="128" t="str">
        <x:f>IF(AND(Locations!A261="Yes",Locations!I261="OK"),Locations!B261,"")</x:f>
      </x:c>
      <x:c r="B381" s="128" t="str">
        <x:f>IF($A381="","",XLOOKUP(Locations!B261,NOCsTbl[NOC ID],NOCsTbl[Display Name],""))</x:f>
      </x:c>
      <x:c r="C381" s="128" t="str">
        <x:f>IF($A381="","",Locations!C261)</x:f>
      </x:c>
      <x:c r="D381" s="128" t="str">
        <x:f>IF($A381="","",Locations!D261)</x:f>
      </x:c>
      <x:c r="E381" s="128" t="str">
        <x:f>IF($A381="","",Locations!F261)</x:f>
      </x:c>
      <x:c r="F381" s="128" t="str">
        <x:f>IF($A381="","",Locations!E261)</x:f>
      </x:c>
      <x:c r="G381" s="128" t="str">
        <x:f>IF($A381="","","LOCATION")</x:f>
      </x:c>
      <x:c r="H381" s="128" t="str">
        <x:f>IF($A381="","","OK")</x:f>
      </x:c>
    </x:row>
    <x:row r="382">
      <x:c r="A382" s="128" t="str">
        <x:f>IF(AND(Locations!A262="Yes",Locations!I262="OK"),Locations!B262,"")</x:f>
      </x:c>
      <x:c r="B382" s="128" t="str">
        <x:f>IF($A382="","",XLOOKUP(Locations!B262,NOCsTbl[NOC ID],NOCsTbl[Display Name],""))</x:f>
      </x:c>
      <x:c r="C382" s="128" t="str">
        <x:f>IF($A382="","",Locations!C262)</x:f>
      </x:c>
      <x:c r="D382" s="128" t="str">
        <x:f>IF($A382="","",Locations!D262)</x:f>
      </x:c>
      <x:c r="E382" s="128" t="str">
        <x:f>IF($A382="","",Locations!F262)</x:f>
      </x:c>
      <x:c r="F382" s="128" t="str">
        <x:f>IF($A382="","",Locations!E262)</x:f>
      </x:c>
      <x:c r="G382" s="128" t="str">
        <x:f>IF($A382="","","LOCATION")</x:f>
      </x:c>
      <x:c r="H382" s="128" t="str">
        <x:f>IF($A382="","","OK")</x:f>
      </x:c>
    </x:row>
    <x:row r="383">
      <x:c r="A383" s="128" t="str">
        <x:f>IF(AND(Locations!A263="Yes",Locations!I263="OK"),Locations!B263,"")</x:f>
      </x:c>
      <x:c r="B383" s="128" t="str">
        <x:f>IF($A383="","",XLOOKUP(Locations!B263,NOCsTbl[NOC ID],NOCsTbl[Display Name],""))</x:f>
      </x:c>
      <x:c r="C383" s="128" t="str">
        <x:f>IF($A383="","",Locations!C263)</x:f>
      </x:c>
      <x:c r="D383" s="128" t="str">
        <x:f>IF($A383="","",Locations!D263)</x:f>
      </x:c>
      <x:c r="E383" s="128" t="str">
        <x:f>IF($A383="","",Locations!F263)</x:f>
      </x:c>
      <x:c r="F383" s="128" t="str">
        <x:f>IF($A383="","",Locations!E263)</x:f>
      </x:c>
      <x:c r="G383" s="128" t="str">
        <x:f>IF($A383="","","LOCATION")</x:f>
      </x:c>
      <x:c r="H383" s="128" t="str">
        <x:f>IF($A383="","","OK")</x:f>
      </x:c>
    </x:row>
    <x:row r="384">
      <x:c r="A384" s="128" t="str">
        <x:f>IF(AND(Locations!A264="Yes",Locations!I264="OK"),Locations!B264,"")</x:f>
      </x:c>
      <x:c r="B384" s="128" t="str">
        <x:f>IF($A384="","",XLOOKUP(Locations!B264,NOCsTbl[NOC ID],NOCsTbl[Display Name],""))</x:f>
      </x:c>
      <x:c r="C384" s="128" t="str">
        <x:f>IF($A384="","",Locations!C264)</x:f>
      </x:c>
      <x:c r="D384" s="128" t="str">
        <x:f>IF($A384="","",Locations!D264)</x:f>
      </x:c>
      <x:c r="E384" s="128" t="str">
        <x:f>IF($A384="","",Locations!F264)</x:f>
      </x:c>
      <x:c r="F384" s="128" t="str">
        <x:f>IF($A384="","",Locations!E264)</x:f>
      </x:c>
      <x:c r="G384" s="128" t="str">
        <x:f>IF($A384="","","LOCATION")</x:f>
      </x:c>
      <x:c r="H384" s="128" t="str">
        <x:f>IF($A384="","","OK")</x:f>
      </x:c>
    </x:row>
    <x:row r="385">
      <x:c r="A385" s="128" t="str">
        <x:f>IF(AND(Locations!A265="Yes",Locations!I265="OK"),Locations!B265,"")</x:f>
      </x:c>
      <x:c r="B385" s="128" t="str">
        <x:f>IF($A385="","",XLOOKUP(Locations!B265,NOCsTbl[NOC ID],NOCsTbl[Display Name],""))</x:f>
      </x:c>
      <x:c r="C385" s="128" t="str">
        <x:f>IF($A385="","",Locations!C265)</x:f>
      </x:c>
      <x:c r="D385" s="128" t="str">
        <x:f>IF($A385="","",Locations!D265)</x:f>
      </x:c>
      <x:c r="E385" s="128" t="str">
        <x:f>IF($A385="","",Locations!F265)</x:f>
      </x:c>
      <x:c r="F385" s="128" t="str">
        <x:f>IF($A385="","",Locations!E265)</x:f>
      </x:c>
      <x:c r="G385" s="128" t="str">
        <x:f>IF($A385="","","LOCATION")</x:f>
      </x:c>
      <x:c r="H385" s="128" t="str">
        <x:f>IF($A385="","","OK")</x:f>
      </x:c>
    </x:row>
    <x:row r="386">
      <x:c r="A386" s="128" t="str">
        <x:f>IF(AND(Locations!A266="Yes",Locations!I266="OK"),Locations!B266,"")</x:f>
      </x:c>
      <x:c r="B386" s="128" t="str">
        <x:f>IF($A386="","",XLOOKUP(Locations!B266,NOCsTbl[NOC ID],NOCsTbl[Display Name],""))</x:f>
      </x:c>
      <x:c r="C386" s="128" t="str">
        <x:f>IF($A386="","",Locations!C266)</x:f>
      </x:c>
      <x:c r="D386" s="128" t="str">
        <x:f>IF($A386="","",Locations!D266)</x:f>
      </x:c>
      <x:c r="E386" s="128" t="str">
        <x:f>IF($A386="","",Locations!F266)</x:f>
      </x:c>
      <x:c r="F386" s="128" t="str">
        <x:f>IF($A386="","",Locations!E266)</x:f>
      </x:c>
      <x:c r="G386" s="128" t="str">
        <x:f>IF($A386="","","LOCATION")</x:f>
      </x:c>
      <x:c r="H386" s="128" t="str">
        <x:f>IF($A386="","","OK")</x:f>
      </x:c>
    </x:row>
    <x:row r="387">
      <x:c r="A387" s="128" t="str">
        <x:f>IF(AND(Locations!A267="Yes",Locations!I267="OK"),Locations!B267,"")</x:f>
      </x:c>
      <x:c r="B387" s="128" t="str">
        <x:f>IF($A387="","",XLOOKUP(Locations!B267,NOCsTbl[NOC ID],NOCsTbl[Display Name],""))</x:f>
      </x:c>
      <x:c r="C387" s="128" t="str">
        <x:f>IF($A387="","",Locations!C267)</x:f>
      </x:c>
      <x:c r="D387" s="128" t="str">
        <x:f>IF($A387="","",Locations!D267)</x:f>
      </x:c>
      <x:c r="E387" s="128" t="str">
        <x:f>IF($A387="","",Locations!F267)</x:f>
      </x:c>
      <x:c r="F387" s="128" t="str">
        <x:f>IF($A387="","",Locations!E267)</x:f>
      </x:c>
      <x:c r="G387" s="128" t="str">
        <x:f>IF($A387="","","LOCATION")</x:f>
      </x:c>
      <x:c r="H387" s="128" t="str">
        <x:f>IF($A387="","","OK")</x:f>
      </x:c>
    </x:row>
    <x:row r="388">
      <x:c r="A388" s="128" t="str">
        <x:f>IF(AND(Locations!A268="Yes",Locations!I268="OK"),Locations!B268,"")</x:f>
      </x:c>
      <x:c r="B388" s="128" t="str">
        <x:f>IF($A388="","",XLOOKUP(Locations!B268,NOCsTbl[NOC ID],NOCsTbl[Display Name],""))</x:f>
      </x:c>
      <x:c r="C388" s="128" t="str">
        <x:f>IF($A388="","",Locations!C268)</x:f>
      </x:c>
      <x:c r="D388" s="128" t="str">
        <x:f>IF($A388="","",Locations!D268)</x:f>
      </x:c>
      <x:c r="E388" s="128" t="str">
        <x:f>IF($A388="","",Locations!F268)</x:f>
      </x:c>
      <x:c r="F388" s="128" t="str">
        <x:f>IF($A388="","",Locations!E268)</x:f>
      </x:c>
      <x:c r="G388" s="128" t="str">
        <x:f>IF($A388="","","LOCATION")</x:f>
      </x:c>
      <x:c r="H388" s="128" t="str">
        <x:f>IF($A388="","","OK")</x:f>
      </x:c>
    </x:row>
    <x:row r="389">
      <x:c r="A389" s="128" t="str">
        <x:f>IF(AND(Locations!A269="Yes",Locations!I269="OK"),Locations!B269,"")</x:f>
      </x:c>
      <x:c r="B389" s="128" t="str">
        <x:f>IF($A389="","",XLOOKUP(Locations!B269,NOCsTbl[NOC ID],NOCsTbl[Display Name],""))</x:f>
      </x:c>
      <x:c r="C389" s="128" t="str">
        <x:f>IF($A389="","",Locations!C269)</x:f>
      </x:c>
      <x:c r="D389" s="128" t="str">
        <x:f>IF($A389="","",Locations!D269)</x:f>
      </x:c>
      <x:c r="E389" s="128" t="str">
        <x:f>IF($A389="","",Locations!F269)</x:f>
      </x:c>
      <x:c r="F389" s="128" t="str">
        <x:f>IF($A389="","",Locations!E269)</x:f>
      </x:c>
      <x:c r="G389" s="128" t="str">
        <x:f>IF($A389="","","LOCATION")</x:f>
      </x:c>
      <x:c r="H389" s="128" t="str">
        <x:f>IF($A389="","","OK")</x:f>
      </x:c>
    </x:row>
    <x:row r="390">
      <x:c r="A390" s="128" t="str">
        <x:f>IF(AND(Locations!A270="Yes",Locations!I270="OK"),Locations!B270,"")</x:f>
      </x:c>
      <x:c r="B390" s="128" t="str">
        <x:f>IF($A390="","",XLOOKUP(Locations!B270,NOCsTbl[NOC ID],NOCsTbl[Display Name],""))</x:f>
      </x:c>
      <x:c r="C390" s="128" t="str">
        <x:f>IF($A390="","",Locations!C270)</x:f>
      </x:c>
      <x:c r="D390" s="128" t="str">
        <x:f>IF($A390="","",Locations!D270)</x:f>
      </x:c>
      <x:c r="E390" s="128" t="str">
        <x:f>IF($A390="","",Locations!F270)</x:f>
      </x:c>
      <x:c r="F390" s="128" t="str">
        <x:f>IF($A390="","",Locations!E270)</x:f>
      </x:c>
      <x:c r="G390" s="128" t="str">
        <x:f>IF($A390="","","LOCATION")</x:f>
      </x:c>
      <x:c r="H390" s="128" t="str">
        <x:f>IF($A390="","","OK")</x:f>
      </x:c>
    </x:row>
    <x:row r="391">
      <x:c r="A391" s="128" t="str">
        <x:f>IF(AND(Locations!A271="Yes",Locations!I271="OK"),Locations!B271,"")</x:f>
      </x:c>
      <x:c r="B391" s="128" t="str">
        <x:f>IF($A391="","",XLOOKUP(Locations!B271,NOCsTbl[NOC ID],NOCsTbl[Display Name],""))</x:f>
      </x:c>
      <x:c r="C391" s="128" t="str">
        <x:f>IF($A391="","",Locations!C271)</x:f>
      </x:c>
      <x:c r="D391" s="128" t="str">
        <x:f>IF($A391="","",Locations!D271)</x:f>
      </x:c>
      <x:c r="E391" s="128" t="str">
        <x:f>IF($A391="","",Locations!F271)</x:f>
      </x:c>
      <x:c r="F391" s="128" t="str">
        <x:f>IF($A391="","",Locations!E271)</x:f>
      </x:c>
      <x:c r="G391" s="128" t="str">
        <x:f>IF($A391="","","LOCATION")</x:f>
      </x:c>
      <x:c r="H391" s="128" t="str">
        <x:f>IF($A391="","","OK")</x:f>
      </x:c>
    </x:row>
    <x:row r="392">
      <x:c r="A392" s="128" t="str">
        <x:f>IF(AND(Locations!A272="Yes",Locations!I272="OK"),Locations!B272,"")</x:f>
      </x:c>
      <x:c r="B392" s="128" t="str">
        <x:f>IF($A392="","",XLOOKUP(Locations!B272,NOCsTbl[NOC ID],NOCsTbl[Display Name],""))</x:f>
      </x:c>
      <x:c r="C392" s="128" t="str">
        <x:f>IF($A392="","",Locations!C272)</x:f>
      </x:c>
      <x:c r="D392" s="128" t="str">
        <x:f>IF($A392="","",Locations!D272)</x:f>
      </x:c>
      <x:c r="E392" s="128" t="str">
        <x:f>IF($A392="","",Locations!F272)</x:f>
      </x:c>
      <x:c r="F392" s="128" t="str">
        <x:f>IF($A392="","",Locations!E272)</x:f>
      </x:c>
      <x:c r="G392" s="128" t="str">
        <x:f>IF($A392="","","LOCATION")</x:f>
      </x:c>
      <x:c r="H392" s="128" t="str">
        <x:f>IF($A392="","","OK")</x:f>
      </x:c>
    </x:row>
    <x:row r="393">
      <x:c r="A393" s="128" t="str">
        <x:f>IF(AND(Locations!A273="Yes",Locations!I273="OK"),Locations!B273,"")</x:f>
      </x:c>
      <x:c r="B393" s="128" t="str">
        <x:f>IF($A393="","",XLOOKUP(Locations!B273,NOCsTbl[NOC ID],NOCsTbl[Display Name],""))</x:f>
      </x:c>
      <x:c r="C393" s="128" t="str">
        <x:f>IF($A393="","",Locations!C273)</x:f>
      </x:c>
      <x:c r="D393" s="128" t="str">
        <x:f>IF($A393="","",Locations!D273)</x:f>
      </x:c>
      <x:c r="E393" s="128" t="str">
        <x:f>IF($A393="","",Locations!F273)</x:f>
      </x:c>
      <x:c r="F393" s="128" t="str">
        <x:f>IF($A393="","",Locations!E273)</x:f>
      </x:c>
      <x:c r="G393" s="128" t="str">
        <x:f>IF($A393="","","LOCATION")</x:f>
      </x:c>
      <x:c r="H393" s="128" t="str">
        <x:f>IF($A393="","","OK")</x:f>
      </x:c>
    </x:row>
    <x:row r="394">
      <x:c r="A394" s="128" t="str">
        <x:f>IF(AND(Locations!A274="Yes",Locations!I274="OK"),Locations!B274,"")</x:f>
      </x:c>
      <x:c r="B394" s="128" t="str">
        <x:f>IF($A394="","",XLOOKUP(Locations!B274,NOCsTbl[NOC ID],NOCsTbl[Display Name],""))</x:f>
      </x:c>
      <x:c r="C394" s="128" t="str">
        <x:f>IF($A394="","",Locations!C274)</x:f>
      </x:c>
      <x:c r="D394" s="128" t="str">
        <x:f>IF($A394="","",Locations!D274)</x:f>
      </x:c>
      <x:c r="E394" s="128" t="str">
        <x:f>IF($A394="","",Locations!F274)</x:f>
      </x:c>
      <x:c r="F394" s="128" t="str">
        <x:f>IF($A394="","",Locations!E274)</x:f>
      </x:c>
      <x:c r="G394" s="128" t="str">
        <x:f>IF($A394="","","LOCATION")</x:f>
      </x:c>
      <x:c r="H394" s="128" t="str">
        <x:f>IF($A394="","","OK")</x:f>
      </x:c>
    </x:row>
    <x:row r="395">
      <x:c r="A395" s="128" t="str">
        <x:f>IF(AND(Locations!A275="Yes",Locations!I275="OK"),Locations!B275,"")</x:f>
      </x:c>
      <x:c r="B395" s="128" t="str">
        <x:f>IF($A395="","",XLOOKUP(Locations!B275,NOCsTbl[NOC ID],NOCsTbl[Display Name],""))</x:f>
      </x:c>
      <x:c r="C395" s="128" t="str">
        <x:f>IF($A395="","",Locations!C275)</x:f>
      </x:c>
      <x:c r="D395" s="128" t="str">
        <x:f>IF($A395="","",Locations!D275)</x:f>
      </x:c>
      <x:c r="E395" s="128" t="str">
        <x:f>IF($A395="","",Locations!F275)</x:f>
      </x:c>
      <x:c r="F395" s="128" t="str">
        <x:f>IF($A395="","",Locations!E275)</x:f>
      </x:c>
      <x:c r="G395" s="128" t="str">
        <x:f>IF($A395="","","LOCATION")</x:f>
      </x:c>
      <x:c r="H395" s="128" t="str">
        <x:f>IF($A395="","","OK")</x:f>
      </x:c>
    </x:row>
    <x:row r="396">
      <x:c r="A396" s="128" t="str">
        <x:f>IF(AND(Locations!A276="Yes",Locations!I276="OK"),Locations!B276,"")</x:f>
      </x:c>
      <x:c r="B396" s="128" t="str">
        <x:f>IF($A396="","",XLOOKUP(Locations!B276,NOCsTbl[NOC ID],NOCsTbl[Display Name],""))</x:f>
      </x:c>
      <x:c r="C396" s="128" t="str">
        <x:f>IF($A396="","",Locations!C276)</x:f>
      </x:c>
      <x:c r="D396" s="128" t="str">
        <x:f>IF($A396="","",Locations!D276)</x:f>
      </x:c>
      <x:c r="E396" s="128" t="str">
        <x:f>IF($A396="","",Locations!F276)</x:f>
      </x:c>
      <x:c r="F396" s="128" t="str">
        <x:f>IF($A396="","",Locations!E276)</x:f>
      </x:c>
      <x:c r="G396" s="128" t="str">
        <x:f>IF($A396="","","LOCATION")</x:f>
      </x:c>
      <x:c r="H396" s="128" t="str">
        <x:f>IF($A396="","","OK")</x:f>
      </x:c>
    </x:row>
    <x:row r="397">
      <x:c r="A397" s="128" t="str">
        <x:f>IF(AND(Locations!A277="Yes",Locations!I277="OK"),Locations!B277,"")</x:f>
      </x:c>
      <x:c r="B397" s="128" t="str">
        <x:f>IF($A397="","",XLOOKUP(Locations!B277,NOCsTbl[NOC ID],NOCsTbl[Display Name],""))</x:f>
      </x:c>
      <x:c r="C397" s="128" t="str">
        <x:f>IF($A397="","",Locations!C277)</x:f>
      </x:c>
      <x:c r="D397" s="128" t="str">
        <x:f>IF($A397="","",Locations!D277)</x:f>
      </x:c>
      <x:c r="E397" s="128" t="str">
        <x:f>IF($A397="","",Locations!F277)</x:f>
      </x:c>
      <x:c r="F397" s="128" t="str">
        <x:f>IF($A397="","",Locations!E277)</x:f>
      </x:c>
      <x:c r="G397" s="128" t="str">
        <x:f>IF($A397="","","LOCATION")</x:f>
      </x:c>
      <x:c r="H397" s="128" t="str">
        <x:f>IF($A397="","","OK")</x:f>
      </x:c>
    </x:row>
    <x:row r="398">
      <x:c r="A398" s="128" t="str">
        <x:f>IF(AND(Locations!A278="Yes",Locations!I278="OK"),Locations!B278,"")</x:f>
      </x:c>
      <x:c r="B398" s="128" t="str">
        <x:f>IF($A398="","",XLOOKUP(Locations!B278,NOCsTbl[NOC ID],NOCsTbl[Display Name],""))</x:f>
      </x:c>
      <x:c r="C398" s="128" t="str">
        <x:f>IF($A398="","",Locations!C278)</x:f>
      </x:c>
      <x:c r="D398" s="128" t="str">
        <x:f>IF($A398="","",Locations!D278)</x:f>
      </x:c>
      <x:c r="E398" s="128" t="str">
        <x:f>IF($A398="","",Locations!F278)</x:f>
      </x:c>
      <x:c r="F398" s="128" t="str">
        <x:f>IF($A398="","",Locations!E278)</x:f>
      </x:c>
      <x:c r="G398" s="128" t="str">
        <x:f>IF($A398="","","LOCATION")</x:f>
      </x:c>
      <x:c r="H398" s="128" t="str">
        <x:f>IF($A398="","","OK")</x:f>
      </x:c>
    </x:row>
    <x:row r="399">
      <x:c r="A399" s="128" t="str">
        <x:f>IF(AND(Locations!A279="Yes",Locations!I279="OK"),Locations!B279,"")</x:f>
      </x:c>
      <x:c r="B399" s="128" t="str">
        <x:f>IF($A399="","",XLOOKUP(Locations!B279,NOCsTbl[NOC ID],NOCsTbl[Display Name],""))</x:f>
      </x:c>
      <x:c r="C399" s="128" t="str">
        <x:f>IF($A399="","",Locations!C279)</x:f>
      </x:c>
      <x:c r="D399" s="128" t="str">
        <x:f>IF($A399="","",Locations!D279)</x:f>
      </x:c>
      <x:c r="E399" s="128" t="str">
        <x:f>IF($A399="","",Locations!F279)</x:f>
      </x:c>
      <x:c r="F399" s="128" t="str">
        <x:f>IF($A399="","",Locations!E279)</x:f>
      </x:c>
      <x:c r="G399" s="128" t="str">
        <x:f>IF($A399="","","LOCATION")</x:f>
      </x:c>
      <x:c r="H399" s="128" t="str">
        <x:f>IF($A399="","","OK")</x:f>
      </x:c>
    </x:row>
    <x:row r="400">
      <x:c r="A400" s="128" t="str">
        <x:f>IF(AND(Locations!A280="Yes",Locations!I280="OK"),Locations!B280,"")</x:f>
      </x:c>
      <x:c r="B400" s="128" t="str">
        <x:f>IF($A400="","",XLOOKUP(Locations!B280,NOCsTbl[NOC ID],NOCsTbl[Display Name],""))</x:f>
      </x:c>
      <x:c r="C400" s="128" t="str">
        <x:f>IF($A400="","",Locations!C280)</x:f>
      </x:c>
      <x:c r="D400" s="128" t="str">
        <x:f>IF($A400="","",Locations!D280)</x:f>
      </x:c>
      <x:c r="E400" s="128" t="str">
        <x:f>IF($A400="","",Locations!F280)</x:f>
      </x:c>
      <x:c r="F400" s="128" t="str">
        <x:f>IF($A400="","",Locations!E280)</x:f>
      </x:c>
      <x:c r="G400" s="128" t="str">
        <x:f>IF($A400="","","LOCATION")</x:f>
      </x:c>
      <x:c r="H400" s="128" t="str">
        <x:f>IF($A400="","","OK")</x:f>
      </x:c>
    </x:row>
    <x:row r="401">
      <x:c r="A401" s="128" t="str">
        <x:f>IF(AND(Locations!A281="Yes",Locations!I281="OK"),Locations!B281,"")</x:f>
      </x:c>
      <x:c r="B401" s="128" t="str">
        <x:f>IF($A401="","",XLOOKUP(Locations!B281,NOCsTbl[NOC ID],NOCsTbl[Display Name],""))</x:f>
      </x:c>
      <x:c r="C401" s="128" t="str">
        <x:f>IF($A401="","",Locations!C281)</x:f>
      </x:c>
      <x:c r="D401" s="128" t="str">
        <x:f>IF($A401="","",Locations!D281)</x:f>
      </x:c>
      <x:c r="E401" s="128" t="str">
        <x:f>IF($A401="","",Locations!F281)</x:f>
      </x:c>
      <x:c r="F401" s="128" t="str">
        <x:f>IF($A401="","",Locations!E281)</x:f>
      </x:c>
      <x:c r="G401" s="128" t="str">
        <x:f>IF($A401="","","LOCATION")</x:f>
      </x:c>
      <x:c r="H401" s="128" t="str">
        <x:f>IF($A401="","","OK")</x:f>
      </x:c>
    </x:row>
    <x:row r="402">
      <x:c r="A402" s="128" t="str">
        <x:f>IF(AND(Locations!A282="Yes",Locations!I282="OK"),Locations!B282,"")</x:f>
      </x:c>
      <x:c r="B402" s="128" t="str">
        <x:f>IF($A402="","",XLOOKUP(Locations!B282,NOCsTbl[NOC ID],NOCsTbl[Display Name],""))</x:f>
      </x:c>
      <x:c r="C402" s="128" t="str">
        <x:f>IF($A402="","",Locations!C282)</x:f>
      </x:c>
      <x:c r="D402" s="128" t="str">
        <x:f>IF($A402="","",Locations!D282)</x:f>
      </x:c>
      <x:c r="E402" s="128" t="str">
        <x:f>IF($A402="","",Locations!F282)</x:f>
      </x:c>
      <x:c r="F402" s="128" t="str">
        <x:f>IF($A402="","",Locations!E282)</x:f>
      </x:c>
      <x:c r="G402" s="128" t="str">
        <x:f>IF($A402="","","LOCATION")</x:f>
      </x:c>
      <x:c r="H402" s="128" t="str">
        <x:f>IF($A402="","","OK")</x:f>
      </x:c>
    </x:row>
    <x:row r="403">
      <x:c r="A403" s="128" t="str">
        <x:f>IF(AND(Locations!A283="Yes",Locations!I283="OK"),Locations!B283,"")</x:f>
      </x:c>
      <x:c r="B403" s="128" t="str">
        <x:f>IF($A403="","",XLOOKUP(Locations!B283,NOCsTbl[NOC ID],NOCsTbl[Display Name],""))</x:f>
      </x:c>
      <x:c r="C403" s="128" t="str">
        <x:f>IF($A403="","",Locations!C283)</x:f>
      </x:c>
      <x:c r="D403" s="128" t="str">
        <x:f>IF($A403="","",Locations!D283)</x:f>
      </x:c>
      <x:c r="E403" s="128" t="str">
        <x:f>IF($A403="","",Locations!F283)</x:f>
      </x:c>
      <x:c r="F403" s="128" t="str">
        <x:f>IF($A403="","",Locations!E283)</x:f>
      </x:c>
      <x:c r="G403" s="128" t="str">
        <x:f>IF($A403="","","LOCATION")</x:f>
      </x:c>
      <x:c r="H403" s="128" t="str">
        <x:f>IF($A403="","","OK")</x:f>
      </x:c>
    </x:row>
    <x:row r="404">
      <x:c r="A404" s="128" t="str">
        <x:f>IF(AND(Locations!A284="Yes",Locations!I284="OK"),Locations!B284,"")</x:f>
      </x:c>
      <x:c r="B404" s="128" t="str">
        <x:f>IF($A404="","",XLOOKUP(Locations!B284,NOCsTbl[NOC ID],NOCsTbl[Display Name],""))</x:f>
      </x:c>
      <x:c r="C404" s="128" t="str">
        <x:f>IF($A404="","",Locations!C284)</x:f>
      </x:c>
      <x:c r="D404" s="128" t="str">
        <x:f>IF($A404="","",Locations!D284)</x:f>
      </x:c>
      <x:c r="E404" s="128" t="str">
        <x:f>IF($A404="","",Locations!F284)</x:f>
      </x:c>
      <x:c r="F404" s="128" t="str">
        <x:f>IF($A404="","",Locations!E284)</x:f>
      </x:c>
      <x:c r="G404" s="128" t="str">
        <x:f>IF($A404="","","LOCATION")</x:f>
      </x:c>
      <x:c r="H404" s="128" t="str">
        <x:f>IF($A404="","","OK")</x:f>
      </x:c>
    </x:row>
    <x:row r="405">
      <x:c r="A405" s="128" t="str">
        <x:f>IF(AND(Locations!A285="Yes",Locations!I285="OK"),Locations!B285,"")</x:f>
      </x:c>
      <x:c r="B405" s="128" t="str">
        <x:f>IF($A405="","",XLOOKUP(Locations!B285,NOCsTbl[NOC ID],NOCsTbl[Display Name],""))</x:f>
      </x:c>
      <x:c r="C405" s="128" t="str">
        <x:f>IF($A405="","",Locations!C285)</x:f>
      </x:c>
      <x:c r="D405" s="128" t="str">
        <x:f>IF($A405="","",Locations!D285)</x:f>
      </x:c>
      <x:c r="E405" s="128" t="str">
        <x:f>IF($A405="","",Locations!F285)</x:f>
      </x:c>
      <x:c r="F405" s="128" t="str">
        <x:f>IF($A405="","",Locations!E285)</x:f>
      </x:c>
      <x:c r="G405" s="128" t="str">
        <x:f>IF($A405="","","LOCATION")</x:f>
      </x:c>
      <x:c r="H405" s="128" t="str">
        <x:f>IF($A405="","","OK")</x:f>
      </x:c>
    </x:row>
    <x:row r="406">
      <x:c r="A406" s="128" t="str">
        <x:f>IF(AND(Locations!A286="Yes",Locations!I286="OK"),Locations!B286,"")</x:f>
      </x:c>
      <x:c r="B406" s="128" t="str">
        <x:f>IF($A406="","",XLOOKUP(Locations!B286,NOCsTbl[NOC ID],NOCsTbl[Display Name],""))</x:f>
      </x:c>
      <x:c r="C406" s="128" t="str">
        <x:f>IF($A406="","",Locations!C286)</x:f>
      </x:c>
      <x:c r="D406" s="128" t="str">
        <x:f>IF($A406="","",Locations!D286)</x:f>
      </x:c>
      <x:c r="E406" s="128" t="str">
        <x:f>IF($A406="","",Locations!F286)</x:f>
      </x:c>
      <x:c r="F406" s="128" t="str">
        <x:f>IF($A406="","",Locations!E286)</x:f>
      </x:c>
      <x:c r="G406" s="128" t="str">
        <x:f>IF($A406="","","LOCATION")</x:f>
      </x:c>
      <x:c r="H406" s="128" t="str">
        <x:f>IF($A406="","","OK")</x:f>
      </x:c>
    </x:row>
    <x:row r="407">
      <x:c r="A407" s="128" t="str">
        <x:f>IF(AND(Locations!A287="Yes",Locations!I287="OK"),Locations!B287,"")</x:f>
      </x:c>
      <x:c r="B407" s="128" t="str">
        <x:f>IF($A407="","",XLOOKUP(Locations!B287,NOCsTbl[NOC ID],NOCsTbl[Display Name],""))</x:f>
      </x:c>
      <x:c r="C407" s="128" t="str">
        <x:f>IF($A407="","",Locations!C287)</x:f>
      </x:c>
      <x:c r="D407" s="128" t="str">
        <x:f>IF($A407="","",Locations!D287)</x:f>
      </x:c>
      <x:c r="E407" s="128" t="str">
        <x:f>IF($A407="","",Locations!F287)</x:f>
      </x:c>
      <x:c r="F407" s="128" t="str">
        <x:f>IF($A407="","",Locations!E287)</x:f>
      </x:c>
      <x:c r="G407" s="128" t="str">
        <x:f>IF($A407="","","LOCATION")</x:f>
      </x:c>
      <x:c r="H407" s="128" t="str">
        <x:f>IF($A407="","","OK")</x:f>
      </x:c>
    </x:row>
    <x:row r="408">
      <x:c r="A408" s="128" t="str">
        <x:f>IF(AND(Locations!A288="Yes",Locations!I288="OK"),Locations!B288,"")</x:f>
      </x:c>
      <x:c r="B408" s="128" t="str">
        <x:f>IF($A408="","",XLOOKUP(Locations!B288,NOCsTbl[NOC ID],NOCsTbl[Display Name],""))</x:f>
      </x:c>
      <x:c r="C408" s="128" t="str">
        <x:f>IF($A408="","",Locations!C288)</x:f>
      </x:c>
      <x:c r="D408" s="128" t="str">
        <x:f>IF($A408="","",Locations!D288)</x:f>
      </x:c>
      <x:c r="E408" s="128" t="str">
        <x:f>IF($A408="","",Locations!F288)</x:f>
      </x:c>
      <x:c r="F408" s="128" t="str">
        <x:f>IF($A408="","",Locations!E288)</x:f>
      </x:c>
      <x:c r="G408" s="128" t="str">
        <x:f>IF($A408="","","LOCATION")</x:f>
      </x:c>
      <x:c r="H408" s="128" t="str">
        <x:f>IF($A408="","","OK")</x:f>
      </x:c>
    </x:row>
    <x:row r="409">
      <x:c r="A409" s="128" t="str">
        <x:f>IF(AND(Locations!A289="Yes",Locations!I289="OK"),Locations!B289,"")</x:f>
      </x:c>
      <x:c r="B409" s="128" t="str">
        <x:f>IF($A409="","",XLOOKUP(Locations!B289,NOCsTbl[NOC ID],NOCsTbl[Display Name],""))</x:f>
      </x:c>
      <x:c r="C409" s="128" t="str">
        <x:f>IF($A409="","",Locations!C289)</x:f>
      </x:c>
      <x:c r="D409" s="128" t="str">
        <x:f>IF($A409="","",Locations!D289)</x:f>
      </x:c>
      <x:c r="E409" s="128" t="str">
        <x:f>IF($A409="","",Locations!F289)</x:f>
      </x:c>
      <x:c r="F409" s="128" t="str">
        <x:f>IF($A409="","",Locations!E289)</x:f>
      </x:c>
      <x:c r="G409" s="128" t="str">
        <x:f>IF($A409="","","LOCATION")</x:f>
      </x:c>
      <x:c r="H409" s="128" t="str">
        <x:f>IF($A409="","","OK")</x:f>
      </x:c>
    </x:row>
    <x:row r="410">
      <x:c r="A410" s="128" t="str">
        <x:f>IF(AND(Locations!A290="Yes",Locations!I290="OK"),Locations!B290,"")</x:f>
      </x:c>
      <x:c r="B410" s="128" t="str">
        <x:f>IF($A410="","",XLOOKUP(Locations!B290,NOCsTbl[NOC ID],NOCsTbl[Display Name],""))</x:f>
      </x:c>
      <x:c r="C410" s="128" t="str">
        <x:f>IF($A410="","",Locations!C290)</x:f>
      </x:c>
      <x:c r="D410" s="128" t="str">
        <x:f>IF($A410="","",Locations!D290)</x:f>
      </x:c>
      <x:c r="E410" s="128" t="str">
        <x:f>IF($A410="","",Locations!F290)</x:f>
      </x:c>
      <x:c r="F410" s="128" t="str">
        <x:f>IF($A410="","",Locations!E290)</x:f>
      </x:c>
      <x:c r="G410" s="128" t="str">
        <x:f>IF($A410="","","LOCATION")</x:f>
      </x:c>
      <x:c r="H410" s="128" t="str">
        <x:f>IF($A410="","","OK")</x:f>
      </x:c>
    </x:row>
    <x:row r="411">
      <x:c r="A411" s="128" t="str">
        <x:f>IF(AND(Locations!A291="Yes",Locations!I291="OK"),Locations!B291,"")</x:f>
      </x:c>
      <x:c r="B411" s="128" t="str">
        <x:f>IF($A411="","",XLOOKUP(Locations!B291,NOCsTbl[NOC ID],NOCsTbl[Display Name],""))</x:f>
      </x:c>
      <x:c r="C411" s="128" t="str">
        <x:f>IF($A411="","",Locations!C291)</x:f>
      </x:c>
      <x:c r="D411" s="128" t="str">
        <x:f>IF($A411="","",Locations!D291)</x:f>
      </x:c>
      <x:c r="E411" s="128" t="str">
        <x:f>IF($A411="","",Locations!F291)</x:f>
      </x:c>
      <x:c r="F411" s="128" t="str">
        <x:f>IF($A411="","",Locations!E291)</x:f>
      </x:c>
      <x:c r="G411" s="128" t="str">
        <x:f>IF($A411="","","LOCATION")</x:f>
      </x:c>
      <x:c r="H411" s="128" t="str">
        <x:f>IF($A411="","","OK")</x:f>
      </x:c>
    </x:row>
    <x:row r="412">
      <x:c r="A412" s="128" t="str">
        <x:f>IF(AND(Locations!A292="Yes",Locations!I292="OK"),Locations!B292,"")</x:f>
      </x:c>
      <x:c r="B412" s="128" t="str">
        <x:f>IF($A412="","",XLOOKUP(Locations!B292,NOCsTbl[NOC ID],NOCsTbl[Display Name],""))</x:f>
      </x:c>
      <x:c r="C412" s="128" t="str">
        <x:f>IF($A412="","",Locations!C292)</x:f>
      </x:c>
      <x:c r="D412" s="128" t="str">
        <x:f>IF($A412="","",Locations!D292)</x:f>
      </x:c>
      <x:c r="E412" s="128" t="str">
        <x:f>IF($A412="","",Locations!F292)</x:f>
      </x:c>
      <x:c r="F412" s="128" t="str">
        <x:f>IF($A412="","",Locations!E292)</x:f>
      </x:c>
      <x:c r="G412" s="128" t="str">
        <x:f>IF($A412="","","LOCATION")</x:f>
      </x:c>
      <x:c r="H412" s="128" t="str">
        <x:f>IF($A412="","","OK")</x:f>
      </x:c>
    </x:row>
    <x:row r="413">
      <x:c r="A413" s="128" t="str">
        <x:f>IF(AND(Locations!A293="Yes",Locations!I293="OK"),Locations!B293,"")</x:f>
      </x:c>
      <x:c r="B413" s="128" t="str">
        <x:f>IF($A413="","",XLOOKUP(Locations!B293,NOCsTbl[NOC ID],NOCsTbl[Display Name],""))</x:f>
      </x:c>
      <x:c r="C413" s="128" t="str">
        <x:f>IF($A413="","",Locations!C293)</x:f>
      </x:c>
      <x:c r="D413" s="128" t="str">
        <x:f>IF($A413="","",Locations!D293)</x:f>
      </x:c>
      <x:c r="E413" s="128" t="str">
        <x:f>IF($A413="","",Locations!F293)</x:f>
      </x:c>
      <x:c r="F413" s="128" t="str">
        <x:f>IF($A413="","",Locations!E293)</x:f>
      </x:c>
      <x:c r="G413" s="128" t="str">
        <x:f>IF($A413="","","LOCATION")</x:f>
      </x:c>
      <x:c r="H413" s="128" t="str">
        <x:f>IF($A413="","","OK")</x:f>
      </x:c>
    </x:row>
    <x:row r="414">
      <x:c r="A414" s="128" t="str">
        <x:f>IF(AND(Locations!A294="Yes",Locations!I294="OK"),Locations!B294,"")</x:f>
      </x:c>
      <x:c r="B414" s="128" t="str">
        <x:f>IF($A414="","",XLOOKUP(Locations!B294,NOCsTbl[NOC ID],NOCsTbl[Display Name],""))</x:f>
      </x:c>
      <x:c r="C414" s="128" t="str">
        <x:f>IF($A414="","",Locations!C294)</x:f>
      </x:c>
      <x:c r="D414" s="128" t="str">
        <x:f>IF($A414="","",Locations!D294)</x:f>
      </x:c>
      <x:c r="E414" s="128" t="str">
        <x:f>IF($A414="","",Locations!F294)</x:f>
      </x:c>
      <x:c r="F414" s="128" t="str">
        <x:f>IF($A414="","",Locations!E294)</x:f>
      </x:c>
      <x:c r="G414" s="128" t="str">
        <x:f>IF($A414="","","LOCATION")</x:f>
      </x:c>
      <x:c r="H414" s="128" t="str">
        <x:f>IF($A414="","","OK")</x:f>
      </x:c>
    </x:row>
    <x:row r="415">
      <x:c r="A415" s="128" t="str">
        <x:f>IF(AND(Locations!A295="Yes",Locations!I295="OK"),Locations!B295,"")</x:f>
      </x:c>
      <x:c r="B415" s="128" t="str">
        <x:f>IF($A415="","",XLOOKUP(Locations!B295,NOCsTbl[NOC ID],NOCsTbl[Display Name],""))</x:f>
      </x:c>
      <x:c r="C415" s="128" t="str">
        <x:f>IF($A415="","",Locations!C295)</x:f>
      </x:c>
      <x:c r="D415" s="128" t="str">
        <x:f>IF($A415="","",Locations!D295)</x:f>
      </x:c>
      <x:c r="E415" s="128" t="str">
        <x:f>IF($A415="","",Locations!F295)</x:f>
      </x:c>
      <x:c r="F415" s="128" t="str">
        <x:f>IF($A415="","",Locations!E295)</x:f>
      </x:c>
      <x:c r="G415" s="128" t="str">
        <x:f>IF($A415="","","LOCATION")</x:f>
      </x:c>
      <x:c r="H415" s="128" t="str">
        <x:f>IF($A415="","","OK")</x:f>
      </x:c>
    </x:row>
    <x:row r="416">
      <x:c r="A416" s="128" t="str">
        <x:f>IF(AND(Locations!A296="Yes",Locations!I296="OK"),Locations!B296,"")</x:f>
      </x:c>
      <x:c r="B416" s="128" t="str">
        <x:f>IF($A416="","",XLOOKUP(Locations!B296,NOCsTbl[NOC ID],NOCsTbl[Display Name],""))</x:f>
      </x:c>
      <x:c r="C416" s="128" t="str">
        <x:f>IF($A416="","",Locations!C296)</x:f>
      </x:c>
      <x:c r="D416" s="128" t="str">
        <x:f>IF($A416="","",Locations!D296)</x:f>
      </x:c>
      <x:c r="E416" s="128" t="str">
        <x:f>IF($A416="","",Locations!F296)</x:f>
      </x:c>
      <x:c r="F416" s="128" t="str">
        <x:f>IF($A416="","",Locations!E296)</x:f>
      </x:c>
      <x:c r="G416" s="128" t="str">
        <x:f>IF($A416="","","LOCATION")</x:f>
      </x:c>
      <x:c r="H416" s="128" t="str">
        <x:f>IF($A416="","","OK")</x:f>
      </x:c>
    </x:row>
    <x:row r="417">
      <x:c r="A417" s="128" t="str">
        <x:f>IF(AND(Locations!A297="Yes",Locations!I297="OK"),Locations!B297,"")</x:f>
      </x:c>
      <x:c r="B417" s="128" t="str">
        <x:f>IF($A417="","",XLOOKUP(Locations!B297,NOCsTbl[NOC ID],NOCsTbl[Display Name],""))</x:f>
      </x:c>
      <x:c r="C417" s="128" t="str">
        <x:f>IF($A417="","",Locations!C297)</x:f>
      </x:c>
      <x:c r="D417" s="128" t="str">
        <x:f>IF($A417="","",Locations!D297)</x:f>
      </x:c>
      <x:c r="E417" s="128" t="str">
        <x:f>IF($A417="","",Locations!F297)</x:f>
      </x:c>
      <x:c r="F417" s="128" t="str">
        <x:f>IF($A417="","",Locations!E297)</x:f>
      </x:c>
      <x:c r="G417" s="128" t="str">
        <x:f>IF($A417="","","LOCATION")</x:f>
      </x:c>
      <x:c r="H417" s="128" t="str">
        <x:f>IF($A417="","","OK")</x:f>
      </x:c>
    </x:row>
    <x:row r="418">
      <x:c r="A418" s="128" t="str">
        <x:f>IF(AND(Locations!A298="Yes",Locations!I298="OK"),Locations!B298,"")</x:f>
      </x:c>
      <x:c r="B418" s="128" t="str">
        <x:f>IF($A418="","",XLOOKUP(Locations!B298,NOCsTbl[NOC ID],NOCsTbl[Display Name],""))</x:f>
      </x:c>
      <x:c r="C418" s="128" t="str">
        <x:f>IF($A418="","",Locations!C298)</x:f>
      </x:c>
      <x:c r="D418" s="128" t="str">
        <x:f>IF($A418="","",Locations!D298)</x:f>
      </x:c>
      <x:c r="E418" s="128" t="str">
        <x:f>IF($A418="","",Locations!F298)</x:f>
      </x:c>
      <x:c r="F418" s="128" t="str">
        <x:f>IF($A418="","",Locations!E298)</x:f>
      </x:c>
      <x:c r="G418" s="128" t="str">
        <x:f>IF($A418="","","LOCATION")</x:f>
      </x:c>
      <x:c r="H418" s="128" t="str">
        <x:f>IF($A418="","","OK")</x:f>
      </x:c>
    </x:row>
    <x:row r="419">
      <x:c r="A419" s="128" t="str">
        <x:f>IF(AND(Locations!A299="Yes",Locations!I299="OK"),Locations!B299,"")</x:f>
      </x:c>
      <x:c r="B419" s="128" t="str">
        <x:f>IF($A419="","",XLOOKUP(Locations!B299,NOCsTbl[NOC ID],NOCsTbl[Display Name],""))</x:f>
      </x:c>
      <x:c r="C419" s="128" t="str">
        <x:f>IF($A419="","",Locations!C299)</x:f>
      </x:c>
      <x:c r="D419" s="128" t="str">
        <x:f>IF($A419="","",Locations!D299)</x:f>
      </x:c>
      <x:c r="E419" s="128" t="str">
        <x:f>IF($A419="","",Locations!F299)</x:f>
      </x:c>
      <x:c r="F419" s="128" t="str">
        <x:f>IF($A419="","",Locations!E299)</x:f>
      </x:c>
      <x:c r="G419" s="128" t="str">
        <x:f>IF($A419="","","LOCATION")</x:f>
      </x:c>
      <x:c r="H419" s="128" t="str">
        <x:f>IF($A419="","","OK")</x:f>
      </x:c>
    </x:row>
    <x:row r="420">
      <x:c r="A420" s="128" t="str">
        <x:f>IF(AND(Locations!A300="Yes",Locations!I300="OK"),Locations!B300,"")</x:f>
      </x:c>
      <x:c r="B420" s="128" t="str">
        <x:f>IF($A420="","",XLOOKUP(Locations!B300,NOCsTbl[NOC ID],NOCsTbl[Display Name],""))</x:f>
      </x:c>
      <x:c r="C420" s="128" t="str">
        <x:f>IF($A420="","",Locations!C300)</x:f>
      </x:c>
      <x:c r="D420" s="128" t="str">
        <x:f>IF($A420="","",Locations!D300)</x:f>
      </x:c>
      <x:c r="E420" s="128" t="str">
        <x:f>IF($A420="","",Locations!F300)</x:f>
      </x:c>
      <x:c r="F420" s="128" t="str">
        <x:f>IF($A420="","",Locations!E300)</x:f>
      </x:c>
      <x:c r="G420" s="128" t="str">
        <x:f>IF($A420="","","LOCATION")</x:f>
      </x:c>
      <x:c r="H420" s="128" t="str">
        <x:f>IF($A420="","","OK")</x:f>
      </x:c>
    </x:row>
    <x:row r="421">
      <x:c r="A421" s="128" t="str">
        <x:f>IF(AND(Locations!A301="Yes",Locations!I301="OK"),Locations!B301,"")</x:f>
      </x:c>
      <x:c r="B421" s="128" t="str">
        <x:f>IF($A421="","",XLOOKUP(Locations!B301,NOCsTbl[NOC ID],NOCsTbl[Display Name],""))</x:f>
      </x:c>
      <x:c r="C421" s="128" t="str">
        <x:f>IF($A421="","",Locations!C301)</x:f>
      </x:c>
      <x:c r="D421" s="128" t="str">
        <x:f>IF($A421="","",Locations!D301)</x:f>
      </x:c>
      <x:c r="E421" s="128" t="str">
        <x:f>IF($A421="","",Locations!F301)</x:f>
      </x:c>
      <x:c r="F421" s="128" t="str">
        <x:f>IF($A421="","",Locations!E301)</x:f>
      </x:c>
      <x:c r="G421" s="128" t="str">
        <x:f>IF($A421="","","LOCATION")</x:f>
      </x:c>
      <x:c r="H421" s="128" t="str">
        <x:f>IF($A421="","","OK")</x:f>
      </x:c>
    </x:row>
    <x:row r="422">
      <x:c r="A422" s="128" t="str">
        <x:f>IF(AND(Locations!A302="Yes",Locations!I302="OK"),Locations!B302,"")</x:f>
      </x:c>
      <x:c r="B422" s="128" t="str">
        <x:f>IF($A422="","",XLOOKUP(Locations!B302,NOCsTbl[NOC ID],NOCsTbl[Display Name],""))</x:f>
      </x:c>
      <x:c r="C422" s="128" t="str">
        <x:f>IF($A422="","",Locations!C302)</x:f>
      </x:c>
      <x:c r="D422" s="128" t="str">
        <x:f>IF($A422="","",Locations!D302)</x:f>
      </x:c>
      <x:c r="E422" s="128" t="str">
        <x:f>IF($A422="","",Locations!F302)</x:f>
      </x:c>
      <x:c r="F422" s="128" t="str">
        <x:f>IF($A422="","",Locations!E302)</x:f>
      </x:c>
      <x:c r="G422" s="128" t="str">
        <x:f>IF($A422="","","LOCATION")</x:f>
      </x:c>
      <x:c r="H422" s="128" t="str">
        <x:f>IF($A422="","","OK")</x:f>
      </x:c>
    </x:row>
    <x:row r="423">
      <x:c r="A423" s="128" t="str">
        <x:f>IF(AND(Locations!A303="Yes",Locations!I303="OK"),Locations!B303,"")</x:f>
      </x:c>
      <x:c r="B423" s="128" t="str">
        <x:f>IF($A423="","",XLOOKUP(Locations!B303,NOCsTbl[NOC ID],NOCsTbl[Display Name],""))</x:f>
      </x:c>
      <x:c r="C423" s="128" t="str">
        <x:f>IF($A423="","",Locations!C303)</x:f>
      </x:c>
      <x:c r="D423" s="128" t="str">
        <x:f>IF($A423="","",Locations!D303)</x:f>
      </x:c>
      <x:c r="E423" s="128" t="str">
        <x:f>IF($A423="","",Locations!F303)</x:f>
      </x:c>
      <x:c r="F423" s="128" t="str">
        <x:f>IF($A423="","",Locations!E303)</x:f>
      </x:c>
      <x:c r="G423" s="128" t="str">
        <x:f>IF($A423="","","LOCATION")</x:f>
      </x:c>
      <x:c r="H423" s="128" t="str">
        <x:f>IF($A423="","","OK")</x:f>
      </x:c>
    </x:row>
    <x:row r="424">
      <x:c r="A424" s="128" t="str">
        <x:f>IF(AND(Locations!A304="Yes",Locations!I304="OK"),Locations!B304,"")</x:f>
      </x:c>
      <x:c r="B424" s="128" t="str">
        <x:f>IF($A424="","",XLOOKUP(Locations!B304,NOCsTbl[NOC ID],NOCsTbl[Display Name],""))</x:f>
      </x:c>
      <x:c r="C424" s="128" t="str">
        <x:f>IF($A424="","",Locations!C304)</x:f>
      </x:c>
      <x:c r="D424" s="128" t="str">
        <x:f>IF($A424="","",Locations!D304)</x:f>
      </x:c>
      <x:c r="E424" s="128" t="str">
        <x:f>IF($A424="","",Locations!F304)</x:f>
      </x:c>
      <x:c r="F424" s="128" t="str">
        <x:f>IF($A424="","",Locations!E304)</x:f>
      </x:c>
      <x:c r="G424" s="128" t="str">
        <x:f>IF($A424="","","LOCATION")</x:f>
      </x:c>
      <x:c r="H424" s="128" t="str">
        <x:f>IF($A424="","","OK")</x:f>
      </x:c>
    </x:row>
    <x:row r="425">
      <x:c r="A425" s="128" t="str">
        <x:f>IF(AND(Locations!A305="Yes",Locations!I305="OK"),Locations!B305,"")</x:f>
      </x:c>
      <x:c r="B425" s="128" t="str">
        <x:f>IF($A425="","",XLOOKUP(Locations!B305,NOCsTbl[NOC ID],NOCsTbl[Display Name],""))</x:f>
      </x:c>
      <x:c r="C425" s="128" t="str">
        <x:f>IF($A425="","",Locations!C305)</x:f>
      </x:c>
      <x:c r="D425" s="128" t="str">
        <x:f>IF($A425="","",Locations!D305)</x:f>
      </x:c>
      <x:c r="E425" s="128" t="str">
        <x:f>IF($A425="","",Locations!F305)</x:f>
      </x:c>
      <x:c r="F425" s="128" t="str">
        <x:f>IF($A425="","",Locations!E305)</x:f>
      </x:c>
      <x:c r="G425" s="128" t="str">
        <x:f>IF($A425="","","LOCATION")</x:f>
      </x:c>
      <x:c r="H425" s="128" t="str">
        <x:f>IF($A425="","","OK")</x:f>
      </x:c>
    </x:row>
    <x:row r="426">
      <x:c r="A426" s="128" t="str">
        <x:f>IF(AND(Locations!A306="Yes",Locations!I306="OK"),Locations!B306,"")</x:f>
      </x:c>
      <x:c r="B426" s="128" t="str">
        <x:f>IF($A426="","",XLOOKUP(Locations!B306,NOCsTbl[NOC ID],NOCsTbl[Display Name],""))</x:f>
      </x:c>
      <x:c r="C426" s="128" t="str">
        <x:f>IF($A426="","",Locations!C306)</x:f>
      </x:c>
      <x:c r="D426" s="128" t="str">
        <x:f>IF($A426="","",Locations!D306)</x:f>
      </x:c>
      <x:c r="E426" s="128" t="str">
        <x:f>IF($A426="","",Locations!F306)</x:f>
      </x:c>
      <x:c r="F426" s="128" t="str">
        <x:f>IF($A426="","",Locations!E306)</x:f>
      </x:c>
      <x:c r="G426" s="128" t="str">
        <x:f>IF($A426="","","LOCATION")</x:f>
      </x:c>
      <x:c r="H426" s="128" t="str">
        <x:f>IF($A426="","","OK")</x:f>
      </x:c>
    </x:row>
    <x:row r="427">
      <x:c r="A427" s="128" t="str">
        <x:f>IF(AND(Locations!A307="Yes",Locations!I307="OK"),Locations!B307,"")</x:f>
      </x:c>
      <x:c r="B427" s="128" t="str">
        <x:f>IF($A427="","",XLOOKUP(Locations!B307,NOCsTbl[NOC ID],NOCsTbl[Display Name],""))</x:f>
      </x:c>
      <x:c r="C427" s="128" t="str">
        <x:f>IF($A427="","",Locations!C307)</x:f>
      </x:c>
      <x:c r="D427" s="128" t="str">
        <x:f>IF($A427="","",Locations!D307)</x:f>
      </x:c>
      <x:c r="E427" s="128" t="str">
        <x:f>IF($A427="","",Locations!F307)</x:f>
      </x:c>
      <x:c r="F427" s="128" t="str">
        <x:f>IF($A427="","",Locations!E307)</x:f>
      </x:c>
      <x:c r="G427" s="128" t="str">
        <x:f>IF($A427="","","LOCATION")</x:f>
      </x:c>
      <x:c r="H427" s="128" t="str">
        <x:f>IF($A427="","","OK")</x:f>
      </x:c>
    </x:row>
    <x:row r="428">
      <x:c r="A428" s="128" t="str">
        <x:f>IF(AND(Locations!A308="Yes",Locations!I308="OK"),Locations!B308,"")</x:f>
      </x:c>
      <x:c r="B428" s="128" t="str">
        <x:f>IF($A428="","",XLOOKUP(Locations!B308,NOCsTbl[NOC ID],NOCsTbl[Display Name],""))</x:f>
      </x:c>
      <x:c r="C428" s="128" t="str">
        <x:f>IF($A428="","",Locations!C308)</x:f>
      </x:c>
      <x:c r="D428" s="128" t="str">
        <x:f>IF($A428="","",Locations!D308)</x:f>
      </x:c>
      <x:c r="E428" s="128" t="str">
        <x:f>IF($A428="","",Locations!F308)</x:f>
      </x:c>
      <x:c r="F428" s="128" t="str">
        <x:f>IF($A428="","",Locations!E308)</x:f>
      </x:c>
      <x:c r="G428" s="128" t="str">
        <x:f>IF($A428="","","LOCATION")</x:f>
      </x:c>
      <x:c r="H428" s="128" t="str">
        <x:f>IF($A428="","","OK")</x:f>
      </x:c>
    </x:row>
    <x:row r="429">
      <x:c r="A429" s="128" t="str">
        <x:f>IF(AND(Locations!A309="Yes",Locations!I309="OK"),Locations!B309,"")</x:f>
      </x:c>
      <x:c r="B429" s="128" t="str">
        <x:f>IF($A429="","",XLOOKUP(Locations!B309,NOCsTbl[NOC ID],NOCsTbl[Display Name],""))</x:f>
      </x:c>
      <x:c r="C429" s="128" t="str">
        <x:f>IF($A429="","",Locations!C309)</x:f>
      </x:c>
      <x:c r="D429" s="128" t="str">
        <x:f>IF($A429="","",Locations!D309)</x:f>
      </x:c>
      <x:c r="E429" s="128" t="str">
        <x:f>IF($A429="","",Locations!F309)</x:f>
      </x:c>
      <x:c r="F429" s="128" t="str">
        <x:f>IF($A429="","",Locations!E309)</x:f>
      </x:c>
      <x:c r="G429" s="128" t="str">
        <x:f>IF($A429="","","LOCATION")</x:f>
      </x:c>
      <x:c r="H429" s="128" t="str">
        <x:f>IF($A429="","","OK")</x:f>
      </x:c>
    </x:row>
    <x:row r="430">
      <x:c r="A430" s="128" t="str">
        <x:f>IF(AND(Locations!A310="Yes",Locations!I310="OK"),Locations!B310,"")</x:f>
      </x:c>
      <x:c r="B430" s="128" t="str">
        <x:f>IF($A430="","",XLOOKUP(Locations!B310,NOCsTbl[NOC ID],NOCsTbl[Display Name],""))</x:f>
      </x:c>
      <x:c r="C430" s="128" t="str">
        <x:f>IF($A430="","",Locations!C310)</x:f>
      </x:c>
      <x:c r="D430" s="128" t="str">
        <x:f>IF($A430="","",Locations!D310)</x:f>
      </x:c>
      <x:c r="E430" s="128" t="str">
        <x:f>IF($A430="","",Locations!F310)</x:f>
      </x:c>
      <x:c r="F430" s="128" t="str">
        <x:f>IF($A430="","",Locations!E310)</x:f>
      </x:c>
      <x:c r="G430" s="128" t="str">
        <x:f>IF($A430="","","LOCATION")</x:f>
      </x:c>
      <x:c r="H430" s="128" t="str">
        <x:f>IF($A430="","","OK")</x:f>
      </x:c>
    </x:row>
    <x:row r="431">
      <x:c r="A431" s="128" t="str">
        <x:f>IF(AND(Locations!A311="Yes",Locations!I311="OK"),Locations!B311,"")</x:f>
      </x:c>
      <x:c r="B431" s="128" t="str">
        <x:f>IF($A431="","",XLOOKUP(Locations!B311,NOCsTbl[NOC ID],NOCsTbl[Display Name],""))</x:f>
      </x:c>
      <x:c r="C431" s="128" t="str">
        <x:f>IF($A431="","",Locations!C311)</x:f>
      </x:c>
      <x:c r="D431" s="128" t="str">
        <x:f>IF($A431="","",Locations!D311)</x:f>
      </x:c>
      <x:c r="E431" s="128" t="str">
        <x:f>IF($A431="","",Locations!F311)</x:f>
      </x:c>
      <x:c r="F431" s="128" t="str">
        <x:f>IF($A431="","",Locations!E311)</x:f>
      </x:c>
      <x:c r="G431" s="128" t="str">
        <x:f>IF($A431="","","LOCATION")</x:f>
      </x:c>
      <x:c r="H431" s="128" t="str">
        <x:f>IF($A431="","","OK")</x:f>
      </x:c>
    </x:row>
    <x:row r="432">
      <x:c r="A432" s="128" t="str">
        <x:f>IF(AND(Locations!A312="Yes",Locations!I312="OK"),Locations!B312,"")</x:f>
      </x:c>
      <x:c r="B432" s="128" t="str">
        <x:f>IF($A432="","",XLOOKUP(Locations!B312,NOCsTbl[NOC ID],NOCsTbl[Display Name],""))</x:f>
      </x:c>
      <x:c r="C432" s="128" t="str">
        <x:f>IF($A432="","",Locations!C312)</x:f>
      </x:c>
      <x:c r="D432" s="128" t="str">
        <x:f>IF($A432="","",Locations!D312)</x:f>
      </x:c>
      <x:c r="E432" s="128" t="str">
        <x:f>IF($A432="","",Locations!F312)</x:f>
      </x:c>
      <x:c r="F432" s="128" t="str">
        <x:f>IF($A432="","",Locations!E312)</x:f>
      </x:c>
      <x:c r="G432" s="128" t="str">
        <x:f>IF($A432="","","LOCATION")</x:f>
      </x:c>
      <x:c r="H432" s="128" t="str">
        <x:f>IF($A432="","","OK")</x:f>
      </x:c>
    </x:row>
    <x:row r="433">
      <x:c r="A433" s="128" t="str">
        <x:f>IF(AND(Locations!A313="Yes",Locations!I313="OK"),Locations!B313,"")</x:f>
      </x:c>
      <x:c r="B433" s="128" t="str">
        <x:f>IF($A433="","",XLOOKUP(Locations!B313,NOCsTbl[NOC ID],NOCsTbl[Display Name],""))</x:f>
      </x:c>
      <x:c r="C433" s="128" t="str">
        <x:f>IF($A433="","",Locations!C313)</x:f>
      </x:c>
      <x:c r="D433" s="128" t="str">
        <x:f>IF($A433="","",Locations!D313)</x:f>
      </x:c>
      <x:c r="E433" s="128" t="str">
        <x:f>IF($A433="","",Locations!F313)</x:f>
      </x:c>
      <x:c r="F433" s="128" t="str">
        <x:f>IF($A433="","",Locations!E313)</x:f>
      </x:c>
      <x:c r="G433" s="128" t="str">
        <x:f>IF($A433="","","LOCATION")</x:f>
      </x:c>
      <x:c r="H433" s="128" t="str">
        <x:f>IF($A433="","","OK")</x:f>
      </x:c>
    </x:row>
    <x:row r="434">
      <x:c r="A434" s="128" t="str">
        <x:f>IF(AND(Locations!A314="Yes",Locations!I314="OK"),Locations!B314,"")</x:f>
      </x:c>
      <x:c r="B434" s="128" t="str">
        <x:f>IF($A434="","",XLOOKUP(Locations!B314,NOCsTbl[NOC ID],NOCsTbl[Display Name],""))</x:f>
      </x:c>
      <x:c r="C434" s="128" t="str">
        <x:f>IF($A434="","",Locations!C314)</x:f>
      </x:c>
      <x:c r="D434" s="128" t="str">
        <x:f>IF($A434="","",Locations!D314)</x:f>
      </x:c>
      <x:c r="E434" s="128" t="str">
        <x:f>IF($A434="","",Locations!F314)</x:f>
      </x:c>
      <x:c r="F434" s="128" t="str">
        <x:f>IF($A434="","",Locations!E314)</x:f>
      </x:c>
      <x:c r="G434" s="128" t="str">
        <x:f>IF($A434="","","LOCATION")</x:f>
      </x:c>
      <x:c r="H434" s="128" t="str">
        <x:f>IF($A434="","","OK")</x:f>
      </x:c>
    </x:row>
    <x:row r="435">
      <x:c r="A435" s="128" t="str">
        <x:f>IF(AND(Locations!A315="Yes",Locations!I315="OK"),Locations!B315,"")</x:f>
      </x:c>
      <x:c r="B435" s="128" t="str">
        <x:f>IF($A435="","",XLOOKUP(Locations!B315,NOCsTbl[NOC ID],NOCsTbl[Display Name],""))</x:f>
      </x:c>
      <x:c r="C435" s="128" t="str">
        <x:f>IF($A435="","",Locations!C315)</x:f>
      </x:c>
      <x:c r="D435" s="128" t="str">
        <x:f>IF($A435="","",Locations!D315)</x:f>
      </x:c>
      <x:c r="E435" s="128" t="str">
        <x:f>IF($A435="","",Locations!F315)</x:f>
      </x:c>
      <x:c r="F435" s="128" t="str">
        <x:f>IF($A435="","",Locations!E315)</x:f>
      </x:c>
      <x:c r="G435" s="128" t="str">
        <x:f>IF($A435="","","LOCATION")</x:f>
      </x:c>
      <x:c r="H435" s="128" t="str">
        <x:f>IF($A435="","","OK")</x:f>
      </x:c>
    </x:row>
    <x:row r="436">
      <x:c r="A436" s="128" t="str">
        <x:f>IF(AND(Locations!A316="Yes",Locations!I316="OK"),Locations!B316,"")</x:f>
      </x:c>
      <x:c r="B436" s="128" t="str">
        <x:f>IF($A436="","",XLOOKUP(Locations!B316,NOCsTbl[NOC ID],NOCsTbl[Display Name],""))</x:f>
      </x:c>
      <x:c r="C436" s="128" t="str">
        <x:f>IF($A436="","",Locations!C316)</x:f>
      </x:c>
      <x:c r="D436" s="128" t="str">
        <x:f>IF($A436="","",Locations!D316)</x:f>
      </x:c>
      <x:c r="E436" s="128" t="str">
        <x:f>IF($A436="","",Locations!F316)</x:f>
      </x:c>
      <x:c r="F436" s="128" t="str">
        <x:f>IF($A436="","",Locations!E316)</x:f>
      </x:c>
      <x:c r="G436" s="128" t="str">
        <x:f>IF($A436="","","LOCATION")</x:f>
      </x:c>
      <x:c r="H436" s="128" t="str">
        <x:f>IF($A436="","","OK")</x:f>
      </x:c>
    </x:row>
    <x:row r="437">
      <x:c r="A437" s="128" t="str">
        <x:f>IF(AND(Locations!A317="Yes",Locations!I317="OK"),Locations!B317,"")</x:f>
      </x:c>
      <x:c r="B437" s="128" t="str">
        <x:f>IF($A437="","",XLOOKUP(Locations!B317,NOCsTbl[NOC ID],NOCsTbl[Display Name],""))</x:f>
      </x:c>
      <x:c r="C437" s="128" t="str">
        <x:f>IF($A437="","",Locations!C317)</x:f>
      </x:c>
      <x:c r="D437" s="128" t="str">
        <x:f>IF($A437="","",Locations!D317)</x:f>
      </x:c>
      <x:c r="E437" s="128" t="str">
        <x:f>IF($A437="","",Locations!F317)</x:f>
      </x:c>
      <x:c r="F437" s="128" t="str">
        <x:f>IF($A437="","",Locations!E317)</x:f>
      </x:c>
      <x:c r="G437" s="128" t="str">
        <x:f>IF($A437="","","LOCATION")</x:f>
      </x:c>
      <x:c r="H437" s="128" t="str">
        <x:f>IF($A437="","","OK")</x:f>
      </x:c>
    </x:row>
    <x:row r="438">
      <x:c r="A438" s="128" t="str">
        <x:f>IF(AND(Locations!A318="Yes",Locations!I318="OK"),Locations!B318,"")</x:f>
      </x:c>
      <x:c r="B438" s="128" t="str">
        <x:f>IF($A438="","",XLOOKUP(Locations!B318,NOCsTbl[NOC ID],NOCsTbl[Display Name],""))</x:f>
      </x:c>
      <x:c r="C438" s="128" t="str">
        <x:f>IF($A438="","",Locations!C318)</x:f>
      </x:c>
      <x:c r="D438" s="128" t="str">
        <x:f>IF($A438="","",Locations!D318)</x:f>
      </x:c>
      <x:c r="E438" s="128" t="str">
        <x:f>IF($A438="","",Locations!F318)</x:f>
      </x:c>
      <x:c r="F438" s="128" t="str">
        <x:f>IF($A438="","",Locations!E318)</x:f>
      </x:c>
      <x:c r="G438" s="128" t="str">
        <x:f>IF($A438="","","LOCATION")</x:f>
      </x:c>
      <x:c r="H438" s="128" t="str">
        <x:f>IF($A438="","","OK")</x:f>
      </x:c>
    </x:row>
    <x:row r="439">
      <x:c r="A439" s="128" t="str">
        <x:f>IF(AND(Locations!A319="Yes",Locations!I319="OK"),Locations!B319,"")</x:f>
      </x:c>
      <x:c r="B439" s="128" t="str">
        <x:f>IF($A439="","",XLOOKUP(Locations!B319,NOCsTbl[NOC ID],NOCsTbl[Display Name],""))</x:f>
      </x:c>
      <x:c r="C439" s="128" t="str">
        <x:f>IF($A439="","",Locations!C319)</x:f>
      </x:c>
      <x:c r="D439" s="128" t="str">
        <x:f>IF($A439="","",Locations!D319)</x:f>
      </x:c>
      <x:c r="E439" s="128" t="str">
        <x:f>IF($A439="","",Locations!F319)</x:f>
      </x:c>
      <x:c r="F439" s="128" t="str">
        <x:f>IF($A439="","",Locations!E319)</x:f>
      </x:c>
      <x:c r="G439" s="128" t="str">
        <x:f>IF($A439="","","LOCATION")</x:f>
      </x:c>
      <x:c r="H439" s="128" t="str">
        <x:f>IF($A439="","","OK")</x:f>
      </x:c>
    </x:row>
    <x:row r="440">
      <x:c r="A440" s="128" t="str">
        <x:f>IF(AND(Locations!A320="Yes",Locations!I320="OK"),Locations!B320,"")</x:f>
      </x:c>
      <x:c r="B440" s="128" t="str">
        <x:f>IF($A440="","",XLOOKUP(Locations!B320,NOCsTbl[NOC ID],NOCsTbl[Display Name],""))</x:f>
      </x:c>
      <x:c r="C440" s="128" t="str">
        <x:f>IF($A440="","",Locations!C320)</x:f>
      </x:c>
      <x:c r="D440" s="128" t="str">
        <x:f>IF($A440="","",Locations!D320)</x:f>
      </x:c>
      <x:c r="E440" s="128" t="str">
        <x:f>IF($A440="","",Locations!F320)</x:f>
      </x:c>
      <x:c r="F440" s="128" t="str">
        <x:f>IF($A440="","",Locations!E320)</x:f>
      </x:c>
      <x:c r="G440" s="128" t="str">
        <x:f>IF($A440="","","LOCATION")</x:f>
      </x:c>
      <x:c r="H440" s="128" t="str">
        <x:f>IF($A440="","","OK")</x:f>
      </x:c>
    </x:row>
    <x:row r="441">
      <x:c r="A441" s="128" t="str">
        <x:f>IF(AND(Locations!A321="Yes",Locations!I321="OK"),Locations!B321,"")</x:f>
      </x:c>
      <x:c r="B441" s="128" t="str">
        <x:f>IF($A441="","",XLOOKUP(Locations!B321,NOCsTbl[NOC ID],NOCsTbl[Display Name],""))</x:f>
      </x:c>
      <x:c r="C441" s="128" t="str">
        <x:f>IF($A441="","",Locations!C321)</x:f>
      </x:c>
      <x:c r="D441" s="128" t="str">
        <x:f>IF($A441="","",Locations!D321)</x:f>
      </x:c>
      <x:c r="E441" s="128" t="str">
        <x:f>IF($A441="","",Locations!F321)</x:f>
      </x:c>
      <x:c r="F441" s="128" t="str">
        <x:f>IF($A441="","",Locations!E321)</x:f>
      </x:c>
      <x:c r="G441" s="128" t="str">
        <x:f>IF($A441="","","LOCATION")</x:f>
      </x:c>
      <x:c r="H441" s="128" t="str">
        <x:f>IF($A441="","","OK")</x:f>
      </x:c>
    </x:row>
    <x:row r="442">
      <x:c r="A442" s="128" t="str">
        <x:f>IF(AND(Locations!A322="Yes",Locations!I322="OK"),Locations!B322,"")</x:f>
      </x:c>
      <x:c r="B442" s="128" t="str">
        <x:f>IF($A442="","",XLOOKUP(Locations!B322,NOCsTbl[NOC ID],NOCsTbl[Display Name],""))</x:f>
      </x:c>
      <x:c r="C442" s="128" t="str">
        <x:f>IF($A442="","",Locations!C322)</x:f>
      </x:c>
      <x:c r="D442" s="128" t="str">
        <x:f>IF($A442="","",Locations!D322)</x:f>
      </x:c>
      <x:c r="E442" s="128" t="str">
        <x:f>IF($A442="","",Locations!F322)</x:f>
      </x:c>
      <x:c r="F442" s="128" t="str">
        <x:f>IF($A442="","",Locations!E322)</x:f>
      </x:c>
      <x:c r="G442" s="128" t="str">
        <x:f>IF($A442="","","LOCATION")</x:f>
      </x:c>
      <x:c r="H442" s="128" t="str">
        <x:f>IF($A442="","","OK")</x:f>
      </x:c>
    </x:row>
    <x:row r="443">
      <x:c r="A443" s="128" t="str">
        <x:f>IF(AND(Locations!A323="Yes",Locations!I323="OK"),Locations!B323,"")</x:f>
      </x:c>
      <x:c r="B443" s="128" t="str">
        <x:f>IF($A443="","",XLOOKUP(Locations!B323,NOCsTbl[NOC ID],NOCsTbl[Display Name],""))</x:f>
      </x:c>
      <x:c r="C443" s="128" t="str">
        <x:f>IF($A443="","",Locations!C323)</x:f>
      </x:c>
      <x:c r="D443" s="128" t="str">
        <x:f>IF($A443="","",Locations!D323)</x:f>
      </x:c>
      <x:c r="E443" s="128" t="str">
        <x:f>IF($A443="","",Locations!F323)</x:f>
      </x:c>
      <x:c r="F443" s="128" t="str">
        <x:f>IF($A443="","",Locations!E323)</x:f>
      </x:c>
      <x:c r="G443" s="128" t="str">
        <x:f>IF($A443="","","LOCATION")</x:f>
      </x:c>
      <x:c r="H443" s="128" t="str">
        <x:f>IF($A443="","","OK")</x:f>
      </x:c>
    </x:row>
    <x:row r="444">
      <x:c r="A444" s="128" t="str">
        <x:f>IF(AND(Locations!A324="Yes",Locations!I324="OK"),Locations!B324,"")</x:f>
      </x:c>
      <x:c r="B444" s="128" t="str">
        <x:f>IF($A444="","",XLOOKUP(Locations!B324,NOCsTbl[NOC ID],NOCsTbl[Display Name],""))</x:f>
      </x:c>
      <x:c r="C444" s="128" t="str">
        <x:f>IF($A444="","",Locations!C324)</x:f>
      </x:c>
      <x:c r="D444" s="128" t="str">
        <x:f>IF($A444="","",Locations!D324)</x:f>
      </x:c>
      <x:c r="E444" s="128" t="str">
        <x:f>IF($A444="","",Locations!F324)</x:f>
      </x:c>
      <x:c r="F444" s="128" t="str">
        <x:f>IF($A444="","",Locations!E324)</x:f>
      </x:c>
      <x:c r="G444" s="128" t="str">
        <x:f>IF($A444="","","LOCATION")</x:f>
      </x:c>
      <x:c r="H444" s="128" t="str">
        <x:f>IF($A444="","","OK")</x:f>
      </x:c>
    </x:row>
    <x:row r="445">
      <x:c r="A445" s="128" t="str">
        <x:f>IF(AND(Locations!A325="Yes",Locations!I325="OK"),Locations!B325,"")</x:f>
      </x:c>
      <x:c r="B445" s="128" t="str">
        <x:f>IF($A445="","",XLOOKUP(Locations!B325,NOCsTbl[NOC ID],NOCsTbl[Display Name],""))</x:f>
      </x:c>
      <x:c r="C445" s="128" t="str">
        <x:f>IF($A445="","",Locations!C325)</x:f>
      </x:c>
      <x:c r="D445" s="128" t="str">
        <x:f>IF($A445="","",Locations!D325)</x:f>
      </x:c>
      <x:c r="E445" s="128" t="str">
        <x:f>IF($A445="","",Locations!F325)</x:f>
      </x:c>
      <x:c r="F445" s="128" t="str">
        <x:f>IF($A445="","",Locations!E325)</x:f>
      </x:c>
      <x:c r="G445" s="128" t="str">
        <x:f>IF($A445="","","LOCATION")</x:f>
      </x:c>
      <x:c r="H445" s="128" t="str">
        <x:f>IF($A445="","","OK")</x:f>
      </x:c>
    </x:row>
    <x:row r="446">
      <x:c r="A446" s="128" t="str">
        <x:f>IF(AND(Locations!A326="Yes",Locations!I326="OK"),Locations!B326,"")</x:f>
      </x:c>
      <x:c r="B446" s="128" t="str">
        <x:f>IF($A446="","",XLOOKUP(Locations!B326,NOCsTbl[NOC ID],NOCsTbl[Display Name],""))</x:f>
      </x:c>
      <x:c r="C446" s="128" t="str">
        <x:f>IF($A446="","",Locations!C326)</x:f>
      </x:c>
      <x:c r="D446" s="128" t="str">
        <x:f>IF($A446="","",Locations!D326)</x:f>
      </x:c>
      <x:c r="E446" s="128" t="str">
        <x:f>IF($A446="","",Locations!F326)</x:f>
      </x:c>
      <x:c r="F446" s="128" t="str">
        <x:f>IF($A446="","",Locations!E326)</x:f>
      </x:c>
      <x:c r="G446" s="128" t="str">
        <x:f>IF($A446="","","LOCATION")</x:f>
      </x:c>
      <x:c r="H446" s="128" t="str">
        <x:f>IF($A446="","","OK")</x:f>
      </x:c>
    </x:row>
    <x:row r="447">
      <x:c r="A447" s="128" t="str">
        <x:f>IF(AND(Locations!A327="Yes",Locations!I327="OK"),Locations!B327,"")</x:f>
      </x:c>
      <x:c r="B447" s="128" t="str">
        <x:f>IF($A447="","",XLOOKUP(Locations!B327,NOCsTbl[NOC ID],NOCsTbl[Display Name],""))</x:f>
      </x:c>
      <x:c r="C447" s="128" t="str">
        <x:f>IF($A447="","",Locations!C327)</x:f>
      </x:c>
      <x:c r="D447" s="128" t="str">
        <x:f>IF($A447="","",Locations!D327)</x:f>
      </x:c>
      <x:c r="E447" s="128" t="str">
        <x:f>IF($A447="","",Locations!F327)</x:f>
      </x:c>
      <x:c r="F447" s="128" t="str">
        <x:f>IF($A447="","",Locations!E327)</x:f>
      </x:c>
      <x:c r="G447" s="128" t="str">
        <x:f>IF($A447="","","LOCATION")</x:f>
      </x:c>
      <x:c r="H447" s="128" t="str">
        <x:f>IF($A447="","","OK")</x:f>
      </x:c>
    </x:row>
    <x:row r="448">
      <x:c r="A448" s="128" t="str">
        <x:f>IF(AND(Locations!A328="Yes",Locations!I328="OK"),Locations!B328,"")</x:f>
      </x:c>
      <x:c r="B448" s="128" t="str">
        <x:f>IF($A448="","",XLOOKUP(Locations!B328,NOCsTbl[NOC ID],NOCsTbl[Display Name],""))</x:f>
      </x:c>
      <x:c r="C448" s="128" t="str">
        <x:f>IF($A448="","",Locations!C328)</x:f>
      </x:c>
      <x:c r="D448" s="128" t="str">
        <x:f>IF($A448="","",Locations!D328)</x:f>
      </x:c>
      <x:c r="E448" s="128" t="str">
        <x:f>IF($A448="","",Locations!F328)</x:f>
      </x:c>
      <x:c r="F448" s="128" t="str">
        <x:f>IF($A448="","",Locations!E328)</x:f>
      </x:c>
      <x:c r="G448" s="128" t="str">
        <x:f>IF($A448="","","LOCATION")</x:f>
      </x:c>
      <x:c r="H448" s="128" t="str">
        <x:f>IF($A448="","","OK")</x:f>
      </x:c>
    </x:row>
    <x:row r="449">
      <x:c r="A449" s="128" t="str">
        <x:f>IF(AND(Locations!A329="Yes",Locations!I329="OK"),Locations!B329,"")</x:f>
      </x:c>
      <x:c r="B449" s="128" t="str">
        <x:f>IF($A449="","",XLOOKUP(Locations!B329,NOCsTbl[NOC ID],NOCsTbl[Display Name],""))</x:f>
      </x:c>
      <x:c r="C449" s="128" t="str">
        <x:f>IF($A449="","",Locations!C329)</x:f>
      </x:c>
      <x:c r="D449" s="128" t="str">
        <x:f>IF($A449="","",Locations!D329)</x:f>
      </x:c>
      <x:c r="E449" s="128" t="str">
        <x:f>IF($A449="","",Locations!F329)</x:f>
      </x:c>
      <x:c r="F449" s="128" t="str">
        <x:f>IF($A449="","",Locations!E329)</x:f>
      </x:c>
      <x:c r="G449" s="128" t="str">
        <x:f>IF($A449="","","LOCATION")</x:f>
      </x:c>
      <x:c r="H449" s="128" t="str">
        <x:f>IF($A449="","","OK")</x:f>
      </x:c>
    </x:row>
    <x:row r="450">
      <x:c r="A450" s="128" t="str">
        <x:f>IF(AND(Locations!A330="Yes",Locations!I330="OK"),Locations!B330,"")</x:f>
      </x:c>
      <x:c r="B450" s="128" t="str">
        <x:f>IF($A450="","",XLOOKUP(Locations!B330,NOCsTbl[NOC ID],NOCsTbl[Display Name],""))</x:f>
      </x:c>
      <x:c r="C450" s="128" t="str">
        <x:f>IF($A450="","",Locations!C330)</x:f>
      </x:c>
      <x:c r="D450" s="128" t="str">
        <x:f>IF($A450="","",Locations!D330)</x:f>
      </x:c>
      <x:c r="E450" s="128" t="str">
        <x:f>IF($A450="","",Locations!F330)</x:f>
      </x:c>
      <x:c r="F450" s="128" t="str">
        <x:f>IF($A450="","",Locations!E330)</x:f>
      </x:c>
      <x:c r="G450" s="128" t="str">
        <x:f>IF($A450="","","LOCATION")</x:f>
      </x:c>
      <x:c r="H450" s="128" t="str">
        <x:f>IF($A450="","","OK")</x:f>
      </x:c>
    </x:row>
    <x:row r="451">
      <x:c r="A451" s="128" t="str">
        <x:f>IF(AND(Locations!A331="Yes",Locations!I331="OK"),Locations!B331,"")</x:f>
      </x:c>
      <x:c r="B451" s="128" t="str">
        <x:f>IF($A451="","",XLOOKUP(Locations!B331,NOCsTbl[NOC ID],NOCsTbl[Display Name],""))</x:f>
      </x:c>
      <x:c r="C451" s="128" t="str">
        <x:f>IF($A451="","",Locations!C331)</x:f>
      </x:c>
      <x:c r="D451" s="128" t="str">
        <x:f>IF($A451="","",Locations!D331)</x:f>
      </x:c>
      <x:c r="E451" s="128" t="str">
        <x:f>IF($A451="","",Locations!F331)</x:f>
      </x:c>
      <x:c r="F451" s="128" t="str">
        <x:f>IF($A451="","",Locations!E331)</x:f>
      </x:c>
      <x:c r="G451" s="128" t="str">
        <x:f>IF($A451="","","LOCATION")</x:f>
      </x:c>
      <x:c r="H451" s="128" t="str">
        <x:f>IF($A451="","","OK")</x:f>
      </x:c>
    </x:row>
    <x:row r="452">
      <x:c r="A452" s="128" t="str">
        <x:f>IF(AND(Locations!A332="Yes",Locations!I332="OK"),Locations!B332,"")</x:f>
      </x:c>
      <x:c r="B452" s="128" t="str">
        <x:f>IF($A452="","",XLOOKUP(Locations!B332,NOCsTbl[NOC ID],NOCsTbl[Display Name],""))</x:f>
      </x:c>
      <x:c r="C452" s="128" t="str">
        <x:f>IF($A452="","",Locations!C332)</x:f>
      </x:c>
      <x:c r="D452" s="128" t="str">
        <x:f>IF($A452="","",Locations!D332)</x:f>
      </x:c>
      <x:c r="E452" s="128" t="str">
        <x:f>IF($A452="","",Locations!F332)</x:f>
      </x:c>
      <x:c r="F452" s="128" t="str">
        <x:f>IF($A452="","",Locations!E332)</x:f>
      </x:c>
      <x:c r="G452" s="128" t="str">
        <x:f>IF($A452="","","LOCATION")</x:f>
      </x:c>
      <x:c r="H452" s="128" t="str">
        <x:f>IF($A452="","","OK")</x:f>
      </x:c>
    </x:row>
    <x:row r="453">
      <x:c r="A453" s="128" t="str">
        <x:f>IF(AND(Locations!A333="Yes",Locations!I333="OK"),Locations!B333,"")</x:f>
      </x:c>
      <x:c r="B453" s="128" t="str">
        <x:f>IF($A453="","",XLOOKUP(Locations!B333,NOCsTbl[NOC ID],NOCsTbl[Display Name],""))</x:f>
      </x:c>
      <x:c r="C453" s="128" t="str">
        <x:f>IF($A453="","",Locations!C333)</x:f>
      </x:c>
      <x:c r="D453" s="128" t="str">
        <x:f>IF($A453="","",Locations!D333)</x:f>
      </x:c>
      <x:c r="E453" s="128" t="str">
        <x:f>IF($A453="","",Locations!F333)</x:f>
      </x:c>
      <x:c r="F453" s="128" t="str">
        <x:f>IF($A453="","",Locations!E333)</x:f>
      </x:c>
      <x:c r="G453" s="128" t="str">
        <x:f>IF($A453="","","LOCATION")</x:f>
      </x:c>
      <x:c r="H453" s="128" t="str">
        <x:f>IF($A453="","","OK")</x:f>
      </x:c>
    </x:row>
    <x:row r="454">
      <x:c r="A454" s="128" t="str">
        <x:f>IF(AND(Locations!A334="Yes",Locations!I334="OK"),Locations!B334,"")</x:f>
      </x:c>
      <x:c r="B454" s="128" t="str">
        <x:f>IF($A454="","",XLOOKUP(Locations!B334,NOCsTbl[NOC ID],NOCsTbl[Display Name],""))</x:f>
      </x:c>
      <x:c r="C454" s="128" t="str">
        <x:f>IF($A454="","",Locations!C334)</x:f>
      </x:c>
      <x:c r="D454" s="128" t="str">
        <x:f>IF($A454="","",Locations!D334)</x:f>
      </x:c>
      <x:c r="E454" s="128" t="str">
        <x:f>IF($A454="","",Locations!F334)</x:f>
      </x:c>
      <x:c r="F454" s="128" t="str">
        <x:f>IF($A454="","",Locations!E334)</x:f>
      </x:c>
      <x:c r="G454" s="128" t="str">
        <x:f>IF($A454="","","LOCATION")</x:f>
      </x:c>
      <x:c r="H454" s="128" t="str">
        <x:f>IF($A454="","","OK")</x:f>
      </x:c>
    </x:row>
    <x:row r="455">
      <x:c r="A455" s="128" t="str">
        <x:f>IF(AND(Locations!A335="Yes",Locations!I335="OK"),Locations!B335,"")</x:f>
      </x:c>
      <x:c r="B455" s="128" t="str">
        <x:f>IF($A455="","",XLOOKUP(Locations!B335,NOCsTbl[NOC ID],NOCsTbl[Display Name],""))</x:f>
      </x:c>
      <x:c r="C455" s="128" t="str">
        <x:f>IF($A455="","",Locations!C335)</x:f>
      </x:c>
      <x:c r="D455" s="128" t="str">
        <x:f>IF($A455="","",Locations!D335)</x:f>
      </x:c>
      <x:c r="E455" s="128" t="str">
        <x:f>IF($A455="","",Locations!F335)</x:f>
      </x:c>
      <x:c r="F455" s="128" t="str">
        <x:f>IF($A455="","",Locations!E335)</x:f>
      </x:c>
      <x:c r="G455" s="128" t="str">
        <x:f>IF($A455="","","LOCATION")</x:f>
      </x:c>
      <x:c r="H455" s="128" t="str">
        <x:f>IF($A455="","","OK")</x:f>
      </x:c>
    </x:row>
    <x:row r="456">
      <x:c r="A456" s="128" t="str">
        <x:f>IF(AND(Locations!A336="Yes",Locations!I336="OK"),Locations!B336,"")</x:f>
      </x:c>
      <x:c r="B456" s="128" t="str">
        <x:f>IF($A456="","",XLOOKUP(Locations!B336,NOCsTbl[NOC ID],NOCsTbl[Display Name],""))</x:f>
      </x:c>
      <x:c r="C456" s="128" t="str">
        <x:f>IF($A456="","",Locations!C336)</x:f>
      </x:c>
      <x:c r="D456" s="128" t="str">
        <x:f>IF($A456="","",Locations!D336)</x:f>
      </x:c>
      <x:c r="E456" s="128" t="str">
        <x:f>IF($A456="","",Locations!F336)</x:f>
      </x:c>
      <x:c r="F456" s="128" t="str">
        <x:f>IF($A456="","",Locations!E336)</x:f>
      </x:c>
      <x:c r="G456" s="128" t="str">
        <x:f>IF($A456="","","LOCATION")</x:f>
      </x:c>
      <x:c r="H456" s="128" t="str">
        <x:f>IF($A456="","","OK")</x:f>
      </x:c>
    </x:row>
    <x:row r="457">
      <x:c r="A457" s="128" t="str">
        <x:f>IF(AND(Locations!A337="Yes",Locations!I337="OK"),Locations!B337,"")</x:f>
      </x:c>
      <x:c r="B457" s="128" t="str">
        <x:f>IF($A457="","",XLOOKUP(Locations!B337,NOCsTbl[NOC ID],NOCsTbl[Display Name],""))</x:f>
      </x:c>
      <x:c r="C457" s="128" t="str">
        <x:f>IF($A457="","",Locations!C337)</x:f>
      </x:c>
      <x:c r="D457" s="128" t="str">
        <x:f>IF($A457="","",Locations!D337)</x:f>
      </x:c>
      <x:c r="E457" s="128" t="str">
        <x:f>IF($A457="","",Locations!F337)</x:f>
      </x:c>
      <x:c r="F457" s="128" t="str">
        <x:f>IF($A457="","",Locations!E337)</x:f>
      </x:c>
      <x:c r="G457" s="128" t="str">
        <x:f>IF($A457="","","LOCATION")</x:f>
      </x:c>
      <x:c r="H457" s="128" t="str">
        <x:f>IF($A457="","","OK")</x:f>
      </x:c>
    </x:row>
    <x:row r="458">
      <x:c r="A458" s="128" t="str">
        <x:f>IF(AND(Locations!A338="Yes",Locations!I338="OK"),Locations!B338,"")</x:f>
      </x:c>
      <x:c r="B458" s="128" t="str">
        <x:f>IF($A458="","",XLOOKUP(Locations!B338,NOCsTbl[NOC ID],NOCsTbl[Display Name],""))</x:f>
      </x:c>
      <x:c r="C458" s="128" t="str">
        <x:f>IF($A458="","",Locations!C338)</x:f>
      </x:c>
      <x:c r="D458" s="128" t="str">
        <x:f>IF($A458="","",Locations!D338)</x:f>
      </x:c>
      <x:c r="E458" s="128" t="str">
        <x:f>IF($A458="","",Locations!F338)</x:f>
      </x:c>
      <x:c r="F458" s="128" t="str">
        <x:f>IF($A458="","",Locations!E338)</x:f>
      </x:c>
      <x:c r="G458" s="128" t="str">
        <x:f>IF($A458="","","LOCATION")</x:f>
      </x:c>
      <x:c r="H458" s="128" t="str">
        <x:f>IF($A458="","","OK")</x:f>
      </x:c>
    </x:row>
    <x:row r="459">
      <x:c r="A459" s="128" t="str">
        <x:f>IF(AND(Locations!A339="Yes",Locations!I339="OK"),Locations!B339,"")</x:f>
      </x:c>
      <x:c r="B459" s="128" t="str">
        <x:f>IF($A459="","",XLOOKUP(Locations!B339,NOCsTbl[NOC ID],NOCsTbl[Display Name],""))</x:f>
      </x:c>
      <x:c r="C459" s="128" t="str">
        <x:f>IF($A459="","",Locations!C339)</x:f>
      </x:c>
      <x:c r="D459" s="128" t="str">
        <x:f>IF($A459="","",Locations!D339)</x:f>
      </x:c>
      <x:c r="E459" s="128" t="str">
        <x:f>IF($A459="","",Locations!F339)</x:f>
      </x:c>
      <x:c r="F459" s="128" t="str">
        <x:f>IF($A459="","",Locations!E339)</x:f>
      </x:c>
      <x:c r="G459" s="128" t="str">
        <x:f>IF($A459="","","LOCATION")</x:f>
      </x:c>
      <x:c r="H459" s="128" t="str">
        <x:f>IF($A459="","","OK")</x:f>
      </x:c>
    </x:row>
    <x:row r="460">
      <x:c r="A460" s="128" t="str">
        <x:f>IF(AND(Locations!A340="Yes",Locations!I340="OK"),Locations!B340,"")</x:f>
      </x:c>
      <x:c r="B460" s="128" t="str">
        <x:f>IF($A460="","",XLOOKUP(Locations!B340,NOCsTbl[NOC ID],NOCsTbl[Display Name],""))</x:f>
      </x:c>
      <x:c r="C460" s="128" t="str">
        <x:f>IF($A460="","",Locations!C340)</x:f>
      </x:c>
      <x:c r="D460" s="128" t="str">
        <x:f>IF($A460="","",Locations!D340)</x:f>
      </x:c>
      <x:c r="E460" s="128" t="str">
        <x:f>IF($A460="","",Locations!F340)</x:f>
      </x:c>
      <x:c r="F460" s="128" t="str">
        <x:f>IF($A460="","",Locations!E340)</x:f>
      </x:c>
      <x:c r="G460" s="128" t="str">
        <x:f>IF($A460="","","LOCATION")</x:f>
      </x:c>
      <x:c r="H460" s="128" t="str">
        <x:f>IF($A460="","","OK")</x:f>
      </x:c>
    </x:row>
    <x:row r="461">
      <x:c r="A461" s="128" t="str">
        <x:f>IF(AND(Locations!A341="Yes",Locations!I341="OK"),Locations!B341,"")</x:f>
      </x:c>
      <x:c r="B461" s="128" t="str">
        <x:f>IF($A461="","",XLOOKUP(Locations!B341,NOCsTbl[NOC ID],NOCsTbl[Display Name],""))</x:f>
      </x:c>
      <x:c r="C461" s="128" t="str">
        <x:f>IF($A461="","",Locations!C341)</x:f>
      </x:c>
      <x:c r="D461" s="128" t="str">
        <x:f>IF($A461="","",Locations!D341)</x:f>
      </x:c>
      <x:c r="E461" s="128" t="str">
        <x:f>IF($A461="","",Locations!F341)</x:f>
      </x:c>
      <x:c r="F461" s="128" t="str">
        <x:f>IF($A461="","",Locations!E341)</x:f>
      </x:c>
      <x:c r="G461" s="128" t="str">
        <x:f>IF($A461="","","LOCATION")</x:f>
      </x:c>
      <x:c r="H461" s="128" t="str">
        <x:f>IF($A461="","","OK")</x:f>
      </x:c>
    </x:row>
    <x:row r="462">
      <x:c r="A462" s="128" t="str">
        <x:f>IF(AND(Locations!A342="Yes",Locations!I342="OK"),Locations!B342,"")</x:f>
      </x:c>
      <x:c r="B462" s="128" t="str">
        <x:f>IF($A462="","",XLOOKUP(Locations!B342,NOCsTbl[NOC ID],NOCsTbl[Display Name],""))</x:f>
      </x:c>
      <x:c r="C462" s="128" t="str">
        <x:f>IF($A462="","",Locations!C342)</x:f>
      </x:c>
      <x:c r="D462" s="128" t="str">
        <x:f>IF($A462="","",Locations!D342)</x:f>
      </x:c>
      <x:c r="E462" s="128" t="str">
        <x:f>IF($A462="","",Locations!F342)</x:f>
      </x:c>
      <x:c r="F462" s="128" t="str">
        <x:f>IF($A462="","",Locations!E342)</x:f>
      </x:c>
      <x:c r="G462" s="128" t="str">
        <x:f>IF($A462="","","LOCATION")</x:f>
      </x:c>
      <x:c r="H462" s="128" t="str">
        <x:f>IF($A462="","","OK")</x:f>
      </x:c>
    </x:row>
    <x:row r="463">
      <x:c r="A463" s="128" t="str">
        <x:f>IF(AND(Locations!A343="Yes",Locations!I343="OK"),Locations!B343,"")</x:f>
      </x:c>
      <x:c r="B463" s="128" t="str">
        <x:f>IF($A463="","",XLOOKUP(Locations!B343,NOCsTbl[NOC ID],NOCsTbl[Display Name],""))</x:f>
      </x:c>
      <x:c r="C463" s="128" t="str">
        <x:f>IF($A463="","",Locations!C343)</x:f>
      </x:c>
      <x:c r="D463" s="128" t="str">
        <x:f>IF($A463="","",Locations!D343)</x:f>
      </x:c>
      <x:c r="E463" s="128" t="str">
        <x:f>IF($A463="","",Locations!F343)</x:f>
      </x:c>
      <x:c r="F463" s="128" t="str">
        <x:f>IF($A463="","",Locations!E343)</x:f>
      </x:c>
      <x:c r="G463" s="128" t="str">
        <x:f>IF($A463="","","LOCATION")</x:f>
      </x:c>
      <x:c r="H463" s="128" t="str">
        <x:f>IF($A463="","","OK")</x:f>
      </x:c>
    </x:row>
    <x:row r="464">
      <x:c r="A464" s="128" t="str">
        <x:f>IF(AND(Locations!A344="Yes",Locations!I344="OK"),Locations!B344,"")</x:f>
      </x:c>
      <x:c r="B464" s="128" t="str">
        <x:f>IF($A464="","",XLOOKUP(Locations!B344,NOCsTbl[NOC ID],NOCsTbl[Display Name],""))</x:f>
      </x:c>
      <x:c r="C464" s="128" t="str">
        <x:f>IF($A464="","",Locations!C344)</x:f>
      </x:c>
      <x:c r="D464" s="128" t="str">
        <x:f>IF($A464="","",Locations!D344)</x:f>
      </x:c>
      <x:c r="E464" s="128" t="str">
        <x:f>IF($A464="","",Locations!F344)</x:f>
      </x:c>
      <x:c r="F464" s="128" t="str">
        <x:f>IF($A464="","",Locations!E344)</x:f>
      </x:c>
      <x:c r="G464" s="128" t="str">
        <x:f>IF($A464="","","LOCATION")</x:f>
      </x:c>
      <x:c r="H464" s="128" t="str">
        <x:f>IF($A464="","","OK")</x:f>
      </x:c>
    </x:row>
    <x:row r="465">
      <x:c r="A465" s="128" t="str">
        <x:f>IF(AND(Locations!A345="Yes",Locations!I345="OK"),Locations!B345,"")</x:f>
      </x:c>
      <x:c r="B465" s="128" t="str">
        <x:f>IF($A465="","",XLOOKUP(Locations!B345,NOCsTbl[NOC ID],NOCsTbl[Display Name],""))</x:f>
      </x:c>
      <x:c r="C465" s="128" t="str">
        <x:f>IF($A465="","",Locations!C345)</x:f>
      </x:c>
      <x:c r="D465" s="128" t="str">
        <x:f>IF($A465="","",Locations!D345)</x:f>
      </x:c>
      <x:c r="E465" s="128" t="str">
        <x:f>IF($A465="","",Locations!F345)</x:f>
      </x:c>
      <x:c r="F465" s="128" t="str">
        <x:f>IF($A465="","",Locations!E345)</x:f>
      </x:c>
      <x:c r="G465" s="128" t="str">
        <x:f>IF($A465="","","LOCATION")</x:f>
      </x:c>
      <x:c r="H465" s="128" t="str">
        <x:f>IF($A465="","","OK")</x:f>
      </x:c>
    </x:row>
    <x:row r="466">
      <x:c r="A466" s="128" t="str">
        <x:f>IF(AND(Locations!A346="Yes",Locations!I346="OK"),Locations!B346,"")</x:f>
      </x:c>
      <x:c r="B466" s="128" t="str">
        <x:f>IF($A466="","",XLOOKUP(Locations!B346,NOCsTbl[NOC ID],NOCsTbl[Display Name],""))</x:f>
      </x:c>
      <x:c r="C466" s="128" t="str">
        <x:f>IF($A466="","",Locations!C346)</x:f>
      </x:c>
      <x:c r="D466" s="128" t="str">
        <x:f>IF($A466="","",Locations!D346)</x:f>
      </x:c>
      <x:c r="E466" s="128" t="str">
        <x:f>IF($A466="","",Locations!F346)</x:f>
      </x:c>
      <x:c r="F466" s="128" t="str">
        <x:f>IF($A466="","",Locations!E346)</x:f>
      </x:c>
      <x:c r="G466" s="128" t="str">
        <x:f>IF($A466="","","LOCATION")</x:f>
      </x:c>
      <x:c r="H466" s="128" t="str">
        <x:f>IF($A466="","","OK")</x:f>
      </x:c>
    </x:row>
    <x:row r="467">
      <x:c r="A467" s="128" t="str">
        <x:f>IF(AND(Locations!A347="Yes",Locations!I347="OK"),Locations!B347,"")</x:f>
      </x:c>
      <x:c r="B467" s="128" t="str">
        <x:f>IF($A467="","",XLOOKUP(Locations!B347,NOCsTbl[NOC ID],NOCsTbl[Display Name],""))</x:f>
      </x:c>
      <x:c r="C467" s="128" t="str">
        <x:f>IF($A467="","",Locations!C347)</x:f>
      </x:c>
      <x:c r="D467" s="128" t="str">
        <x:f>IF($A467="","",Locations!D347)</x:f>
      </x:c>
      <x:c r="E467" s="128" t="str">
        <x:f>IF($A467="","",Locations!F347)</x:f>
      </x:c>
      <x:c r="F467" s="128" t="str">
        <x:f>IF($A467="","",Locations!E347)</x:f>
      </x:c>
      <x:c r="G467" s="128" t="str">
        <x:f>IF($A467="","","LOCATION")</x:f>
      </x:c>
      <x:c r="H467" s="128" t="str">
        <x:f>IF($A467="","","OK")</x:f>
      </x:c>
    </x:row>
    <x:row r="468">
      <x:c r="A468" s="128" t="str">
        <x:f>IF(AND(Locations!A348="Yes",Locations!I348="OK"),Locations!B348,"")</x:f>
      </x:c>
      <x:c r="B468" s="128" t="str">
        <x:f>IF($A468="","",XLOOKUP(Locations!B348,NOCsTbl[NOC ID],NOCsTbl[Display Name],""))</x:f>
      </x:c>
      <x:c r="C468" s="128" t="str">
        <x:f>IF($A468="","",Locations!C348)</x:f>
      </x:c>
      <x:c r="D468" s="128" t="str">
        <x:f>IF($A468="","",Locations!D348)</x:f>
      </x:c>
      <x:c r="E468" s="128" t="str">
        <x:f>IF($A468="","",Locations!F348)</x:f>
      </x:c>
      <x:c r="F468" s="128" t="str">
        <x:f>IF($A468="","",Locations!E348)</x:f>
      </x:c>
      <x:c r="G468" s="128" t="str">
        <x:f>IF($A468="","","LOCATION")</x:f>
      </x:c>
      <x:c r="H468" s="128" t="str">
        <x:f>IF($A468="","","OK")</x:f>
      </x:c>
    </x:row>
    <x:row r="469">
      <x:c r="A469" s="128" t="str">
        <x:f>IF(AND(Locations!A349="Yes",Locations!I349="OK"),Locations!B349,"")</x:f>
      </x:c>
      <x:c r="B469" s="128" t="str">
        <x:f>IF($A469="","",XLOOKUP(Locations!B349,NOCsTbl[NOC ID],NOCsTbl[Display Name],""))</x:f>
      </x:c>
      <x:c r="C469" s="128" t="str">
        <x:f>IF($A469="","",Locations!C349)</x:f>
      </x:c>
      <x:c r="D469" s="128" t="str">
        <x:f>IF($A469="","",Locations!D349)</x:f>
      </x:c>
      <x:c r="E469" s="128" t="str">
        <x:f>IF($A469="","",Locations!F349)</x:f>
      </x:c>
      <x:c r="F469" s="128" t="str">
        <x:f>IF($A469="","",Locations!E349)</x:f>
      </x:c>
      <x:c r="G469" s="128" t="str">
        <x:f>IF($A469="","","LOCATION")</x:f>
      </x:c>
      <x:c r="H469" s="128" t="str">
        <x:f>IF($A469="","","OK")</x:f>
      </x:c>
    </x:row>
    <x:row r="470">
      <x:c r="A470" s="128" t="str">
        <x:f>IF(AND(Locations!A350="Yes",Locations!I350="OK"),Locations!B350,"")</x:f>
      </x:c>
      <x:c r="B470" s="128" t="str">
        <x:f>IF($A470="","",XLOOKUP(Locations!B350,NOCsTbl[NOC ID],NOCsTbl[Display Name],""))</x:f>
      </x:c>
      <x:c r="C470" s="128" t="str">
        <x:f>IF($A470="","",Locations!C350)</x:f>
      </x:c>
      <x:c r="D470" s="128" t="str">
        <x:f>IF($A470="","",Locations!D350)</x:f>
      </x:c>
      <x:c r="E470" s="128" t="str">
        <x:f>IF($A470="","",Locations!F350)</x:f>
      </x:c>
      <x:c r="F470" s="128" t="str">
        <x:f>IF($A470="","",Locations!E350)</x:f>
      </x:c>
      <x:c r="G470" s="128" t="str">
        <x:f>IF($A470="","","LOCATION")</x:f>
      </x:c>
      <x:c r="H470" s="128" t="str">
        <x:f>IF($A470="","","OK")</x:f>
      </x:c>
    </x:row>
    <x:row r="471">
      <x:c r="A471" s="128" t="str">
        <x:f>IF(AND(Locations!A351="Yes",Locations!I351="OK"),Locations!B351,"")</x:f>
      </x:c>
      <x:c r="B471" s="128" t="str">
        <x:f>IF($A471="","",XLOOKUP(Locations!B351,NOCsTbl[NOC ID],NOCsTbl[Display Name],""))</x:f>
      </x:c>
      <x:c r="C471" s="128" t="str">
        <x:f>IF($A471="","",Locations!C351)</x:f>
      </x:c>
      <x:c r="D471" s="128" t="str">
        <x:f>IF($A471="","",Locations!D351)</x:f>
      </x:c>
      <x:c r="E471" s="128" t="str">
        <x:f>IF($A471="","",Locations!F351)</x:f>
      </x:c>
      <x:c r="F471" s="128" t="str">
        <x:f>IF($A471="","",Locations!E351)</x:f>
      </x:c>
      <x:c r="G471" s="128" t="str">
        <x:f>IF($A471="","","LOCATION")</x:f>
      </x:c>
      <x:c r="H471" s="128" t="str">
        <x:f>IF($A471="","","OK")</x:f>
      </x:c>
    </x:row>
    <x:row r="472">
      <x:c r="A472" s="128" t="str">
        <x:f>IF(AND(Locations!A352="Yes",Locations!I352="OK"),Locations!B352,"")</x:f>
      </x:c>
      <x:c r="B472" s="128" t="str">
        <x:f>IF($A472="","",XLOOKUP(Locations!B352,NOCsTbl[NOC ID],NOCsTbl[Display Name],""))</x:f>
      </x:c>
      <x:c r="C472" s="128" t="str">
        <x:f>IF($A472="","",Locations!C352)</x:f>
      </x:c>
      <x:c r="D472" s="128" t="str">
        <x:f>IF($A472="","",Locations!D352)</x:f>
      </x:c>
      <x:c r="E472" s="128" t="str">
        <x:f>IF($A472="","",Locations!F352)</x:f>
      </x:c>
      <x:c r="F472" s="128" t="str">
        <x:f>IF($A472="","",Locations!E352)</x:f>
      </x:c>
      <x:c r="G472" s="128" t="str">
        <x:f>IF($A472="","","LOCATION")</x:f>
      </x:c>
      <x:c r="H472" s="128" t="str">
        <x:f>IF($A472="","","OK")</x:f>
      </x:c>
    </x:row>
    <x:row r="473">
      <x:c r="A473" s="128" t="str">
        <x:f>IF(AND(Locations!A353="Yes",Locations!I353="OK"),Locations!B353,"")</x:f>
      </x:c>
      <x:c r="B473" s="128" t="str">
        <x:f>IF($A473="","",XLOOKUP(Locations!B353,NOCsTbl[NOC ID],NOCsTbl[Display Name],""))</x:f>
      </x:c>
      <x:c r="C473" s="128" t="str">
        <x:f>IF($A473="","",Locations!C353)</x:f>
      </x:c>
      <x:c r="D473" s="128" t="str">
        <x:f>IF($A473="","",Locations!D353)</x:f>
      </x:c>
      <x:c r="E473" s="128" t="str">
        <x:f>IF($A473="","",Locations!F353)</x:f>
      </x:c>
      <x:c r="F473" s="128" t="str">
        <x:f>IF($A473="","",Locations!E353)</x:f>
      </x:c>
      <x:c r="G473" s="128" t="str">
        <x:f>IF($A473="","","LOCATION")</x:f>
      </x:c>
      <x:c r="H473" s="128" t="str">
        <x:f>IF($A473="","","OK")</x:f>
      </x:c>
    </x:row>
    <x:row r="474">
      <x:c r="A474" s="128" t="str">
        <x:f>IF(AND(Locations!A354="Yes",Locations!I354="OK"),Locations!B354,"")</x:f>
      </x:c>
      <x:c r="B474" s="128" t="str">
        <x:f>IF($A474="","",XLOOKUP(Locations!B354,NOCsTbl[NOC ID],NOCsTbl[Display Name],""))</x:f>
      </x:c>
      <x:c r="C474" s="128" t="str">
        <x:f>IF($A474="","",Locations!C354)</x:f>
      </x:c>
      <x:c r="D474" s="128" t="str">
        <x:f>IF($A474="","",Locations!D354)</x:f>
      </x:c>
      <x:c r="E474" s="128" t="str">
        <x:f>IF($A474="","",Locations!F354)</x:f>
      </x:c>
      <x:c r="F474" s="128" t="str">
        <x:f>IF($A474="","",Locations!E354)</x:f>
      </x:c>
      <x:c r="G474" s="128" t="str">
        <x:f>IF($A474="","","LOCATION")</x:f>
      </x:c>
      <x:c r="H474" s="128" t="str">
        <x:f>IF($A474="","","OK")</x:f>
      </x:c>
    </x:row>
    <x:row r="475">
      <x:c r="A475" s="128" t="str">
        <x:f>IF(AND(Locations!A355="Yes",Locations!I355="OK"),Locations!B355,"")</x:f>
      </x:c>
      <x:c r="B475" s="128" t="str">
        <x:f>IF($A475="","",XLOOKUP(Locations!B355,NOCsTbl[NOC ID],NOCsTbl[Display Name],""))</x:f>
      </x:c>
      <x:c r="C475" s="128" t="str">
        <x:f>IF($A475="","",Locations!C355)</x:f>
      </x:c>
      <x:c r="D475" s="128" t="str">
        <x:f>IF($A475="","",Locations!D355)</x:f>
      </x:c>
      <x:c r="E475" s="128" t="str">
        <x:f>IF($A475="","",Locations!F355)</x:f>
      </x:c>
      <x:c r="F475" s="128" t="str">
        <x:f>IF($A475="","",Locations!E355)</x:f>
      </x:c>
      <x:c r="G475" s="128" t="str">
        <x:f>IF($A475="","","LOCATION")</x:f>
      </x:c>
      <x:c r="H475" s="128" t="str">
        <x:f>IF($A475="","","OK")</x:f>
      </x:c>
    </x:row>
    <x:row r="476">
      <x:c r="A476" s="128" t="str">
        <x:f>IF(AND(Locations!A356="Yes",Locations!I356="OK"),Locations!B356,"")</x:f>
      </x:c>
      <x:c r="B476" s="128" t="str">
        <x:f>IF($A476="","",XLOOKUP(Locations!B356,NOCsTbl[NOC ID],NOCsTbl[Display Name],""))</x:f>
      </x:c>
      <x:c r="C476" s="128" t="str">
        <x:f>IF($A476="","",Locations!C356)</x:f>
      </x:c>
      <x:c r="D476" s="128" t="str">
        <x:f>IF($A476="","",Locations!D356)</x:f>
      </x:c>
      <x:c r="E476" s="128" t="str">
        <x:f>IF($A476="","",Locations!F356)</x:f>
      </x:c>
      <x:c r="F476" s="128" t="str">
        <x:f>IF($A476="","",Locations!E356)</x:f>
      </x:c>
      <x:c r="G476" s="128" t="str">
        <x:f>IF($A476="","","LOCATION")</x:f>
      </x:c>
      <x:c r="H476" s="128" t="str">
        <x:f>IF($A476="","","OK")</x:f>
      </x:c>
    </x:row>
    <x:row r="477">
      <x:c r="A477" s="128" t="str">
        <x:f>IF(AND(Locations!A357="Yes",Locations!I357="OK"),Locations!B357,"")</x:f>
      </x:c>
      <x:c r="B477" s="128" t="str">
        <x:f>IF($A477="","",XLOOKUP(Locations!B357,NOCsTbl[NOC ID],NOCsTbl[Display Name],""))</x:f>
      </x:c>
      <x:c r="C477" s="128" t="str">
        <x:f>IF($A477="","",Locations!C357)</x:f>
      </x:c>
      <x:c r="D477" s="128" t="str">
        <x:f>IF($A477="","",Locations!D357)</x:f>
      </x:c>
      <x:c r="E477" s="128" t="str">
        <x:f>IF($A477="","",Locations!F357)</x:f>
      </x:c>
      <x:c r="F477" s="128" t="str">
        <x:f>IF($A477="","",Locations!E357)</x:f>
      </x:c>
      <x:c r="G477" s="128" t="str">
        <x:f>IF($A477="","","LOCATION")</x:f>
      </x:c>
      <x:c r="H477" s="128" t="str">
        <x:f>IF($A477="","","OK")</x:f>
      </x:c>
    </x:row>
    <x:row r="478">
      <x:c r="A478" s="128" t="str">
        <x:f>IF(AND(Locations!A358="Yes",Locations!I358="OK"),Locations!B358,"")</x:f>
      </x:c>
      <x:c r="B478" s="128" t="str">
        <x:f>IF($A478="","",XLOOKUP(Locations!B358,NOCsTbl[NOC ID],NOCsTbl[Display Name],""))</x:f>
      </x:c>
      <x:c r="C478" s="128" t="str">
        <x:f>IF($A478="","",Locations!C358)</x:f>
      </x:c>
      <x:c r="D478" s="128" t="str">
        <x:f>IF($A478="","",Locations!D358)</x:f>
      </x:c>
      <x:c r="E478" s="128" t="str">
        <x:f>IF($A478="","",Locations!F358)</x:f>
      </x:c>
      <x:c r="F478" s="128" t="str">
        <x:f>IF($A478="","",Locations!E358)</x:f>
      </x:c>
      <x:c r="G478" s="128" t="str">
        <x:f>IF($A478="","","LOCATION")</x:f>
      </x:c>
      <x:c r="H478" s="128" t="str">
        <x:f>IF($A478="","","OK")</x:f>
      </x:c>
    </x:row>
    <x:row r="479">
      <x:c r="A479" s="128" t="str">
        <x:f>IF(AND(Locations!A359="Yes",Locations!I359="OK"),Locations!B359,"")</x:f>
      </x:c>
      <x:c r="B479" s="128" t="str">
        <x:f>IF($A479="","",XLOOKUP(Locations!B359,NOCsTbl[NOC ID],NOCsTbl[Display Name],""))</x:f>
      </x:c>
      <x:c r="C479" s="128" t="str">
        <x:f>IF($A479="","",Locations!C359)</x:f>
      </x:c>
      <x:c r="D479" s="128" t="str">
        <x:f>IF($A479="","",Locations!D359)</x:f>
      </x:c>
      <x:c r="E479" s="128" t="str">
        <x:f>IF($A479="","",Locations!F359)</x:f>
      </x:c>
      <x:c r="F479" s="128" t="str">
        <x:f>IF($A479="","",Locations!E359)</x:f>
      </x:c>
      <x:c r="G479" s="128" t="str">
        <x:f>IF($A479="","","LOCATION")</x:f>
      </x:c>
      <x:c r="H479" s="128" t="str">
        <x:f>IF($A479="","","OK")</x:f>
      </x:c>
    </x:row>
    <x:row r="480">
      <x:c r="A480" s="128" t="str">
        <x:f>IF(AND(Locations!A360="Yes",Locations!I360="OK"),Locations!B360,"")</x:f>
      </x:c>
      <x:c r="B480" s="128" t="str">
        <x:f>IF($A480="","",XLOOKUP(Locations!B360,NOCsTbl[NOC ID],NOCsTbl[Display Name],""))</x:f>
      </x:c>
      <x:c r="C480" s="128" t="str">
        <x:f>IF($A480="","",Locations!C360)</x:f>
      </x:c>
      <x:c r="D480" s="128" t="str">
        <x:f>IF($A480="","",Locations!D360)</x:f>
      </x:c>
      <x:c r="E480" s="128" t="str">
        <x:f>IF($A480="","",Locations!F360)</x:f>
      </x:c>
      <x:c r="F480" s="128" t="str">
        <x:f>IF($A480="","",Locations!E360)</x:f>
      </x:c>
      <x:c r="G480" s="128" t="str">
        <x:f>IF($A480="","","LOCATION")</x:f>
      </x:c>
      <x:c r="H480" s="128" t="str">
        <x:f>IF($A480="","","OK")</x:f>
      </x:c>
    </x:row>
    <x:row r="481">
      <x:c r="A481" s="128" t="str">
        <x:f>IF(AND(Locations!A361="Yes",Locations!I361="OK"),Locations!B361,"")</x:f>
      </x:c>
      <x:c r="B481" s="128" t="str">
        <x:f>IF($A481="","",XLOOKUP(Locations!B361,NOCsTbl[NOC ID],NOCsTbl[Display Name],""))</x:f>
      </x:c>
      <x:c r="C481" s="128" t="str">
        <x:f>IF($A481="","",Locations!C361)</x:f>
      </x:c>
      <x:c r="D481" s="128" t="str">
        <x:f>IF($A481="","",Locations!D361)</x:f>
      </x:c>
      <x:c r="E481" s="128" t="str">
        <x:f>IF($A481="","",Locations!F361)</x:f>
      </x:c>
      <x:c r="F481" s="128" t="str">
        <x:f>IF($A481="","",Locations!E361)</x:f>
      </x:c>
      <x:c r="G481" s="128" t="str">
        <x:f>IF($A481="","","LOCATION")</x:f>
      </x:c>
      <x:c r="H481" s="128" t="str">
        <x:f>IF($A481="","","OK")</x:f>
      </x:c>
    </x:row>
    <x:row r="482">
      <x:c r="A482" s="128" t="str">
        <x:f>IF(AND(Locations!A362="Yes",Locations!I362="OK"),Locations!B362,"")</x:f>
      </x:c>
      <x:c r="B482" s="128" t="str">
        <x:f>IF($A482="","",XLOOKUP(Locations!B362,NOCsTbl[NOC ID],NOCsTbl[Display Name],""))</x:f>
      </x:c>
      <x:c r="C482" s="128" t="str">
        <x:f>IF($A482="","",Locations!C362)</x:f>
      </x:c>
      <x:c r="D482" s="128" t="str">
        <x:f>IF($A482="","",Locations!D362)</x:f>
      </x:c>
      <x:c r="E482" s="128" t="str">
        <x:f>IF($A482="","",Locations!F362)</x:f>
      </x:c>
      <x:c r="F482" s="128" t="str">
        <x:f>IF($A482="","",Locations!E362)</x:f>
      </x:c>
      <x:c r="G482" s="128" t="str">
        <x:f>IF($A482="","","LOCATION")</x:f>
      </x:c>
      <x:c r="H482" s="128" t="str">
        <x:f>IF($A482="","","OK")</x:f>
      </x:c>
    </x:row>
    <x:row r="483">
      <x:c r="A483" s="128" t="str">
        <x:f>IF(AND(Locations!A363="Yes",Locations!I363="OK"),Locations!B363,"")</x:f>
      </x:c>
      <x:c r="B483" s="128" t="str">
        <x:f>IF($A483="","",XLOOKUP(Locations!B363,NOCsTbl[NOC ID],NOCsTbl[Display Name],""))</x:f>
      </x:c>
      <x:c r="C483" s="128" t="str">
        <x:f>IF($A483="","",Locations!C363)</x:f>
      </x:c>
      <x:c r="D483" s="128" t="str">
        <x:f>IF($A483="","",Locations!D363)</x:f>
      </x:c>
      <x:c r="E483" s="128" t="str">
        <x:f>IF($A483="","",Locations!F363)</x:f>
      </x:c>
      <x:c r="F483" s="128" t="str">
        <x:f>IF($A483="","",Locations!E363)</x:f>
      </x:c>
      <x:c r="G483" s="128" t="str">
        <x:f>IF($A483="","","LOCATION")</x:f>
      </x:c>
      <x:c r="H483" s="128" t="str">
        <x:f>IF($A483="","","OK")</x:f>
      </x:c>
    </x:row>
    <x:row r="484">
      <x:c r="A484" s="128" t="str">
        <x:f>IF(AND(Locations!A364="Yes",Locations!I364="OK"),Locations!B364,"")</x:f>
      </x:c>
      <x:c r="B484" s="128" t="str">
        <x:f>IF($A484="","",XLOOKUP(Locations!B364,NOCsTbl[NOC ID],NOCsTbl[Display Name],""))</x:f>
      </x:c>
      <x:c r="C484" s="128" t="str">
        <x:f>IF($A484="","",Locations!C364)</x:f>
      </x:c>
      <x:c r="D484" s="128" t="str">
        <x:f>IF($A484="","",Locations!D364)</x:f>
      </x:c>
      <x:c r="E484" s="128" t="str">
        <x:f>IF($A484="","",Locations!F364)</x:f>
      </x:c>
      <x:c r="F484" s="128" t="str">
        <x:f>IF($A484="","",Locations!E364)</x:f>
      </x:c>
      <x:c r="G484" s="128" t="str">
        <x:f>IF($A484="","","LOCATION")</x:f>
      </x:c>
      <x:c r="H484" s="128" t="str">
        <x:f>IF($A484="","","OK")</x:f>
      </x:c>
    </x:row>
    <x:row r="485">
      <x:c r="A485" s="128" t="str">
        <x:f>IF(AND(Locations!A365="Yes",Locations!I365="OK"),Locations!B365,"")</x:f>
      </x:c>
      <x:c r="B485" s="128" t="str">
        <x:f>IF($A485="","",XLOOKUP(Locations!B365,NOCsTbl[NOC ID],NOCsTbl[Display Name],""))</x:f>
      </x:c>
      <x:c r="C485" s="128" t="str">
        <x:f>IF($A485="","",Locations!C365)</x:f>
      </x:c>
      <x:c r="D485" s="128" t="str">
        <x:f>IF($A485="","",Locations!D365)</x:f>
      </x:c>
      <x:c r="E485" s="128" t="str">
        <x:f>IF($A485="","",Locations!F365)</x:f>
      </x:c>
      <x:c r="F485" s="128" t="str">
        <x:f>IF($A485="","",Locations!E365)</x:f>
      </x:c>
      <x:c r="G485" s="128" t="str">
        <x:f>IF($A485="","","LOCATION")</x:f>
      </x:c>
      <x:c r="H485" s="128" t="str">
        <x:f>IF($A485="","","OK")</x:f>
      </x:c>
    </x:row>
    <x:row r="486">
      <x:c r="A486" s="128" t="str">
        <x:f>IF(AND(Locations!A366="Yes",Locations!I366="OK"),Locations!B366,"")</x:f>
      </x:c>
      <x:c r="B486" s="128" t="str">
        <x:f>IF($A486="","",XLOOKUP(Locations!B366,NOCsTbl[NOC ID],NOCsTbl[Display Name],""))</x:f>
      </x:c>
      <x:c r="C486" s="128" t="str">
        <x:f>IF($A486="","",Locations!C366)</x:f>
      </x:c>
      <x:c r="D486" s="128" t="str">
        <x:f>IF($A486="","",Locations!D366)</x:f>
      </x:c>
      <x:c r="E486" s="128" t="str">
        <x:f>IF($A486="","",Locations!F366)</x:f>
      </x:c>
      <x:c r="F486" s="128" t="str">
        <x:f>IF($A486="","",Locations!E366)</x:f>
      </x:c>
      <x:c r="G486" s="128" t="str">
        <x:f>IF($A486="","","LOCATION")</x:f>
      </x:c>
      <x:c r="H486" s="128" t="str">
        <x:f>IF($A486="","","OK")</x:f>
      </x:c>
    </x:row>
    <x:row r="487">
      <x:c r="A487" s="128" t="str">
        <x:f>IF(AND(Locations!A367="Yes",Locations!I367="OK"),Locations!B367,"")</x:f>
      </x:c>
      <x:c r="B487" s="128" t="str">
        <x:f>IF($A487="","",XLOOKUP(Locations!B367,NOCsTbl[NOC ID],NOCsTbl[Display Name],""))</x:f>
      </x:c>
      <x:c r="C487" s="128" t="str">
        <x:f>IF($A487="","",Locations!C367)</x:f>
      </x:c>
      <x:c r="D487" s="128" t="str">
        <x:f>IF($A487="","",Locations!D367)</x:f>
      </x:c>
      <x:c r="E487" s="128" t="str">
        <x:f>IF($A487="","",Locations!F367)</x:f>
      </x:c>
      <x:c r="F487" s="128" t="str">
        <x:f>IF($A487="","",Locations!E367)</x:f>
      </x:c>
      <x:c r="G487" s="128" t="str">
        <x:f>IF($A487="","","LOCATION")</x:f>
      </x:c>
      <x:c r="H487" s="128" t="str">
        <x:f>IF($A487="","","OK")</x:f>
      </x:c>
    </x:row>
    <x:row r="488">
      <x:c r="A488" s="128" t="str">
        <x:f>IF(AND(Locations!A368="Yes",Locations!I368="OK"),Locations!B368,"")</x:f>
      </x:c>
      <x:c r="B488" s="128" t="str">
        <x:f>IF($A488="","",XLOOKUP(Locations!B368,NOCsTbl[NOC ID],NOCsTbl[Display Name],""))</x:f>
      </x:c>
      <x:c r="C488" s="128" t="str">
        <x:f>IF($A488="","",Locations!C368)</x:f>
      </x:c>
      <x:c r="D488" s="128" t="str">
        <x:f>IF($A488="","",Locations!D368)</x:f>
      </x:c>
      <x:c r="E488" s="128" t="str">
        <x:f>IF($A488="","",Locations!F368)</x:f>
      </x:c>
      <x:c r="F488" s="128" t="str">
        <x:f>IF($A488="","",Locations!E368)</x:f>
      </x:c>
      <x:c r="G488" s="128" t="str">
        <x:f>IF($A488="","","LOCATION")</x:f>
      </x:c>
      <x:c r="H488" s="128" t="str">
        <x:f>IF($A488="","","OK")</x:f>
      </x:c>
    </x:row>
    <x:row r="489">
      <x:c r="A489" s="128" t="str">
        <x:f>IF(AND(Locations!A369="Yes",Locations!I369="OK"),Locations!B369,"")</x:f>
      </x:c>
      <x:c r="B489" s="128" t="str">
        <x:f>IF($A489="","",XLOOKUP(Locations!B369,NOCsTbl[NOC ID],NOCsTbl[Display Name],""))</x:f>
      </x:c>
      <x:c r="C489" s="128" t="str">
        <x:f>IF($A489="","",Locations!C369)</x:f>
      </x:c>
      <x:c r="D489" s="128" t="str">
        <x:f>IF($A489="","",Locations!D369)</x:f>
      </x:c>
      <x:c r="E489" s="128" t="str">
        <x:f>IF($A489="","",Locations!F369)</x:f>
      </x:c>
      <x:c r="F489" s="128" t="str">
        <x:f>IF($A489="","",Locations!E369)</x:f>
      </x:c>
      <x:c r="G489" s="128" t="str">
        <x:f>IF($A489="","","LOCATION")</x:f>
      </x:c>
      <x:c r="H489" s="128" t="str">
        <x:f>IF($A489="","","OK")</x:f>
      </x:c>
    </x:row>
    <x:row r="490">
      <x:c r="A490" s="128" t="str">
        <x:f>IF(AND(Locations!A370="Yes",Locations!I370="OK"),Locations!B370,"")</x:f>
      </x:c>
      <x:c r="B490" s="128" t="str">
        <x:f>IF($A490="","",XLOOKUP(Locations!B370,NOCsTbl[NOC ID],NOCsTbl[Display Name],""))</x:f>
      </x:c>
      <x:c r="C490" s="128" t="str">
        <x:f>IF($A490="","",Locations!C370)</x:f>
      </x:c>
      <x:c r="D490" s="128" t="str">
        <x:f>IF($A490="","",Locations!D370)</x:f>
      </x:c>
      <x:c r="E490" s="128" t="str">
        <x:f>IF($A490="","",Locations!F370)</x:f>
      </x:c>
      <x:c r="F490" s="128" t="str">
        <x:f>IF($A490="","",Locations!E370)</x:f>
      </x:c>
      <x:c r="G490" s="128" t="str">
        <x:f>IF($A490="","","LOCATION")</x:f>
      </x:c>
      <x:c r="H490" s="128" t="str">
        <x:f>IF($A490="","","OK")</x:f>
      </x:c>
    </x:row>
    <x:row r="491">
      <x:c r="A491" s="128" t="str">
        <x:f>IF(AND(Locations!A371="Yes",Locations!I371="OK"),Locations!B371,"")</x:f>
      </x:c>
      <x:c r="B491" s="128" t="str">
        <x:f>IF($A491="","",XLOOKUP(Locations!B371,NOCsTbl[NOC ID],NOCsTbl[Display Name],""))</x:f>
      </x:c>
      <x:c r="C491" s="128" t="str">
        <x:f>IF($A491="","",Locations!C371)</x:f>
      </x:c>
      <x:c r="D491" s="128" t="str">
        <x:f>IF($A491="","",Locations!D371)</x:f>
      </x:c>
      <x:c r="E491" s="128" t="str">
        <x:f>IF($A491="","",Locations!F371)</x:f>
      </x:c>
      <x:c r="F491" s="128" t="str">
        <x:f>IF($A491="","",Locations!E371)</x:f>
      </x:c>
      <x:c r="G491" s="128" t="str">
        <x:f>IF($A491="","","LOCATION")</x:f>
      </x:c>
      <x:c r="H491" s="128" t="str">
        <x:f>IF($A491="","","OK")</x:f>
      </x:c>
    </x:row>
    <x:row r="492">
      <x:c r="A492" s="128" t="str">
        <x:f>IF(AND(Locations!A372="Yes",Locations!I372="OK"),Locations!B372,"")</x:f>
      </x:c>
      <x:c r="B492" s="128" t="str">
        <x:f>IF($A492="","",XLOOKUP(Locations!B372,NOCsTbl[NOC ID],NOCsTbl[Display Name],""))</x:f>
      </x:c>
      <x:c r="C492" s="128" t="str">
        <x:f>IF($A492="","",Locations!C372)</x:f>
      </x:c>
      <x:c r="D492" s="128" t="str">
        <x:f>IF($A492="","",Locations!D372)</x:f>
      </x:c>
      <x:c r="E492" s="128" t="str">
        <x:f>IF($A492="","",Locations!F372)</x:f>
      </x:c>
      <x:c r="F492" s="128" t="str">
        <x:f>IF($A492="","",Locations!E372)</x:f>
      </x:c>
      <x:c r="G492" s="128" t="str">
        <x:f>IF($A492="","","LOCATION")</x:f>
      </x:c>
      <x:c r="H492" s="128" t="str">
        <x:f>IF($A492="","","OK")</x:f>
      </x:c>
    </x:row>
    <x:row r="493">
      <x:c r="A493" s="128" t="str">
        <x:f>IF(AND(Locations!A373="Yes",Locations!I373="OK"),Locations!B373,"")</x:f>
      </x:c>
      <x:c r="B493" s="128" t="str">
        <x:f>IF($A493="","",XLOOKUP(Locations!B373,NOCsTbl[NOC ID],NOCsTbl[Display Name],""))</x:f>
      </x:c>
      <x:c r="C493" s="128" t="str">
        <x:f>IF($A493="","",Locations!C373)</x:f>
      </x:c>
      <x:c r="D493" s="128" t="str">
        <x:f>IF($A493="","",Locations!D373)</x:f>
      </x:c>
      <x:c r="E493" s="128" t="str">
        <x:f>IF($A493="","",Locations!F373)</x:f>
      </x:c>
      <x:c r="F493" s="128" t="str">
        <x:f>IF($A493="","",Locations!E373)</x:f>
      </x:c>
      <x:c r="G493" s="128" t="str">
        <x:f>IF($A493="","","LOCATION")</x:f>
      </x:c>
      <x:c r="H493" s="128" t="str">
        <x:f>IF($A493="","","OK")</x:f>
      </x:c>
    </x:row>
    <x:row r="494">
      <x:c r="A494" s="128" t="str">
        <x:f>IF(AND(Locations!A374="Yes",Locations!I374="OK"),Locations!B374,"")</x:f>
      </x:c>
      <x:c r="B494" s="128" t="str">
        <x:f>IF($A494="","",XLOOKUP(Locations!B374,NOCsTbl[NOC ID],NOCsTbl[Display Name],""))</x:f>
      </x:c>
      <x:c r="C494" s="128" t="str">
        <x:f>IF($A494="","",Locations!C374)</x:f>
      </x:c>
      <x:c r="D494" s="128" t="str">
        <x:f>IF($A494="","",Locations!D374)</x:f>
      </x:c>
      <x:c r="E494" s="128" t="str">
        <x:f>IF($A494="","",Locations!F374)</x:f>
      </x:c>
      <x:c r="F494" s="128" t="str">
        <x:f>IF($A494="","",Locations!E374)</x:f>
      </x:c>
      <x:c r="G494" s="128" t="str">
        <x:f>IF($A494="","","LOCATION")</x:f>
      </x:c>
      <x:c r="H494" s="128" t="str">
        <x:f>IF($A494="","","OK")</x:f>
      </x:c>
    </x:row>
    <x:row r="495">
      <x:c r="A495" s="128" t="str">
        <x:f>IF(AND(Locations!A375="Yes",Locations!I375="OK"),Locations!B375,"")</x:f>
      </x:c>
      <x:c r="B495" s="128" t="str">
        <x:f>IF($A495="","",XLOOKUP(Locations!B375,NOCsTbl[NOC ID],NOCsTbl[Display Name],""))</x:f>
      </x:c>
      <x:c r="C495" s="128" t="str">
        <x:f>IF($A495="","",Locations!C375)</x:f>
      </x:c>
      <x:c r="D495" s="128" t="str">
        <x:f>IF($A495="","",Locations!D375)</x:f>
      </x:c>
      <x:c r="E495" s="128" t="str">
        <x:f>IF($A495="","",Locations!F375)</x:f>
      </x:c>
      <x:c r="F495" s="128" t="str">
        <x:f>IF($A495="","",Locations!E375)</x:f>
      </x:c>
      <x:c r="G495" s="128" t="str">
        <x:f>IF($A495="","","LOCATION")</x:f>
      </x:c>
      <x:c r="H495" s="128" t="str">
        <x:f>IF($A495="","","OK")</x:f>
      </x:c>
    </x:row>
    <x:row r="496">
      <x:c r="A496" s="128" t="str">
        <x:f>IF(AND(Locations!A376="Yes",Locations!I376="OK"),Locations!B376,"")</x:f>
      </x:c>
      <x:c r="B496" s="128" t="str">
        <x:f>IF($A496="","",XLOOKUP(Locations!B376,NOCsTbl[NOC ID],NOCsTbl[Display Name],""))</x:f>
      </x:c>
      <x:c r="C496" s="128" t="str">
        <x:f>IF($A496="","",Locations!C376)</x:f>
      </x:c>
      <x:c r="D496" s="128" t="str">
        <x:f>IF($A496="","",Locations!D376)</x:f>
      </x:c>
      <x:c r="E496" s="128" t="str">
        <x:f>IF($A496="","",Locations!F376)</x:f>
      </x:c>
      <x:c r="F496" s="128" t="str">
        <x:f>IF($A496="","",Locations!E376)</x:f>
      </x:c>
      <x:c r="G496" s="128" t="str">
        <x:f>IF($A496="","","LOCATION")</x:f>
      </x:c>
      <x:c r="H496" s="128" t="str">
        <x:f>IF($A496="","","OK")</x:f>
      </x:c>
    </x:row>
    <x:row r="497">
      <x:c r="A497" s="128" t="str">
        <x:f>IF(AND(Locations!A377="Yes",Locations!I377="OK"),Locations!B377,"")</x:f>
      </x:c>
      <x:c r="B497" s="128" t="str">
        <x:f>IF($A497="","",XLOOKUP(Locations!B377,NOCsTbl[NOC ID],NOCsTbl[Display Name],""))</x:f>
      </x:c>
      <x:c r="C497" s="128" t="str">
        <x:f>IF($A497="","",Locations!C377)</x:f>
      </x:c>
      <x:c r="D497" s="128" t="str">
        <x:f>IF($A497="","",Locations!D377)</x:f>
      </x:c>
      <x:c r="E497" s="128" t="str">
        <x:f>IF($A497="","",Locations!F377)</x:f>
      </x:c>
      <x:c r="F497" s="128" t="str">
        <x:f>IF($A497="","",Locations!E377)</x:f>
      </x:c>
      <x:c r="G497" s="128" t="str">
        <x:f>IF($A497="","","LOCATION")</x:f>
      </x:c>
      <x:c r="H497" s="128" t="str">
        <x:f>IF($A497="","","OK")</x:f>
      </x:c>
    </x:row>
    <x:row r="498">
      <x:c r="A498" s="128" t="str">
        <x:f>IF(AND(Locations!A378="Yes",Locations!I378="OK"),Locations!B378,"")</x:f>
      </x:c>
      <x:c r="B498" s="128" t="str">
        <x:f>IF($A498="","",XLOOKUP(Locations!B378,NOCsTbl[NOC ID],NOCsTbl[Display Name],""))</x:f>
      </x:c>
      <x:c r="C498" s="128" t="str">
        <x:f>IF($A498="","",Locations!C378)</x:f>
      </x:c>
      <x:c r="D498" s="128" t="str">
        <x:f>IF($A498="","",Locations!D378)</x:f>
      </x:c>
      <x:c r="E498" s="128" t="str">
        <x:f>IF($A498="","",Locations!F378)</x:f>
      </x:c>
      <x:c r="F498" s="128" t="str">
        <x:f>IF($A498="","",Locations!E378)</x:f>
      </x:c>
      <x:c r="G498" s="128" t="str">
        <x:f>IF($A498="","","LOCATION")</x:f>
      </x:c>
      <x:c r="H498" s="128" t="str">
        <x:f>IF($A498="","","OK")</x:f>
      </x:c>
    </x:row>
    <x:row r="499">
      <x:c r="A499" s="128" t="str">
        <x:f>IF(AND(Locations!A379="Yes",Locations!I379="OK"),Locations!B379,"")</x:f>
      </x:c>
      <x:c r="B499" s="128" t="str">
        <x:f>IF($A499="","",XLOOKUP(Locations!B379,NOCsTbl[NOC ID],NOCsTbl[Display Name],""))</x:f>
      </x:c>
      <x:c r="C499" s="128" t="str">
        <x:f>IF($A499="","",Locations!C379)</x:f>
      </x:c>
      <x:c r="D499" s="128" t="str">
        <x:f>IF($A499="","",Locations!D379)</x:f>
      </x:c>
      <x:c r="E499" s="128" t="str">
        <x:f>IF($A499="","",Locations!F379)</x:f>
      </x:c>
      <x:c r="F499" s="128" t="str">
        <x:f>IF($A499="","",Locations!E379)</x:f>
      </x:c>
      <x:c r="G499" s="128" t="str">
        <x:f>IF($A499="","","LOCATION")</x:f>
      </x:c>
      <x:c r="H499" s="128" t="str">
        <x:f>IF($A499="","","OK")</x:f>
      </x:c>
    </x:row>
    <x:row r="500">
      <x:c r="A500" s="128" t="str">
        <x:f>IF(AND(Locations!A380="Yes",Locations!I380="OK"),Locations!B380,"")</x:f>
      </x:c>
      <x:c r="B500" s="128" t="str">
        <x:f>IF($A500="","",XLOOKUP(Locations!B380,NOCsTbl[NOC ID],NOCsTbl[Display Name],""))</x:f>
      </x:c>
      <x:c r="C500" s="128" t="str">
        <x:f>IF($A500="","",Locations!C380)</x:f>
      </x:c>
      <x:c r="D500" s="128" t="str">
        <x:f>IF($A500="","",Locations!D380)</x:f>
      </x:c>
      <x:c r="E500" s="128" t="str">
        <x:f>IF($A500="","",Locations!F380)</x:f>
      </x:c>
      <x:c r="F500" s="128" t="str">
        <x:f>IF($A500="","",Locations!E380)</x:f>
      </x:c>
      <x:c r="G500" s="128" t="str">
        <x:f>IF($A500="","","LOCATION")</x:f>
      </x:c>
      <x:c r="H500" s="128" t="str">
        <x:f>IF($A500="","","OK")</x:f>
      </x:c>
    </x:row>
    <x:row r="501">
      <x:c r="A501" s="128" t="str">
        <x:f>IF(AND(Locations!A381="Yes",Locations!I381="OK"),Locations!B381,"")</x:f>
      </x:c>
      <x:c r="B501" s="128" t="str">
        <x:f>IF($A501="","",XLOOKUP(Locations!B381,NOCsTbl[NOC ID],NOCsTbl[Display Name],""))</x:f>
      </x:c>
      <x:c r="C501" s="128" t="str">
        <x:f>IF($A501="","",Locations!C381)</x:f>
      </x:c>
      <x:c r="D501" s="128" t="str">
        <x:f>IF($A501="","",Locations!D381)</x:f>
      </x:c>
      <x:c r="E501" s="128" t="str">
        <x:f>IF($A501="","",Locations!F381)</x:f>
      </x:c>
      <x:c r="F501" s="128" t="str">
        <x:f>IF($A501="","",Locations!E381)</x:f>
      </x:c>
      <x:c r="G501" s="128" t="str">
        <x:f>IF($A501="","","LOCATION")</x:f>
      </x:c>
      <x:c r="H501" s="128" t="str">
        <x:f>IF($A501="","","OK")</x:f>
      </x:c>
    </x:row>
    <x:row r="502">
      <x:c r="A502" s="128" t="str">
        <x:f>IF(AND(Locations!A382="Yes",Locations!I382="OK"),Locations!B382,"")</x:f>
      </x:c>
      <x:c r="B502" s="128" t="str">
        <x:f>IF($A502="","",XLOOKUP(Locations!B382,NOCsTbl[NOC ID],NOCsTbl[Display Name],""))</x:f>
      </x:c>
      <x:c r="C502" s="128" t="str">
        <x:f>IF($A502="","",Locations!C382)</x:f>
      </x:c>
      <x:c r="D502" s="128" t="str">
        <x:f>IF($A502="","",Locations!D382)</x:f>
      </x:c>
      <x:c r="E502" s="128" t="str">
        <x:f>IF($A502="","",Locations!F382)</x:f>
      </x:c>
      <x:c r="F502" s="128" t="str">
        <x:f>IF($A502="","",Locations!E382)</x:f>
      </x:c>
      <x:c r="G502" s="128" t="str">
        <x:f>IF($A502="","","LOCATION")</x:f>
      </x:c>
      <x:c r="H502" s="128" t="str">
        <x:f>IF($A502="","","OK")</x:f>
      </x:c>
    </x:row>
    <x:row r="503">
      <x:c r="A503" s="128" t="str">
        <x:f>IF(AND(Locations!A383="Yes",Locations!I383="OK"),Locations!B383,"")</x:f>
      </x:c>
      <x:c r="B503" s="128" t="str">
        <x:f>IF($A503="","",XLOOKUP(Locations!B383,NOCsTbl[NOC ID],NOCsTbl[Display Name],""))</x:f>
      </x:c>
      <x:c r="C503" s="128" t="str">
        <x:f>IF($A503="","",Locations!C383)</x:f>
      </x:c>
      <x:c r="D503" s="128" t="str">
        <x:f>IF($A503="","",Locations!D383)</x:f>
      </x:c>
      <x:c r="E503" s="128" t="str">
        <x:f>IF($A503="","",Locations!F383)</x:f>
      </x:c>
      <x:c r="F503" s="128" t="str">
        <x:f>IF($A503="","",Locations!E383)</x:f>
      </x:c>
      <x:c r="G503" s="128" t="str">
        <x:f>IF($A503="","","LOCATION")</x:f>
      </x:c>
      <x:c r="H503" s="128" t="str">
        <x:f>IF($A503="","","OK")</x:f>
      </x:c>
    </x:row>
    <x:row r="504">
      <x:c r="A504" s="128" t="str">
        <x:f>IF(AND(Locations!A384="Yes",Locations!I384="OK"),Locations!B384,"")</x:f>
      </x:c>
      <x:c r="B504" s="128" t="str">
        <x:f>IF($A504="","",XLOOKUP(Locations!B384,NOCsTbl[NOC ID],NOCsTbl[Display Name],""))</x:f>
      </x:c>
      <x:c r="C504" s="128" t="str">
        <x:f>IF($A504="","",Locations!C384)</x:f>
      </x:c>
      <x:c r="D504" s="128" t="str">
        <x:f>IF($A504="","",Locations!D384)</x:f>
      </x:c>
      <x:c r="E504" s="128" t="str">
        <x:f>IF($A504="","",Locations!F384)</x:f>
      </x:c>
      <x:c r="F504" s="128" t="str">
        <x:f>IF($A504="","",Locations!E384)</x:f>
      </x:c>
      <x:c r="G504" s="128" t="str">
        <x:f>IF($A504="","","LOCATION")</x:f>
      </x:c>
      <x:c r="H504" s="128" t="str">
        <x:f>IF($A504="","","OK")</x:f>
      </x:c>
    </x:row>
    <x:row r="505">
      <x:c r="A505" s="128" t="str">
        <x:f>IF(AND(Locations!A385="Yes",Locations!I385="OK"),Locations!B385,"")</x:f>
      </x:c>
      <x:c r="B505" s="128" t="str">
        <x:f>IF($A505="","",XLOOKUP(Locations!B385,NOCsTbl[NOC ID],NOCsTbl[Display Name],""))</x:f>
      </x:c>
      <x:c r="C505" s="128" t="str">
        <x:f>IF($A505="","",Locations!C385)</x:f>
      </x:c>
      <x:c r="D505" s="128" t="str">
        <x:f>IF($A505="","",Locations!D385)</x:f>
      </x:c>
      <x:c r="E505" s="128" t="str">
        <x:f>IF($A505="","",Locations!F385)</x:f>
      </x:c>
      <x:c r="F505" s="128" t="str">
        <x:f>IF($A505="","",Locations!E385)</x:f>
      </x:c>
      <x:c r="G505" s="128" t="str">
        <x:f>IF($A505="","","LOCATION")</x:f>
      </x:c>
      <x:c r="H505" s="128" t="str">
        <x:f>IF($A505="","","OK")</x:f>
      </x:c>
    </x:row>
    <x:row r="506">
      <x:c r="A506" s="128" t="str">
        <x:f>IF(AND(Locations!A386="Yes",Locations!I386="OK"),Locations!B386,"")</x:f>
      </x:c>
      <x:c r="B506" s="128" t="str">
        <x:f>IF($A506="","",XLOOKUP(Locations!B386,NOCsTbl[NOC ID],NOCsTbl[Display Name],""))</x:f>
      </x:c>
      <x:c r="C506" s="128" t="str">
        <x:f>IF($A506="","",Locations!C386)</x:f>
      </x:c>
      <x:c r="D506" s="128" t="str">
        <x:f>IF($A506="","",Locations!D386)</x:f>
      </x:c>
      <x:c r="E506" s="128" t="str">
        <x:f>IF($A506="","",Locations!F386)</x:f>
      </x:c>
      <x:c r="F506" s="128" t="str">
        <x:f>IF($A506="","",Locations!E386)</x:f>
      </x:c>
      <x:c r="G506" s="128" t="str">
        <x:f>IF($A506="","","LOCATION")</x:f>
      </x:c>
      <x:c r="H506" s="128" t="str">
        <x:f>IF($A506="","","OK")</x:f>
      </x:c>
    </x:row>
    <x:row r="507">
      <x:c r="A507" s="128" t="str">
        <x:f>IF(AND(Locations!A387="Yes",Locations!I387="OK"),Locations!B387,"")</x:f>
      </x:c>
      <x:c r="B507" s="128" t="str">
        <x:f>IF($A507="","",XLOOKUP(Locations!B387,NOCsTbl[NOC ID],NOCsTbl[Display Name],""))</x:f>
      </x:c>
      <x:c r="C507" s="128" t="str">
        <x:f>IF($A507="","",Locations!C387)</x:f>
      </x:c>
      <x:c r="D507" s="128" t="str">
        <x:f>IF($A507="","",Locations!D387)</x:f>
      </x:c>
      <x:c r="E507" s="128" t="str">
        <x:f>IF($A507="","",Locations!F387)</x:f>
      </x:c>
      <x:c r="F507" s="128" t="str">
        <x:f>IF($A507="","",Locations!E387)</x:f>
      </x:c>
      <x:c r="G507" s="128" t="str">
        <x:f>IF($A507="","","LOCATION")</x:f>
      </x:c>
      <x:c r="H507" s="128" t="str">
        <x:f>IF($A507="","","OK")</x:f>
      </x:c>
    </x:row>
    <x:row r="508">
      <x:c r="A508" s="128" t="str">
        <x:f>IF(AND(Locations!A388="Yes",Locations!I388="OK"),Locations!B388,"")</x:f>
      </x:c>
      <x:c r="B508" s="128" t="str">
        <x:f>IF($A508="","",XLOOKUP(Locations!B388,NOCsTbl[NOC ID],NOCsTbl[Display Name],""))</x:f>
      </x:c>
      <x:c r="C508" s="128" t="str">
        <x:f>IF($A508="","",Locations!C388)</x:f>
      </x:c>
      <x:c r="D508" s="128" t="str">
        <x:f>IF($A508="","",Locations!D388)</x:f>
      </x:c>
      <x:c r="E508" s="128" t="str">
        <x:f>IF($A508="","",Locations!F388)</x:f>
      </x:c>
      <x:c r="F508" s="128" t="str">
        <x:f>IF($A508="","",Locations!E388)</x:f>
      </x:c>
      <x:c r="G508" s="128" t="str">
        <x:f>IF($A508="","","LOCATION")</x:f>
      </x:c>
      <x:c r="H508" s="128" t="str">
        <x:f>IF($A508="","","OK")</x:f>
      </x:c>
    </x:row>
    <x:row r="509">
      <x:c r="A509" s="128" t="str">
        <x:f>IF(AND(Locations!A389="Yes",Locations!I389="OK"),Locations!B389,"")</x:f>
      </x:c>
      <x:c r="B509" s="128" t="str">
        <x:f>IF($A509="","",XLOOKUP(Locations!B389,NOCsTbl[NOC ID],NOCsTbl[Display Name],""))</x:f>
      </x:c>
      <x:c r="C509" s="128" t="str">
        <x:f>IF($A509="","",Locations!C389)</x:f>
      </x:c>
      <x:c r="D509" s="128" t="str">
        <x:f>IF($A509="","",Locations!D389)</x:f>
      </x:c>
      <x:c r="E509" s="128" t="str">
        <x:f>IF($A509="","",Locations!F389)</x:f>
      </x:c>
      <x:c r="F509" s="128" t="str">
        <x:f>IF($A509="","",Locations!E389)</x:f>
      </x:c>
      <x:c r="G509" s="128" t="str">
        <x:f>IF($A509="","","LOCATION")</x:f>
      </x:c>
      <x:c r="H509" s="128" t="str">
        <x:f>IF($A509="","","OK")</x:f>
      </x:c>
    </x:row>
    <x:row r="510">
      <x:c r="A510" s="128" t="str">
        <x:f>IF(AND(Locations!A390="Yes",Locations!I390="OK"),Locations!B390,"")</x:f>
      </x:c>
      <x:c r="B510" s="128" t="str">
        <x:f>IF($A510="","",XLOOKUP(Locations!B390,NOCsTbl[NOC ID],NOCsTbl[Display Name],""))</x:f>
      </x:c>
      <x:c r="C510" s="128" t="str">
        <x:f>IF($A510="","",Locations!C390)</x:f>
      </x:c>
      <x:c r="D510" s="128" t="str">
        <x:f>IF($A510="","",Locations!D390)</x:f>
      </x:c>
      <x:c r="E510" s="128" t="str">
        <x:f>IF($A510="","",Locations!F390)</x:f>
      </x:c>
      <x:c r="F510" s="128" t="str">
        <x:f>IF($A510="","",Locations!E390)</x:f>
      </x:c>
      <x:c r="G510" s="128" t="str">
        <x:f>IF($A510="","","LOCATION")</x:f>
      </x:c>
      <x:c r="H510" s="128" t="str">
        <x:f>IF($A510="","","OK")</x:f>
      </x:c>
    </x:row>
    <x:row r="511">
      <x:c r="A511" s="128" t="str">
        <x:f>IF(AND(Locations!A391="Yes",Locations!I391="OK"),Locations!B391,"")</x:f>
      </x:c>
      <x:c r="B511" s="128" t="str">
        <x:f>IF($A511="","",XLOOKUP(Locations!B391,NOCsTbl[NOC ID],NOCsTbl[Display Name],""))</x:f>
      </x:c>
      <x:c r="C511" s="128" t="str">
        <x:f>IF($A511="","",Locations!C391)</x:f>
      </x:c>
      <x:c r="D511" s="128" t="str">
        <x:f>IF($A511="","",Locations!D391)</x:f>
      </x:c>
      <x:c r="E511" s="128" t="str">
        <x:f>IF($A511="","",Locations!F391)</x:f>
      </x:c>
      <x:c r="F511" s="128" t="str">
        <x:f>IF($A511="","",Locations!E391)</x:f>
      </x:c>
      <x:c r="G511" s="128" t="str">
        <x:f>IF($A511="","","LOCATION")</x:f>
      </x:c>
      <x:c r="H511" s="128" t="str">
        <x:f>IF($A511="","","OK")</x:f>
      </x:c>
    </x:row>
    <x:row r="512">
      <x:c r="A512" s="128" t="str">
        <x:f>IF(AND(Locations!A392="Yes",Locations!I392="OK"),Locations!B392,"")</x:f>
      </x:c>
      <x:c r="B512" s="128" t="str">
        <x:f>IF($A512="","",XLOOKUP(Locations!B392,NOCsTbl[NOC ID],NOCsTbl[Display Name],""))</x:f>
      </x:c>
      <x:c r="C512" s="128" t="str">
        <x:f>IF($A512="","",Locations!C392)</x:f>
      </x:c>
      <x:c r="D512" s="128" t="str">
        <x:f>IF($A512="","",Locations!D392)</x:f>
      </x:c>
      <x:c r="E512" s="128" t="str">
        <x:f>IF($A512="","",Locations!F392)</x:f>
      </x:c>
      <x:c r="F512" s="128" t="str">
        <x:f>IF($A512="","",Locations!E392)</x:f>
      </x:c>
      <x:c r="G512" s="128" t="str">
        <x:f>IF($A512="","","LOCATION")</x:f>
      </x:c>
      <x:c r="H512" s="128" t="str">
        <x:f>IF($A512="","","OK")</x:f>
      </x:c>
    </x:row>
    <x:row r="513">
      <x:c r="A513" s="128" t="str">
        <x:f>IF(AND(Locations!A393="Yes",Locations!I393="OK"),Locations!B393,"")</x:f>
      </x:c>
      <x:c r="B513" s="128" t="str">
        <x:f>IF($A513="","",XLOOKUP(Locations!B393,NOCsTbl[NOC ID],NOCsTbl[Display Name],""))</x:f>
      </x:c>
      <x:c r="C513" s="128" t="str">
        <x:f>IF($A513="","",Locations!C393)</x:f>
      </x:c>
      <x:c r="D513" s="128" t="str">
        <x:f>IF($A513="","",Locations!D393)</x:f>
      </x:c>
      <x:c r="E513" s="128" t="str">
        <x:f>IF($A513="","",Locations!F393)</x:f>
      </x:c>
      <x:c r="F513" s="128" t="str">
        <x:f>IF($A513="","",Locations!E393)</x:f>
      </x:c>
      <x:c r="G513" s="128" t="str">
        <x:f>IF($A513="","","LOCATION")</x:f>
      </x:c>
      <x:c r="H513" s="128" t="str">
        <x:f>IF($A513="","","OK")</x:f>
      </x:c>
    </x:row>
    <x:row r="514">
      <x:c r="A514" s="128" t="str">
        <x:f>IF(AND(Locations!A394="Yes",Locations!I394="OK"),Locations!B394,"")</x:f>
      </x:c>
      <x:c r="B514" s="128" t="str">
        <x:f>IF($A514="","",XLOOKUP(Locations!B394,NOCsTbl[NOC ID],NOCsTbl[Display Name],""))</x:f>
      </x:c>
      <x:c r="C514" s="128" t="str">
        <x:f>IF($A514="","",Locations!C394)</x:f>
      </x:c>
      <x:c r="D514" s="128" t="str">
        <x:f>IF($A514="","",Locations!D394)</x:f>
      </x:c>
      <x:c r="E514" s="128" t="str">
        <x:f>IF($A514="","",Locations!F394)</x:f>
      </x:c>
      <x:c r="F514" s="128" t="str">
        <x:f>IF($A514="","",Locations!E394)</x:f>
      </x:c>
      <x:c r="G514" s="128" t="str">
        <x:f>IF($A514="","","LOCATION")</x:f>
      </x:c>
      <x:c r="H514" s="128" t="str">
        <x:f>IF($A514="","","OK")</x:f>
      </x:c>
    </x:row>
    <x:row r="515">
      <x:c r="A515" s="128" t="str">
        <x:f>IF(AND(Locations!A395="Yes",Locations!I395="OK"),Locations!B395,"")</x:f>
      </x:c>
      <x:c r="B515" s="128" t="str">
        <x:f>IF($A515="","",XLOOKUP(Locations!B395,NOCsTbl[NOC ID],NOCsTbl[Display Name],""))</x:f>
      </x:c>
      <x:c r="C515" s="128" t="str">
        <x:f>IF($A515="","",Locations!C395)</x:f>
      </x:c>
      <x:c r="D515" s="128" t="str">
        <x:f>IF($A515="","",Locations!D395)</x:f>
      </x:c>
      <x:c r="E515" s="128" t="str">
        <x:f>IF($A515="","",Locations!F395)</x:f>
      </x:c>
      <x:c r="F515" s="128" t="str">
        <x:f>IF($A515="","",Locations!E395)</x:f>
      </x:c>
      <x:c r="G515" s="128" t="str">
        <x:f>IF($A515="","","LOCATION")</x:f>
      </x:c>
      <x:c r="H515" s="128" t="str">
        <x:f>IF($A515="","","OK")</x:f>
      </x:c>
    </x:row>
    <x:row r="516">
      <x:c r="A516" s="128" t="str">
        <x:f>IF(AND(Locations!A396="Yes",Locations!I396="OK"),Locations!B396,"")</x:f>
      </x:c>
      <x:c r="B516" s="128" t="str">
        <x:f>IF($A516="","",XLOOKUP(Locations!B396,NOCsTbl[NOC ID],NOCsTbl[Display Name],""))</x:f>
      </x:c>
      <x:c r="C516" s="128" t="str">
        <x:f>IF($A516="","",Locations!C396)</x:f>
      </x:c>
      <x:c r="D516" s="128" t="str">
        <x:f>IF($A516="","",Locations!D396)</x:f>
      </x:c>
      <x:c r="E516" s="128" t="str">
        <x:f>IF($A516="","",Locations!F396)</x:f>
      </x:c>
      <x:c r="F516" s="128" t="str">
        <x:f>IF($A516="","",Locations!E396)</x:f>
      </x:c>
      <x:c r="G516" s="128" t="str">
        <x:f>IF($A516="","","LOCATION")</x:f>
      </x:c>
      <x:c r="H516" s="128" t="str">
        <x:f>IF($A516="","","OK")</x:f>
      </x:c>
    </x:row>
    <x:row r="517">
      <x:c r="A517" s="128" t="str">
        <x:f>IF(AND(Locations!A397="Yes",Locations!I397="OK"),Locations!B397,"")</x:f>
      </x:c>
      <x:c r="B517" s="128" t="str">
        <x:f>IF($A517="","",XLOOKUP(Locations!B397,NOCsTbl[NOC ID],NOCsTbl[Display Name],""))</x:f>
      </x:c>
      <x:c r="C517" s="128" t="str">
        <x:f>IF($A517="","",Locations!C397)</x:f>
      </x:c>
      <x:c r="D517" s="128" t="str">
        <x:f>IF($A517="","",Locations!D397)</x:f>
      </x:c>
      <x:c r="E517" s="128" t="str">
        <x:f>IF($A517="","",Locations!F397)</x:f>
      </x:c>
      <x:c r="F517" s="128" t="str">
        <x:f>IF($A517="","",Locations!E397)</x:f>
      </x:c>
      <x:c r="G517" s="128" t="str">
        <x:f>IF($A517="","","LOCATION")</x:f>
      </x:c>
      <x:c r="H517" s="128" t="str">
        <x:f>IF($A517="","","OK")</x:f>
      </x:c>
    </x:row>
    <x:row r="518">
      <x:c r="A518" s="128" t="str">
        <x:f>IF(AND(Locations!A398="Yes",Locations!I398="OK"),Locations!B398,"")</x:f>
      </x:c>
      <x:c r="B518" s="128" t="str">
        <x:f>IF($A518="","",XLOOKUP(Locations!B398,NOCsTbl[NOC ID],NOCsTbl[Display Name],""))</x:f>
      </x:c>
      <x:c r="C518" s="128" t="str">
        <x:f>IF($A518="","",Locations!C398)</x:f>
      </x:c>
      <x:c r="D518" s="128" t="str">
        <x:f>IF($A518="","",Locations!D398)</x:f>
      </x:c>
      <x:c r="E518" s="128" t="str">
        <x:f>IF($A518="","",Locations!F398)</x:f>
      </x:c>
      <x:c r="F518" s="128" t="str">
        <x:f>IF($A518="","",Locations!E398)</x:f>
      </x:c>
      <x:c r="G518" s="128" t="str">
        <x:f>IF($A518="","","LOCATION")</x:f>
      </x:c>
      <x:c r="H518" s="128" t="str">
        <x:f>IF($A518="","","OK")</x:f>
      </x:c>
    </x:row>
    <x:row r="519">
      <x:c r="A519" s="128" t="str">
        <x:f>IF(AND(Locations!A399="Yes",Locations!I399="OK"),Locations!B399,"")</x:f>
      </x:c>
      <x:c r="B519" s="128" t="str">
        <x:f>IF($A519="","",XLOOKUP(Locations!B399,NOCsTbl[NOC ID],NOCsTbl[Display Name],""))</x:f>
      </x:c>
      <x:c r="C519" s="128" t="str">
        <x:f>IF($A519="","",Locations!C399)</x:f>
      </x:c>
      <x:c r="D519" s="128" t="str">
        <x:f>IF($A519="","",Locations!D399)</x:f>
      </x:c>
      <x:c r="E519" s="128" t="str">
        <x:f>IF($A519="","",Locations!F399)</x:f>
      </x:c>
      <x:c r="F519" s="128" t="str">
        <x:f>IF($A519="","",Locations!E399)</x:f>
      </x:c>
      <x:c r="G519" s="128" t="str">
        <x:f>IF($A519="","","LOCATION")</x:f>
      </x:c>
      <x:c r="H519" s="128" t="str">
        <x:f>IF($A519="","","OK")</x:f>
      </x:c>
    </x:row>
    <x:row r="520">
      <x:c r="A520" s="128" t="str">
        <x:f>IF(AND(Locations!A400="Yes",Locations!I400="OK"),Locations!B400,"")</x:f>
      </x:c>
      <x:c r="B520" s="128" t="str">
        <x:f>IF($A520="","",XLOOKUP(Locations!B400,NOCsTbl[NOC ID],NOCsTbl[Display Name],""))</x:f>
      </x:c>
      <x:c r="C520" s="128" t="str">
        <x:f>IF($A520="","",Locations!C400)</x:f>
      </x:c>
      <x:c r="D520" s="128" t="str">
        <x:f>IF($A520="","",Locations!D400)</x:f>
      </x:c>
      <x:c r="E520" s="128" t="str">
        <x:f>IF($A520="","",Locations!F400)</x:f>
      </x:c>
      <x:c r="F520" s="128" t="str">
        <x:f>IF($A520="","",Locations!E400)</x:f>
      </x:c>
      <x:c r="G520" s="128" t="str">
        <x:f>IF($A520="","","LOCATION")</x:f>
      </x:c>
      <x:c r="H520" s="128" t="str">
        <x:f>IF($A520="","","OK")</x:f>
      </x:c>
    </x:row>
    <x:row r="521">
      <x:c r="A521" s="128" t="str">
        <x:f>IF(AND(Locations!A401="Yes",Locations!I401="OK"),Locations!B401,"")</x:f>
      </x:c>
      <x:c r="B521" s="128" t="str">
        <x:f>IF($A521="","",XLOOKUP(Locations!B401,NOCsTbl[NOC ID],NOCsTbl[Display Name],""))</x:f>
      </x:c>
      <x:c r="C521" s="128" t="str">
        <x:f>IF($A521="","",Locations!C401)</x:f>
      </x:c>
      <x:c r="D521" s="128" t="str">
        <x:f>IF($A521="","",Locations!D401)</x:f>
      </x:c>
      <x:c r="E521" s="128" t="str">
        <x:f>IF($A521="","",Locations!F401)</x:f>
      </x:c>
      <x:c r="F521" s="128" t="str">
        <x:f>IF($A521="","",Locations!E401)</x:f>
      </x:c>
      <x:c r="G521" s="128" t="str">
        <x:f>IF($A521="","","LOCATION")</x:f>
      </x:c>
      <x:c r="H521" s="128" t="str">
        <x:f>IF($A521="","","OK")</x:f>
      </x:c>
    </x:row>
    <x:row r="522">
      <x:c r="A522" s="128" t="str">
        <x:f>IF(AND(Locations!A402="Yes",Locations!I402="OK"),Locations!B402,"")</x:f>
      </x:c>
      <x:c r="B522" s="128" t="str">
        <x:f>IF($A522="","",XLOOKUP(Locations!B402,NOCsTbl[NOC ID],NOCsTbl[Display Name],""))</x:f>
      </x:c>
      <x:c r="C522" s="128" t="str">
        <x:f>IF($A522="","",Locations!C402)</x:f>
      </x:c>
      <x:c r="D522" s="128" t="str">
        <x:f>IF($A522="","",Locations!D402)</x:f>
      </x:c>
      <x:c r="E522" s="128" t="str">
        <x:f>IF($A522="","",Locations!F402)</x:f>
      </x:c>
      <x:c r="F522" s="128" t="str">
        <x:f>IF($A522="","",Locations!E402)</x:f>
      </x:c>
      <x:c r="G522" s="128" t="str">
        <x:f>IF($A522="","","LOCATION")</x:f>
      </x:c>
      <x:c r="H522" s="128" t="str">
        <x:f>IF($A522="","","OK")</x:f>
      </x:c>
    </x:row>
    <x:row r="523">
      <x:c r="A523" s="128" t="str">
        <x:f>IF(AND(Locations!A403="Yes",Locations!I403="OK"),Locations!B403,"")</x:f>
      </x:c>
      <x:c r="B523" s="128" t="str">
        <x:f>IF($A523="","",XLOOKUP(Locations!B403,NOCsTbl[NOC ID],NOCsTbl[Display Name],""))</x:f>
      </x:c>
      <x:c r="C523" s="128" t="str">
        <x:f>IF($A523="","",Locations!C403)</x:f>
      </x:c>
      <x:c r="D523" s="128" t="str">
        <x:f>IF($A523="","",Locations!D403)</x:f>
      </x:c>
      <x:c r="E523" s="128" t="str">
        <x:f>IF($A523="","",Locations!F403)</x:f>
      </x:c>
      <x:c r="F523" s="128" t="str">
        <x:f>IF($A523="","",Locations!E403)</x:f>
      </x:c>
      <x:c r="G523" s="128" t="str">
        <x:f>IF($A523="","","LOCATION")</x:f>
      </x:c>
      <x:c r="H523" s="128" t="str">
        <x:f>IF($A523="","","OK")</x:f>
      </x:c>
    </x:row>
    <x:row r="524">
      <x:c r="A524" s="128" t="str">
        <x:f>IF(AND(Locations!A404="Yes",Locations!I404="OK"),Locations!B404,"")</x:f>
      </x:c>
      <x:c r="B524" s="128" t="str">
        <x:f>IF($A524="","",XLOOKUP(Locations!B404,NOCsTbl[NOC ID],NOCsTbl[Display Name],""))</x:f>
      </x:c>
      <x:c r="C524" s="128" t="str">
        <x:f>IF($A524="","",Locations!C404)</x:f>
      </x:c>
      <x:c r="D524" s="128" t="str">
        <x:f>IF($A524="","",Locations!D404)</x:f>
      </x:c>
      <x:c r="E524" s="128" t="str">
        <x:f>IF($A524="","",Locations!F404)</x:f>
      </x:c>
      <x:c r="F524" s="128" t="str">
        <x:f>IF($A524="","",Locations!E404)</x:f>
      </x:c>
      <x:c r="G524" s="128" t="str">
        <x:f>IF($A524="","","LOCATION")</x:f>
      </x:c>
      <x:c r="H524" s="128" t="str">
        <x:f>IF($A524="","","OK")</x:f>
      </x:c>
    </x:row>
    <x:row r="525">
      <x:c r="A525" s="128" t="str">
        <x:f>IF(AND(Locations!A405="Yes",Locations!I405="OK"),Locations!B405,"")</x:f>
      </x:c>
      <x:c r="B525" s="128" t="str">
        <x:f>IF($A525="","",XLOOKUP(Locations!B405,NOCsTbl[NOC ID],NOCsTbl[Display Name],""))</x:f>
      </x:c>
      <x:c r="C525" s="128" t="str">
        <x:f>IF($A525="","",Locations!C405)</x:f>
      </x:c>
      <x:c r="D525" s="128" t="str">
        <x:f>IF($A525="","",Locations!D405)</x:f>
      </x:c>
      <x:c r="E525" s="128" t="str">
        <x:f>IF($A525="","",Locations!F405)</x:f>
      </x:c>
      <x:c r="F525" s="128" t="str">
        <x:f>IF($A525="","",Locations!E405)</x:f>
      </x:c>
      <x:c r="G525" s="128" t="str">
        <x:f>IF($A525="","","LOCATION")</x:f>
      </x:c>
      <x:c r="H525" s="128" t="str">
        <x:f>IF($A525="","","OK")</x:f>
      </x:c>
    </x:row>
    <x:row r="526">
      <x:c r="A526" s="128" t="str">
        <x:f>IF(AND(Locations!A406="Yes",Locations!I406="OK"),Locations!B406,"")</x:f>
      </x:c>
      <x:c r="B526" s="128" t="str">
        <x:f>IF($A526="","",XLOOKUP(Locations!B406,NOCsTbl[NOC ID],NOCsTbl[Display Name],""))</x:f>
      </x:c>
      <x:c r="C526" s="128" t="str">
        <x:f>IF($A526="","",Locations!C406)</x:f>
      </x:c>
      <x:c r="D526" s="128" t="str">
        <x:f>IF($A526="","",Locations!D406)</x:f>
      </x:c>
      <x:c r="E526" s="128" t="str">
        <x:f>IF($A526="","",Locations!F406)</x:f>
      </x:c>
      <x:c r="F526" s="128" t="str">
        <x:f>IF($A526="","",Locations!E406)</x:f>
      </x:c>
      <x:c r="G526" s="128" t="str">
        <x:f>IF($A526="","","LOCATION")</x:f>
      </x:c>
      <x:c r="H526" s="128" t="str">
        <x:f>IF($A526="","","OK")</x:f>
      </x:c>
    </x:row>
    <x:row r="527">
      <x:c r="A527" s="128" t="str">
        <x:f>IF(AND(Locations!A407="Yes",Locations!I407="OK"),Locations!B407,"")</x:f>
      </x:c>
      <x:c r="B527" s="128" t="str">
        <x:f>IF($A527="","",XLOOKUP(Locations!B407,NOCsTbl[NOC ID],NOCsTbl[Display Name],""))</x:f>
      </x:c>
      <x:c r="C527" s="128" t="str">
        <x:f>IF($A527="","",Locations!C407)</x:f>
      </x:c>
      <x:c r="D527" s="128" t="str">
        <x:f>IF($A527="","",Locations!D407)</x:f>
      </x:c>
      <x:c r="E527" s="128" t="str">
        <x:f>IF($A527="","",Locations!F407)</x:f>
      </x:c>
      <x:c r="F527" s="128" t="str">
        <x:f>IF($A527="","",Locations!E407)</x:f>
      </x:c>
      <x:c r="G527" s="128" t="str">
        <x:f>IF($A527="","","LOCATION")</x:f>
      </x:c>
      <x:c r="H527" s="128" t="str">
        <x:f>IF($A527="","","OK")</x:f>
      </x:c>
    </x:row>
    <x:row r="528">
      <x:c r="A528" s="128" t="str">
        <x:f>IF(AND(Locations!A408="Yes",Locations!I408="OK"),Locations!B408,"")</x:f>
      </x:c>
      <x:c r="B528" s="128" t="str">
        <x:f>IF($A528="","",XLOOKUP(Locations!B408,NOCsTbl[NOC ID],NOCsTbl[Display Name],""))</x:f>
      </x:c>
      <x:c r="C528" s="128" t="str">
        <x:f>IF($A528="","",Locations!C408)</x:f>
      </x:c>
      <x:c r="D528" s="128" t="str">
        <x:f>IF($A528="","",Locations!D408)</x:f>
      </x:c>
      <x:c r="E528" s="128" t="str">
        <x:f>IF($A528="","",Locations!F408)</x:f>
      </x:c>
      <x:c r="F528" s="128" t="str">
        <x:f>IF($A528="","",Locations!E408)</x:f>
      </x:c>
      <x:c r="G528" s="128" t="str">
        <x:f>IF($A528="","","LOCATION")</x:f>
      </x:c>
      <x:c r="H528" s="128" t="str">
        <x:f>IF($A528="","","OK")</x:f>
      </x:c>
    </x:row>
    <x:row r="529">
      <x:c r="A529" s="128" t="str">
        <x:f>IF(AND(Locations!A409="Yes",Locations!I409="OK"),Locations!B409,"")</x:f>
      </x:c>
      <x:c r="B529" s="128" t="str">
        <x:f>IF($A529="","",XLOOKUP(Locations!B409,NOCsTbl[NOC ID],NOCsTbl[Display Name],""))</x:f>
      </x:c>
      <x:c r="C529" s="128" t="str">
        <x:f>IF($A529="","",Locations!C409)</x:f>
      </x:c>
      <x:c r="D529" s="128" t="str">
        <x:f>IF($A529="","",Locations!D409)</x:f>
      </x:c>
      <x:c r="E529" s="128" t="str">
        <x:f>IF($A529="","",Locations!F409)</x:f>
      </x:c>
      <x:c r="F529" s="128" t="str">
        <x:f>IF($A529="","",Locations!E409)</x:f>
      </x:c>
      <x:c r="G529" s="128" t="str">
        <x:f>IF($A529="","","LOCATION")</x:f>
      </x:c>
      <x:c r="H529" s="128" t="str">
        <x:f>IF($A529="","","OK")</x:f>
      </x:c>
    </x:row>
    <x:row r="530">
      <x:c r="A530" s="128" t="str">
        <x:f>IF(AND(Locations!A410="Yes",Locations!I410="OK"),Locations!B410,"")</x:f>
      </x:c>
      <x:c r="B530" s="128" t="str">
        <x:f>IF($A530="","",XLOOKUP(Locations!B410,NOCsTbl[NOC ID],NOCsTbl[Display Name],""))</x:f>
      </x:c>
      <x:c r="C530" s="128" t="str">
        <x:f>IF($A530="","",Locations!C410)</x:f>
      </x:c>
      <x:c r="D530" s="128" t="str">
        <x:f>IF($A530="","",Locations!D410)</x:f>
      </x:c>
      <x:c r="E530" s="128" t="str">
        <x:f>IF($A530="","",Locations!F410)</x:f>
      </x:c>
      <x:c r="F530" s="128" t="str">
        <x:f>IF($A530="","",Locations!E410)</x:f>
      </x:c>
      <x:c r="G530" s="128" t="str">
        <x:f>IF($A530="","","LOCATION")</x:f>
      </x:c>
      <x:c r="H530" s="128" t="str">
        <x:f>IF($A530="","","OK")</x:f>
      </x:c>
    </x:row>
    <x:row r="531">
      <x:c r="A531" s="128" t="str">
        <x:f>IF(AND(Locations!A411="Yes",Locations!I411="OK"),Locations!B411,"")</x:f>
      </x:c>
      <x:c r="B531" s="128" t="str">
        <x:f>IF($A531="","",XLOOKUP(Locations!B411,NOCsTbl[NOC ID],NOCsTbl[Display Name],""))</x:f>
      </x:c>
      <x:c r="C531" s="128" t="str">
        <x:f>IF($A531="","",Locations!C411)</x:f>
      </x:c>
      <x:c r="D531" s="128" t="str">
        <x:f>IF($A531="","",Locations!D411)</x:f>
      </x:c>
      <x:c r="E531" s="128" t="str">
        <x:f>IF($A531="","",Locations!F411)</x:f>
      </x:c>
      <x:c r="F531" s="128" t="str">
        <x:f>IF($A531="","",Locations!E411)</x:f>
      </x:c>
      <x:c r="G531" s="128" t="str">
        <x:f>IF($A531="","","LOCATION")</x:f>
      </x:c>
      <x:c r="H531" s="128" t="str">
        <x:f>IF($A531="","","OK")</x:f>
      </x:c>
    </x:row>
    <x:row r="532">
      <x:c r="A532" s="128" t="str">
        <x:f>IF(AND(Locations!A412="Yes",Locations!I412="OK"),Locations!B412,"")</x:f>
      </x:c>
      <x:c r="B532" s="128" t="str">
        <x:f>IF($A532="","",XLOOKUP(Locations!B412,NOCsTbl[NOC ID],NOCsTbl[Display Name],""))</x:f>
      </x:c>
      <x:c r="C532" s="128" t="str">
        <x:f>IF($A532="","",Locations!C412)</x:f>
      </x:c>
      <x:c r="D532" s="128" t="str">
        <x:f>IF($A532="","",Locations!D412)</x:f>
      </x:c>
      <x:c r="E532" s="128" t="str">
        <x:f>IF($A532="","",Locations!F412)</x:f>
      </x:c>
      <x:c r="F532" s="128" t="str">
        <x:f>IF($A532="","",Locations!E412)</x:f>
      </x:c>
      <x:c r="G532" s="128" t="str">
        <x:f>IF($A532="","","LOCATION")</x:f>
      </x:c>
      <x:c r="H532" s="128" t="str">
        <x:f>IF($A532="","","OK")</x:f>
      </x:c>
    </x:row>
    <x:row r="533">
      <x:c r="A533" s="128" t="str">
        <x:f>IF(AND(Locations!A413="Yes",Locations!I413="OK"),Locations!B413,"")</x:f>
      </x:c>
      <x:c r="B533" s="128" t="str">
        <x:f>IF($A533="","",XLOOKUP(Locations!B413,NOCsTbl[NOC ID],NOCsTbl[Display Name],""))</x:f>
      </x:c>
      <x:c r="C533" s="128" t="str">
        <x:f>IF($A533="","",Locations!C413)</x:f>
      </x:c>
      <x:c r="D533" s="128" t="str">
        <x:f>IF($A533="","",Locations!D413)</x:f>
      </x:c>
      <x:c r="E533" s="128" t="str">
        <x:f>IF($A533="","",Locations!F413)</x:f>
      </x:c>
      <x:c r="F533" s="128" t="str">
        <x:f>IF($A533="","",Locations!E413)</x:f>
      </x:c>
      <x:c r="G533" s="128" t="str">
        <x:f>IF($A533="","","LOCATION")</x:f>
      </x:c>
      <x:c r="H533" s="128" t="str">
        <x:f>IF($A533="","","OK")</x:f>
      </x:c>
    </x:row>
    <x:row r="534">
      <x:c r="A534" s="128" t="str">
        <x:f>IF(AND(Locations!A414="Yes",Locations!I414="OK"),Locations!B414,"")</x:f>
      </x:c>
      <x:c r="B534" s="128" t="str">
        <x:f>IF($A534="","",XLOOKUP(Locations!B414,NOCsTbl[NOC ID],NOCsTbl[Display Name],""))</x:f>
      </x:c>
      <x:c r="C534" s="128" t="str">
        <x:f>IF($A534="","",Locations!C414)</x:f>
      </x:c>
      <x:c r="D534" s="128" t="str">
        <x:f>IF($A534="","",Locations!D414)</x:f>
      </x:c>
      <x:c r="E534" s="128" t="str">
        <x:f>IF($A534="","",Locations!F414)</x:f>
      </x:c>
      <x:c r="F534" s="128" t="str">
        <x:f>IF($A534="","",Locations!E414)</x:f>
      </x:c>
      <x:c r="G534" s="128" t="str">
        <x:f>IF($A534="","","LOCATION")</x:f>
      </x:c>
      <x:c r="H534" s="128" t="str">
        <x:f>IF($A534="","","OK")</x:f>
      </x:c>
    </x:row>
    <x:row r="535">
      <x:c r="A535" s="128" t="str">
        <x:f>IF(AND(Locations!A415="Yes",Locations!I415="OK"),Locations!B415,"")</x:f>
      </x:c>
      <x:c r="B535" s="128" t="str">
        <x:f>IF($A535="","",XLOOKUP(Locations!B415,NOCsTbl[NOC ID],NOCsTbl[Display Name],""))</x:f>
      </x:c>
      <x:c r="C535" s="128" t="str">
        <x:f>IF($A535="","",Locations!C415)</x:f>
      </x:c>
      <x:c r="D535" s="128" t="str">
        <x:f>IF($A535="","",Locations!D415)</x:f>
      </x:c>
      <x:c r="E535" s="128" t="str">
        <x:f>IF($A535="","",Locations!F415)</x:f>
      </x:c>
      <x:c r="F535" s="128" t="str">
        <x:f>IF($A535="","",Locations!E415)</x:f>
      </x:c>
      <x:c r="G535" s="128" t="str">
        <x:f>IF($A535="","","LOCATION")</x:f>
      </x:c>
      <x:c r="H535" s="128" t="str">
        <x:f>IF($A535="","","OK")</x:f>
      </x:c>
    </x:row>
    <x:row r="536">
      <x:c r="A536" s="128" t="str">
        <x:f>IF(AND(Locations!A416="Yes",Locations!I416="OK"),Locations!B416,"")</x:f>
      </x:c>
      <x:c r="B536" s="128" t="str">
        <x:f>IF($A536="","",XLOOKUP(Locations!B416,NOCsTbl[NOC ID],NOCsTbl[Display Name],""))</x:f>
      </x:c>
      <x:c r="C536" s="128" t="str">
        <x:f>IF($A536="","",Locations!C416)</x:f>
      </x:c>
      <x:c r="D536" s="128" t="str">
        <x:f>IF($A536="","",Locations!D416)</x:f>
      </x:c>
      <x:c r="E536" s="128" t="str">
        <x:f>IF($A536="","",Locations!F416)</x:f>
      </x:c>
      <x:c r="F536" s="128" t="str">
        <x:f>IF($A536="","",Locations!E416)</x:f>
      </x:c>
      <x:c r="G536" s="128" t="str">
        <x:f>IF($A536="","","LOCATION")</x:f>
      </x:c>
      <x:c r="H536" s="128" t="str">
        <x:f>IF($A536="","","OK")</x:f>
      </x:c>
    </x:row>
    <x:row r="537">
      <x:c r="A537" s="128" t="str">
        <x:f>IF(AND(Locations!A417="Yes",Locations!I417="OK"),Locations!B417,"")</x:f>
      </x:c>
      <x:c r="B537" s="128" t="str">
        <x:f>IF($A537="","",XLOOKUP(Locations!B417,NOCsTbl[NOC ID],NOCsTbl[Display Name],""))</x:f>
      </x:c>
      <x:c r="C537" s="128" t="str">
        <x:f>IF($A537="","",Locations!C417)</x:f>
      </x:c>
      <x:c r="D537" s="128" t="str">
        <x:f>IF($A537="","",Locations!D417)</x:f>
      </x:c>
      <x:c r="E537" s="128" t="str">
        <x:f>IF($A537="","",Locations!F417)</x:f>
      </x:c>
      <x:c r="F537" s="128" t="str">
        <x:f>IF($A537="","",Locations!E417)</x:f>
      </x:c>
      <x:c r="G537" s="128" t="str">
        <x:f>IF($A537="","","LOCATION")</x:f>
      </x:c>
      <x:c r="H537" s="128" t="str">
        <x:f>IF($A537="","","OK")</x:f>
      </x:c>
    </x:row>
    <x:row r="538">
      <x:c r="A538" s="128" t="str">
        <x:f>IF(AND(Locations!A418="Yes",Locations!I418="OK"),Locations!B418,"")</x:f>
      </x:c>
      <x:c r="B538" s="128" t="str">
        <x:f>IF($A538="","",XLOOKUP(Locations!B418,NOCsTbl[NOC ID],NOCsTbl[Display Name],""))</x:f>
      </x:c>
      <x:c r="C538" s="128" t="str">
        <x:f>IF($A538="","",Locations!C418)</x:f>
      </x:c>
      <x:c r="D538" s="128" t="str">
        <x:f>IF($A538="","",Locations!D418)</x:f>
      </x:c>
      <x:c r="E538" s="128" t="str">
        <x:f>IF($A538="","",Locations!F418)</x:f>
      </x:c>
      <x:c r="F538" s="128" t="str">
        <x:f>IF($A538="","",Locations!E418)</x:f>
      </x:c>
      <x:c r="G538" s="128" t="str">
        <x:f>IF($A538="","","LOCATION")</x:f>
      </x:c>
      <x:c r="H538" s="128" t="str">
        <x:f>IF($A538="","","OK")</x:f>
      </x:c>
    </x:row>
    <x:row r="539">
      <x:c r="A539" s="128" t="str">
        <x:f>IF(AND(Locations!A419="Yes",Locations!I419="OK"),Locations!B419,"")</x:f>
      </x:c>
      <x:c r="B539" s="128" t="str">
        <x:f>IF($A539="","",XLOOKUP(Locations!B419,NOCsTbl[NOC ID],NOCsTbl[Display Name],""))</x:f>
      </x:c>
      <x:c r="C539" s="128" t="str">
        <x:f>IF($A539="","",Locations!C419)</x:f>
      </x:c>
      <x:c r="D539" s="128" t="str">
        <x:f>IF($A539="","",Locations!D419)</x:f>
      </x:c>
      <x:c r="E539" s="128" t="str">
        <x:f>IF($A539="","",Locations!F419)</x:f>
      </x:c>
      <x:c r="F539" s="128" t="str">
        <x:f>IF($A539="","",Locations!E419)</x:f>
      </x:c>
      <x:c r="G539" s="128" t="str">
        <x:f>IF($A539="","","LOCATION")</x:f>
      </x:c>
      <x:c r="H539" s="128" t="str">
        <x:f>IF($A539="","","OK")</x:f>
      </x:c>
    </x:row>
    <x:row r="540">
      <x:c r="A540" s="128" t="str">
        <x:f>IF(AND(Locations!A420="Yes",Locations!I420="OK"),Locations!B420,"")</x:f>
      </x:c>
      <x:c r="B540" s="128" t="str">
        <x:f>IF($A540="","",XLOOKUP(Locations!B420,NOCsTbl[NOC ID],NOCsTbl[Display Name],""))</x:f>
      </x:c>
      <x:c r="C540" s="128" t="str">
        <x:f>IF($A540="","",Locations!C420)</x:f>
      </x:c>
      <x:c r="D540" s="128" t="str">
        <x:f>IF($A540="","",Locations!D420)</x:f>
      </x:c>
      <x:c r="E540" s="128" t="str">
        <x:f>IF($A540="","",Locations!F420)</x:f>
      </x:c>
      <x:c r="F540" s="128" t="str">
        <x:f>IF($A540="","",Locations!E420)</x:f>
      </x:c>
      <x:c r="G540" s="128" t="str">
        <x:f>IF($A540="","","LOCATION")</x:f>
      </x:c>
      <x:c r="H540" s="128" t="str">
        <x:f>IF($A540="","","OK")</x:f>
      </x:c>
    </x:row>
    <x:row r="541">
      <x:c r="A541" s="128" t="str">
        <x:f>IF(AND(Locations!A421="Yes",Locations!I421="OK"),Locations!B421,"")</x:f>
      </x:c>
      <x:c r="B541" s="128" t="str">
        <x:f>IF($A541="","",XLOOKUP(Locations!B421,NOCsTbl[NOC ID],NOCsTbl[Display Name],""))</x:f>
      </x:c>
      <x:c r="C541" s="128" t="str">
        <x:f>IF($A541="","",Locations!C421)</x:f>
      </x:c>
      <x:c r="D541" s="128" t="str">
        <x:f>IF($A541="","",Locations!D421)</x:f>
      </x:c>
      <x:c r="E541" s="128" t="str">
        <x:f>IF($A541="","",Locations!F421)</x:f>
      </x:c>
      <x:c r="F541" s="128" t="str">
        <x:f>IF($A541="","",Locations!E421)</x:f>
      </x:c>
      <x:c r="G541" s="128" t="str">
        <x:f>IF($A541="","","LOCATION")</x:f>
      </x:c>
      <x:c r="H541" s="128" t="str">
        <x:f>IF($A541="","","OK")</x:f>
      </x:c>
    </x:row>
    <x:row r="542">
      <x:c r="A542" s="128" t="str">
        <x:f>IF(AND(Locations!A422="Yes",Locations!I422="OK"),Locations!B422,"")</x:f>
      </x:c>
      <x:c r="B542" s="128" t="str">
        <x:f>IF($A542="","",XLOOKUP(Locations!B422,NOCsTbl[NOC ID],NOCsTbl[Display Name],""))</x:f>
      </x:c>
      <x:c r="C542" s="128" t="str">
        <x:f>IF($A542="","",Locations!C422)</x:f>
      </x:c>
      <x:c r="D542" s="128" t="str">
        <x:f>IF($A542="","",Locations!D422)</x:f>
      </x:c>
      <x:c r="E542" s="128" t="str">
        <x:f>IF($A542="","",Locations!F422)</x:f>
      </x:c>
      <x:c r="F542" s="128" t="str">
        <x:f>IF($A542="","",Locations!E422)</x:f>
      </x:c>
      <x:c r="G542" s="128" t="str">
        <x:f>IF($A542="","","LOCATION")</x:f>
      </x:c>
      <x:c r="H542" s="128" t="str">
        <x:f>IF($A542="","","OK")</x:f>
      </x:c>
    </x:row>
    <x:row r="543">
      <x:c r="A543" s="128" t="str">
        <x:f>IF(AND(Locations!A423="Yes",Locations!I423="OK"),Locations!B423,"")</x:f>
      </x:c>
      <x:c r="B543" s="128" t="str">
        <x:f>IF($A543="","",XLOOKUP(Locations!B423,NOCsTbl[NOC ID],NOCsTbl[Display Name],""))</x:f>
      </x:c>
      <x:c r="C543" s="128" t="str">
        <x:f>IF($A543="","",Locations!C423)</x:f>
      </x:c>
      <x:c r="D543" s="128" t="str">
        <x:f>IF($A543="","",Locations!D423)</x:f>
      </x:c>
      <x:c r="E543" s="128" t="str">
        <x:f>IF($A543="","",Locations!F423)</x:f>
      </x:c>
      <x:c r="F543" s="128" t="str">
        <x:f>IF($A543="","",Locations!E423)</x:f>
      </x:c>
      <x:c r="G543" s="128" t="str">
        <x:f>IF($A543="","","LOCATION")</x:f>
      </x:c>
      <x:c r="H543" s="128" t="str">
        <x:f>IF($A543="","","OK")</x:f>
      </x:c>
    </x:row>
    <x:row r="544">
      <x:c r="A544" s="128" t="str">
        <x:f>IF(AND(Locations!A424="Yes",Locations!I424="OK"),Locations!B424,"")</x:f>
      </x:c>
      <x:c r="B544" s="128" t="str">
        <x:f>IF($A544="","",XLOOKUP(Locations!B424,NOCsTbl[NOC ID],NOCsTbl[Display Name],""))</x:f>
      </x:c>
      <x:c r="C544" s="128" t="str">
        <x:f>IF($A544="","",Locations!C424)</x:f>
      </x:c>
      <x:c r="D544" s="128" t="str">
        <x:f>IF($A544="","",Locations!D424)</x:f>
      </x:c>
      <x:c r="E544" s="128" t="str">
        <x:f>IF($A544="","",Locations!F424)</x:f>
      </x:c>
      <x:c r="F544" s="128" t="str">
        <x:f>IF($A544="","",Locations!E424)</x:f>
      </x:c>
      <x:c r="G544" s="128" t="str">
        <x:f>IF($A544="","","LOCATION")</x:f>
      </x:c>
      <x:c r="H544" s="128" t="str">
        <x:f>IF($A544="","","OK")</x:f>
      </x:c>
    </x:row>
    <x:row r="545">
      <x:c r="A545" s="128" t="str">
        <x:f>IF(AND(Locations!A425="Yes",Locations!I425="OK"),Locations!B425,"")</x:f>
      </x:c>
      <x:c r="B545" s="128" t="str">
        <x:f>IF($A545="","",XLOOKUP(Locations!B425,NOCsTbl[NOC ID],NOCsTbl[Display Name],""))</x:f>
      </x:c>
      <x:c r="C545" s="128" t="str">
        <x:f>IF($A545="","",Locations!C425)</x:f>
      </x:c>
      <x:c r="D545" s="128" t="str">
        <x:f>IF($A545="","",Locations!D425)</x:f>
      </x:c>
      <x:c r="E545" s="128" t="str">
        <x:f>IF($A545="","",Locations!F425)</x:f>
      </x:c>
      <x:c r="F545" s="128" t="str">
        <x:f>IF($A545="","",Locations!E425)</x:f>
      </x:c>
      <x:c r="G545" s="128" t="str">
        <x:f>IF($A545="","","LOCATION")</x:f>
      </x:c>
      <x:c r="H545" s="128" t="str">
        <x:f>IF($A545="","","OK")</x:f>
      </x:c>
    </x:row>
    <x:row r="546">
      <x:c r="A546" s="128" t="str">
        <x:f>IF(AND(Locations!A426="Yes",Locations!I426="OK"),Locations!B426,"")</x:f>
      </x:c>
      <x:c r="B546" s="128" t="str">
        <x:f>IF($A546="","",XLOOKUP(Locations!B426,NOCsTbl[NOC ID],NOCsTbl[Display Name],""))</x:f>
      </x:c>
      <x:c r="C546" s="128" t="str">
        <x:f>IF($A546="","",Locations!C426)</x:f>
      </x:c>
      <x:c r="D546" s="128" t="str">
        <x:f>IF($A546="","",Locations!D426)</x:f>
      </x:c>
      <x:c r="E546" s="128" t="str">
        <x:f>IF($A546="","",Locations!F426)</x:f>
      </x:c>
      <x:c r="F546" s="128" t="str">
        <x:f>IF($A546="","",Locations!E426)</x:f>
      </x:c>
      <x:c r="G546" s="128" t="str">
        <x:f>IF($A546="","","LOCATION")</x:f>
      </x:c>
      <x:c r="H546" s="128" t="str">
        <x:f>IF($A546="","","OK")</x:f>
      </x:c>
    </x:row>
    <x:row r="547">
      <x:c r="A547" s="128" t="str">
        <x:f>IF(AND(Locations!A427="Yes",Locations!I427="OK"),Locations!B427,"")</x:f>
      </x:c>
      <x:c r="B547" s="128" t="str">
        <x:f>IF($A547="","",XLOOKUP(Locations!B427,NOCsTbl[NOC ID],NOCsTbl[Display Name],""))</x:f>
      </x:c>
      <x:c r="C547" s="128" t="str">
        <x:f>IF($A547="","",Locations!C427)</x:f>
      </x:c>
      <x:c r="D547" s="128" t="str">
        <x:f>IF($A547="","",Locations!D427)</x:f>
      </x:c>
      <x:c r="E547" s="128" t="str">
        <x:f>IF($A547="","",Locations!F427)</x:f>
      </x:c>
      <x:c r="F547" s="128" t="str">
        <x:f>IF($A547="","",Locations!E427)</x:f>
      </x:c>
      <x:c r="G547" s="128" t="str">
        <x:f>IF($A547="","","LOCATION")</x:f>
      </x:c>
      <x:c r="H547" s="128" t="str">
        <x:f>IF($A547="","","OK")</x:f>
      </x:c>
    </x:row>
    <x:row r="548">
      <x:c r="A548" s="128" t="str">
        <x:f>IF(AND(Locations!A428="Yes",Locations!I428="OK"),Locations!B428,"")</x:f>
      </x:c>
      <x:c r="B548" s="128" t="str">
        <x:f>IF($A548="","",XLOOKUP(Locations!B428,NOCsTbl[NOC ID],NOCsTbl[Display Name],""))</x:f>
      </x:c>
      <x:c r="C548" s="128" t="str">
        <x:f>IF($A548="","",Locations!C428)</x:f>
      </x:c>
      <x:c r="D548" s="128" t="str">
        <x:f>IF($A548="","",Locations!D428)</x:f>
      </x:c>
      <x:c r="E548" s="128" t="str">
        <x:f>IF($A548="","",Locations!F428)</x:f>
      </x:c>
      <x:c r="F548" s="128" t="str">
        <x:f>IF($A548="","",Locations!E428)</x:f>
      </x:c>
      <x:c r="G548" s="128" t="str">
        <x:f>IF($A548="","","LOCATION")</x:f>
      </x:c>
      <x:c r="H548" s="128" t="str">
        <x:f>IF($A548="","","OK")</x:f>
      </x:c>
    </x:row>
    <x:row r="549">
      <x:c r="A549" s="128" t="str">
        <x:f>IF(AND(Locations!A429="Yes",Locations!I429="OK"),Locations!B429,"")</x:f>
      </x:c>
      <x:c r="B549" s="128" t="str">
        <x:f>IF($A549="","",XLOOKUP(Locations!B429,NOCsTbl[NOC ID],NOCsTbl[Display Name],""))</x:f>
      </x:c>
      <x:c r="C549" s="128" t="str">
        <x:f>IF($A549="","",Locations!C429)</x:f>
      </x:c>
      <x:c r="D549" s="128" t="str">
        <x:f>IF($A549="","",Locations!D429)</x:f>
      </x:c>
      <x:c r="E549" s="128" t="str">
        <x:f>IF($A549="","",Locations!F429)</x:f>
      </x:c>
      <x:c r="F549" s="128" t="str">
        <x:f>IF($A549="","",Locations!E429)</x:f>
      </x:c>
      <x:c r="G549" s="128" t="str">
        <x:f>IF($A549="","","LOCATION")</x:f>
      </x:c>
      <x:c r="H549" s="128" t="str">
        <x:f>IF($A549="","","OK")</x:f>
      </x:c>
    </x:row>
    <x:row r="550">
      <x:c r="A550" s="128" t="str">
        <x:f>IF(AND(Locations!A430="Yes",Locations!I430="OK"),Locations!B430,"")</x:f>
      </x:c>
      <x:c r="B550" s="128" t="str">
        <x:f>IF($A550="","",XLOOKUP(Locations!B430,NOCsTbl[NOC ID],NOCsTbl[Display Name],""))</x:f>
      </x:c>
      <x:c r="C550" s="128" t="str">
        <x:f>IF($A550="","",Locations!C430)</x:f>
      </x:c>
      <x:c r="D550" s="128" t="str">
        <x:f>IF($A550="","",Locations!D430)</x:f>
      </x:c>
      <x:c r="E550" s="128" t="str">
        <x:f>IF($A550="","",Locations!F430)</x:f>
      </x:c>
      <x:c r="F550" s="128" t="str">
        <x:f>IF($A550="","",Locations!E430)</x:f>
      </x:c>
      <x:c r="G550" s="128" t="str">
        <x:f>IF($A550="","","LOCATION")</x:f>
      </x:c>
      <x:c r="H550" s="128" t="str">
        <x:f>IF($A550="","","OK")</x:f>
      </x:c>
    </x:row>
    <x:row r="551">
      <x:c r="A551" s="128" t="str">
        <x:f>IF(AND(Locations!A431="Yes",Locations!I431="OK"),Locations!B431,"")</x:f>
      </x:c>
      <x:c r="B551" s="128" t="str">
        <x:f>IF($A551="","",XLOOKUP(Locations!B431,NOCsTbl[NOC ID],NOCsTbl[Display Name],""))</x:f>
      </x:c>
      <x:c r="C551" s="128" t="str">
        <x:f>IF($A551="","",Locations!C431)</x:f>
      </x:c>
      <x:c r="D551" s="128" t="str">
        <x:f>IF($A551="","",Locations!D431)</x:f>
      </x:c>
      <x:c r="E551" s="128" t="str">
        <x:f>IF($A551="","",Locations!F431)</x:f>
      </x:c>
      <x:c r="F551" s="128" t="str">
        <x:f>IF($A551="","",Locations!E431)</x:f>
      </x:c>
      <x:c r="G551" s="128" t="str">
        <x:f>IF($A551="","","LOCATION")</x:f>
      </x:c>
      <x:c r="H551" s="128" t="str">
        <x:f>IF($A551="","","OK")</x:f>
      </x:c>
    </x:row>
    <x:row r="552">
      <x:c r="A552" s="128" t="str">
        <x:f>IF(AND(Locations!A432="Yes",Locations!I432="OK"),Locations!B432,"")</x:f>
      </x:c>
      <x:c r="B552" s="128" t="str">
        <x:f>IF($A552="","",XLOOKUP(Locations!B432,NOCsTbl[NOC ID],NOCsTbl[Display Name],""))</x:f>
      </x:c>
      <x:c r="C552" s="128" t="str">
        <x:f>IF($A552="","",Locations!C432)</x:f>
      </x:c>
      <x:c r="D552" s="128" t="str">
        <x:f>IF($A552="","",Locations!D432)</x:f>
      </x:c>
      <x:c r="E552" s="128" t="str">
        <x:f>IF($A552="","",Locations!F432)</x:f>
      </x:c>
      <x:c r="F552" s="128" t="str">
        <x:f>IF($A552="","",Locations!E432)</x:f>
      </x:c>
      <x:c r="G552" s="128" t="str">
        <x:f>IF($A552="","","LOCATION")</x:f>
      </x:c>
      <x:c r="H552" s="128" t="str">
        <x:f>IF($A552="","","OK")</x:f>
      </x:c>
    </x:row>
    <x:row r="553">
      <x:c r="A553" s="128" t="str">
        <x:f>IF(AND(Locations!A433="Yes",Locations!I433="OK"),Locations!B433,"")</x:f>
      </x:c>
      <x:c r="B553" s="128" t="str">
        <x:f>IF($A553="","",XLOOKUP(Locations!B433,NOCsTbl[NOC ID],NOCsTbl[Display Name],""))</x:f>
      </x:c>
      <x:c r="C553" s="128" t="str">
        <x:f>IF($A553="","",Locations!C433)</x:f>
      </x:c>
      <x:c r="D553" s="128" t="str">
        <x:f>IF($A553="","",Locations!D433)</x:f>
      </x:c>
      <x:c r="E553" s="128" t="str">
        <x:f>IF($A553="","",Locations!F433)</x:f>
      </x:c>
      <x:c r="F553" s="128" t="str">
        <x:f>IF($A553="","",Locations!E433)</x:f>
      </x:c>
      <x:c r="G553" s="128" t="str">
        <x:f>IF($A553="","","LOCATION")</x:f>
      </x:c>
      <x:c r="H553" s="128" t="str">
        <x:f>IF($A553="","","OK")</x:f>
      </x:c>
    </x:row>
    <x:row r="554">
      <x:c r="A554" s="128" t="str">
        <x:f>IF(AND(Locations!A434="Yes",Locations!I434="OK"),Locations!B434,"")</x:f>
      </x:c>
      <x:c r="B554" s="128" t="str">
        <x:f>IF($A554="","",XLOOKUP(Locations!B434,NOCsTbl[NOC ID],NOCsTbl[Display Name],""))</x:f>
      </x:c>
      <x:c r="C554" s="128" t="str">
        <x:f>IF($A554="","",Locations!C434)</x:f>
      </x:c>
      <x:c r="D554" s="128" t="str">
        <x:f>IF($A554="","",Locations!D434)</x:f>
      </x:c>
      <x:c r="E554" s="128" t="str">
        <x:f>IF($A554="","",Locations!F434)</x:f>
      </x:c>
      <x:c r="F554" s="128" t="str">
        <x:f>IF($A554="","",Locations!E434)</x:f>
      </x:c>
      <x:c r="G554" s="128" t="str">
        <x:f>IF($A554="","","LOCATION")</x:f>
      </x:c>
      <x:c r="H554" s="128" t="str">
        <x:f>IF($A554="","","OK")</x:f>
      </x:c>
    </x:row>
    <x:row r="555">
      <x:c r="A555" s="128" t="str">
        <x:f>IF(AND(Locations!A435="Yes",Locations!I435="OK"),Locations!B435,"")</x:f>
      </x:c>
      <x:c r="B555" s="128" t="str">
        <x:f>IF($A555="","",XLOOKUP(Locations!B435,NOCsTbl[NOC ID],NOCsTbl[Display Name],""))</x:f>
      </x:c>
      <x:c r="C555" s="128" t="str">
        <x:f>IF($A555="","",Locations!C435)</x:f>
      </x:c>
      <x:c r="D555" s="128" t="str">
        <x:f>IF($A555="","",Locations!D435)</x:f>
      </x:c>
      <x:c r="E555" s="128" t="str">
        <x:f>IF($A555="","",Locations!F435)</x:f>
      </x:c>
      <x:c r="F555" s="128" t="str">
        <x:f>IF($A555="","",Locations!E435)</x:f>
      </x:c>
      <x:c r="G555" s="128" t="str">
        <x:f>IF($A555="","","LOCATION")</x:f>
      </x:c>
      <x:c r="H555" s="128" t="str">
        <x:f>IF($A555="","","OK")</x:f>
      </x:c>
    </x:row>
    <x:row r="556">
      <x:c r="A556" s="128" t="str">
        <x:f>IF(AND(Locations!A436="Yes",Locations!I436="OK"),Locations!B436,"")</x:f>
      </x:c>
      <x:c r="B556" s="128" t="str">
        <x:f>IF($A556="","",XLOOKUP(Locations!B436,NOCsTbl[NOC ID],NOCsTbl[Display Name],""))</x:f>
      </x:c>
      <x:c r="C556" s="128" t="str">
        <x:f>IF($A556="","",Locations!C436)</x:f>
      </x:c>
      <x:c r="D556" s="128" t="str">
        <x:f>IF($A556="","",Locations!D436)</x:f>
      </x:c>
      <x:c r="E556" s="128" t="str">
        <x:f>IF($A556="","",Locations!F436)</x:f>
      </x:c>
      <x:c r="F556" s="128" t="str">
        <x:f>IF($A556="","",Locations!E436)</x:f>
      </x:c>
      <x:c r="G556" s="128" t="str">
        <x:f>IF($A556="","","LOCATION")</x:f>
      </x:c>
      <x:c r="H556" s="128" t="str">
        <x:f>IF($A556="","","OK")</x:f>
      </x:c>
    </x:row>
    <x:row r="557">
      <x:c r="A557" s="128" t="str">
        <x:f>IF(AND(Locations!A437="Yes",Locations!I437="OK"),Locations!B437,"")</x:f>
      </x:c>
      <x:c r="B557" s="128" t="str">
        <x:f>IF($A557="","",XLOOKUP(Locations!B437,NOCsTbl[NOC ID],NOCsTbl[Display Name],""))</x:f>
      </x:c>
      <x:c r="C557" s="128" t="str">
        <x:f>IF($A557="","",Locations!C437)</x:f>
      </x:c>
      <x:c r="D557" s="128" t="str">
        <x:f>IF($A557="","",Locations!D437)</x:f>
      </x:c>
      <x:c r="E557" s="128" t="str">
        <x:f>IF($A557="","",Locations!F437)</x:f>
      </x:c>
      <x:c r="F557" s="128" t="str">
        <x:f>IF($A557="","",Locations!E437)</x:f>
      </x:c>
      <x:c r="G557" s="128" t="str">
        <x:f>IF($A557="","","LOCATION")</x:f>
      </x:c>
      <x:c r="H557" s="128" t="str">
        <x:f>IF($A557="","","OK")</x:f>
      </x:c>
    </x:row>
    <x:row r="558">
      <x:c r="A558" s="128" t="str">
        <x:f>IF(AND(Locations!A438="Yes",Locations!I438="OK"),Locations!B438,"")</x:f>
      </x:c>
      <x:c r="B558" s="128" t="str">
        <x:f>IF($A558="","",XLOOKUP(Locations!B438,NOCsTbl[NOC ID],NOCsTbl[Display Name],""))</x:f>
      </x:c>
      <x:c r="C558" s="128" t="str">
        <x:f>IF($A558="","",Locations!C438)</x:f>
      </x:c>
      <x:c r="D558" s="128" t="str">
        <x:f>IF($A558="","",Locations!D438)</x:f>
      </x:c>
      <x:c r="E558" s="128" t="str">
        <x:f>IF($A558="","",Locations!F438)</x:f>
      </x:c>
      <x:c r="F558" s="128" t="str">
        <x:f>IF($A558="","",Locations!E438)</x:f>
      </x:c>
      <x:c r="G558" s="128" t="str">
        <x:f>IF($A558="","","LOCATION")</x:f>
      </x:c>
      <x:c r="H558" s="128" t="str">
        <x:f>IF($A558="","","OK")</x:f>
      </x:c>
    </x:row>
    <x:row r="559">
      <x:c r="A559" s="128" t="str">
        <x:f>IF(AND(Locations!A439="Yes",Locations!I439="OK"),Locations!B439,"")</x:f>
      </x:c>
      <x:c r="B559" s="128" t="str">
        <x:f>IF($A559="","",XLOOKUP(Locations!B439,NOCsTbl[NOC ID],NOCsTbl[Display Name],""))</x:f>
      </x:c>
      <x:c r="C559" s="128" t="str">
        <x:f>IF($A559="","",Locations!C439)</x:f>
      </x:c>
      <x:c r="D559" s="128" t="str">
        <x:f>IF($A559="","",Locations!D439)</x:f>
      </x:c>
      <x:c r="E559" s="128" t="str">
        <x:f>IF($A559="","",Locations!F439)</x:f>
      </x:c>
      <x:c r="F559" s="128" t="str">
        <x:f>IF($A559="","",Locations!E439)</x:f>
      </x:c>
      <x:c r="G559" s="128" t="str">
        <x:f>IF($A559="","","LOCATION")</x:f>
      </x:c>
      <x:c r="H559" s="128" t="str">
        <x:f>IF($A559="","","OK")</x:f>
      </x:c>
    </x:row>
    <x:row r="560">
      <x:c r="A560" s="128" t="str">
        <x:f>IF(AND(Locations!A440="Yes",Locations!I440="OK"),Locations!B440,"")</x:f>
      </x:c>
      <x:c r="B560" s="128" t="str">
        <x:f>IF($A560="","",XLOOKUP(Locations!B440,NOCsTbl[NOC ID],NOCsTbl[Display Name],""))</x:f>
      </x:c>
      <x:c r="C560" s="128" t="str">
        <x:f>IF($A560="","",Locations!C440)</x:f>
      </x:c>
      <x:c r="D560" s="128" t="str">
        <x:f>IF($A560="","",Locations!D440)</x:f>
      </x:c>
      <x:c r="E560" s="128" t="str">
        <x:f>IF($A560="","",Locations!F440)</x:f>
      </x:c>
      <x:c r="F560" s="128" t="str">
        <x:f>IF($A560="","",Locations!E440)</x:f>
      </x:c>
      <x:c r="G560" s="128" t="str">
        <x:f>IF($A560="","","LOCATION")</x:f>
      </x:c>
      <x:c r="H560" s="128" t="str">
        <x:f>IF($A560="","","OK")</x:f>
      </x:c>
    </x:row>
    <x:row r="561">
      <x:c r="A561" s="128" t="str">
        <x:f>IF(AND(Locations!A441="Yes",Locations!I441="OK"),Locations!B441,"")</x:f>
      </x:c>
      <x:c r="B561" s="128" t="str">
        <x:f>IF($A561="","",XLOOKUP(Locations!B441,NOCsTbl[NOC ID],NOCsTbl[Display Name],""))</x:f>
      </x:c>
      <x:c r="C561" s="128" t="str">
        <x:f>IF($A561="","",Locations!C441)</x:f>
      </x:c>
      <x:c r="D561" s="128" t="str">
        <x:f>IF($A561="","",Locations!D441)</x:f>
      </x:c>
      <x:c r="E561" s="128" t="str">
        <x:f>IF($A561="","",Locations!F441)</x:f>
      </x:c>
      <x:c r="F561" s="128" t="str">
        <x:f>IF($A561="","",Locations!E441)</x:f>
      </x:c>
      <x:c r="G561" s="128" t="str">
        <x:f>IF($A561="","","LOCATION")</x:f>
      </x:c>
      <x:c r="H561" s="128" t="str">
        <x:f>IF($A561="","","OK")</x:f>
      </x:c>
    </x:row>
    <x:row r="562">
      <x:c r="A562" s="128" t="str">
        <x:f>IF(AND(Locations!A442="Yes",Locations!I442="OK"),Locations!B442,"")</x:f>
      </x:c>
      <x:c r="B562" s="128" t="str">
        <x:f>IF($A562="","",XLOOKUP(Locations!B442,NOCsTbl[NOC ID],NOCsTbl[Display Name],""))</x:f>
      </x:c>
      <x:c r="C562" s="128" t="str">
        <x:f>IF($A562="","",Locations!C442)</x:f>
      </x:c>
      <x:c r="D562" s="128" t="str">
        <x:f>IF($A562="","",Locations!D442)</x:f>
      </x:c>
      <x:c r="E562" s="128" t="str">
        <x:f>IF($A562="","",Locations!F442)</x:f>
      </x:c>
      <x:c r="F562" s="128" t="str">
        <x:f>IF($A562="","",Locations!E442)</x:f>
      </x:c>
      <x:c r="G562" s="128" t="str">
        <x:f>IF($A562="","","LOCATION")</x:f>
      </x:c>
      <x:c r="H562" s="128" t="str">
        <x:f>IF($A562="","","OK")</x:f>
      </x:c>
    </x:row>
    <x:row r="563">
      <x:c r="A563" s="128" t="str">
        <x:f>IF(AND(Locations!A443="Yes",Locations!I443="OK"),Locations!B443,"")</x:f>
      </x:c>
      <x:c r="B563" s="128" t="str">
        <x:f>IF($A563="","",XLOOKUP(Locations!B443,NOCsTbl[NOC ID],NOCsTbl[Display Name],""))</x:f>
      </x:c>
      <x:c r="C563" s="128" t="str">
        <x:f>IF($A563="","",Locations!C443)</x:f>
      </x:c>
      <x:c r="D563" s="128" t="str">
        <x:f>IF($A563="","",Locations!D443)</x:f>
      </x:c>
      <x:c r="E563" s="128" t="str">
        <x:f>IF($A563="","",Locations!F443)</x:f>
      </x:c>
      <x:c r="F563" s="128" t="str">
        <x:f>IF($A563="","",Locations!E443)</x:f>
      </x:c>
      <x:c r="G563" s="128" t="str">
        <x:f>IF($A563="","","LOCATION")</x:f>
      </x:c>
      <x:c r="H563" s="128" t="str">
        <x:f>IF($A563="","","OK")</x:f>
      </x:c>
    </x:row>
    <x:row r="564">
      <x:c r="A564" s="128" t="str">
        <x:f>IF(AND(Locations!A444="Yes",Locations!I444="OK"),Locations!B444,"")</x:f>
      </x:c>
      <x:c r="B564" s="128" t="str">
        <x:f>IF($A564="","",XLOOKUP(Locations!B444,NOCsTbl[NOC ID],NOCsTbl[Display Name],""))</x:f>
      </x:c>
      <x:c r="C564" s="128" t="str">
        <x:f>IF($A564="","",Locations!C444)</x:f>
      </x:c>
      <x:c r="D564" s="128" t="str">
        <x:f>IF($A564="","",Locations!D444)</x:f>
      </x:c>
      <x:c r="E564" s="128" t="str">
        <x:f>IF($A564="","",Locations!F444)</x:f>
      </x:c>
      <x:c r="F564" s="128" t="str">
        <x:f>IF($A564="","",Locations!E444)</x:f>
      </x:c>
      <x:c r="G564" s="128" t="str">
        <x:f>IF($A564="","","LOCATION")</x:f>
      </x:c>
      <x:c r="H564" s="128" t="str">
        <x:f>IF($A564="","","OK")</x:f>
      </x:c>
    </x:row>
    <x:row r="565">
      <x:c r="A565" s="128" t="str">
        <x:f>IF(AND(Locations!A445="Yes",Locations!I445="OK"),Locations!B445,"")</x:f>
      </x:c>
      <x:c r="B565" s="128" t="str">
        <x:f>IF($A565="","",XLOOKUP(Locations!B445,NOCsTbl[NOC ID],NOCsTbl[Display Name],""))</x:f>
      </x:c>
      <x:c r="C565" s="128" t="str">
        <x:f>IF($A565="","",Locations!C445)</x:f>
      </x:c>
      <x:c r="D565" s="128" t="str">
        <x:f>IF($A565="","",Locations!D445)</x:f>
      </x:c>
      <x:c r="E565" s="128" t="str">
        <x:f>IF($A565="","",Locations!F445)</x:f>
      </x:c>
      <x:c r="F565" s="128" t="str">
        <x:f>IF($A565="","",Locations!E445)</x:f>
      </x:c>
      <x:c r="G565" s="128" t="str">
        <x:f>IF($A565="","","LOCATION")</x:f>
      </x:c>
      <x:c r="H565" s="128" t="str">
        <x:f>IF($A565="","","OK")</x:f>
      </x:c>
    </x:row>
    <x:row r="566">
      <x:c r="A566" s="128" t="str">
        <x:f>IF(AND(Locations!A446="Yes",Locations!I446="OK"),Locations!B446,"")</x:f>
      </x:c>
      <x:c r="B566" s="128" t="str">
        <x:f>IF($A566="","",XLOOKUP(Locations!B446,NOCsTbl[NOC ID],NOCsTbl[Display Name],""))</x:f>
      </x:c>
      <x:c r="C566" s="128" t="str">
        <x:f>IF($A566="","",Locations!C446)</x:f>
      </x:c>
      <x:c r="D566" s="128" t="str">
        <x:f>IF($A566="","",Locations!D446)</x:f>
      </x:c>
      <x:c r="E566" s="128" t="str">
        <x:f>IF($A566="","",Locations!F446)</x:f>
      </x:c>
      <x:c r="F566" s="128" t="str">
        <x:f>IF($A566="","",Locations!E446)</x:f>
      </x:c>
      <x:c r="G566" s="128" t="str">
        <x:f>IF($A566="","","LOCATION")</x:f>
      </x:c>
      <x:c r="H566" s="128" t="str">
        <x:f>IF($A566="","","OK")</x:f>
      </x:c>
    </x:row>
    <x:row r="567">
      <x:c r="A567" s="128" t="str">
        <x:f>IF(AND(Locations!A447="Yes",Locations!I447="OK"),Locations!B447,"")</x:f>
      </x:c>
      <x:c r="B567" s="128" t="str">
        <x:f>IF($A567="","",XLOOKUP(Locations!B447,NOCsTbl[NOC ID],NOCsTbl[Display Name],""))</x:f>
      </x:c>
      <x:c r="C567" s="128" t="str">
        <x:f>IF($A567="","",Locations!C447)</x:f>
      </x:c>
      <x:c r="D567" s="128" t="str">
        <x:f>IF($A567="","",Locations!D447)</x:f>
      </x:c>
      <x:c r="E567" s="128" t="str">
        <x:f>IF($A567="","",Locations!F447)</x:f>
      </x:c>
      <x:c r="F567" s="128" t="str">
        <x:f>IF($A567="","",Locations!E447)</x:f>
      </x:c>
      <x:c r="G567" s="128" t="str">
        <x:f>IF($A567="","","LOCATION")</x:f>
      </x:c>
      <x:c r="H567" s="128" t="str">
        <x:f>IF($A567="","","OK")</x:f>
      </x:c>
    </x:row>
    <x:row r="568">
      <x:c r="A568" s="128" t="str">
        <x:f>IF(AND(Locations!A448="Yes",Locations!I448="OK"),Locations!B448,"")</x:f>
      </x:c>
      <x:c r="B568" s="128" t="str">
        <x:f>IF($A568="","",XLOOKUP(Locations!B448,NOCsTbl[NOC ID],NOCsTbl[Display Name],""))</x:f>
      </x:c>
      <x:c r="C568" s="128" t="str">
        <x:f>IF($A568="","",Locations!C448)</x:f>
      </x:c>
      <x:c r="D568" s="128" t="str">
        <x:f>IF($A568="","",Locations!D448)</x:f>
      </x:c>
      <x:c r="E568" s="128" t="str">
        <x:f>IF($A568="","",Locations!F448)</x:f>
      </x:c>
      <x:c r="F568" s="128" t="str">
        <x:f>IF($A568="","",Locations!E448)</x:f>
      </x:c>
      <x:c r="G568" s="128" t="str">
        <x:f>IF($A568="","","LOCATION")</x:f>
      </x:c>
      <x:c r="H568" s="128" t="str">
        <x:f>IF($A568="","","OK")</x:f>
      </x:c>
    </x:row>
    <x:row r="569">
      <x:c r="A569" s="128" t="str">
        <x:f>IF(AND(Locations!A449="Yes",Locations!I449="OK"),Locations!B449,"")</x:f>
      </x:c>
      <x:c r="B569" s="128" t="str">
        <x:f>IF($A569="","",XLOOKUP(Locations!B449,NOCsTbl[NOC ID],NOCsTbl[Display Name],""))</x:f>
      </x:c>
      <x:c r="C569" s="128" t="str">
        <x:f>IF($A569="","",Locations!C449)</x:f>
      </x:c>
      <x:c r="D569" s="128" t="str">
        <x:f>IF($A569="","",Locations!D449)</x:f>
      </x:c>
      <x:c r="E569" s="128" t="str">
        <x:f>IF($A569="","",Locations!F449)</x:f>
      </x:c>
      <x:c r="F569" s="128" t="str">
        <x:f>IF($A569="","",Locations!E449)</x:f>
      </x:c>
      <x:c r="G569" s="128" t="str">
        <x:f>IF($A569="","","LOCATION")</x:f>
      </x:c>
      <x:c r="H569" s="128" t="str">
        <x:f>IF($A569="","","OK")</x:f>
      </x:c>
    </x:row>
    <x:row r="570">
      <x:c r="A570" s="128" t="str">
        <x:f>IF(AND(Locations!A450="Yes",Locations!I450="OK"),Locations!B450,"")</x:f>
      </x:c>
      <x:c r="B570" s="128" t="str">
        <x:f>IF($A570="","",XLOOKUP(Locations!B450,NOCsTbl[NOC ID],NOCsTbl[Display Name],""))</x:f>
      </x:c>
      <x:c r="C570" s="128" t="str">
        <x:f>IF($A570="","",Locations!C450)</x:f>
      </x:c>
      <x:c r="D570" s="128" t="str">
        <x:f>IF($A570="","",Locations!D450)</x:f>
      </x:c>
      <x:c r="E570" s="128" t="str">
        <x:f>IF($A570="","",Locations!F450)</x:f>
      </x:c>
      <x:c r="F570" s="128" t="str">
        <x:f>IF($A570="","",Locations!E450)</x:f>
      </x:c>
      <x:c r="G570" s="128" t="str">
        <x:f>IF($A570="","","LOCATION")</x:f>
      </x:c>
      <x:c r="H570" s="128" t="str">
        <x:f>IF($A570="","","OK")</x:f>
      </x:c>
    </x:row>
    <x:row r="571">
      <x:c r="A571" s="128" t="str">
        <x:f>IF(AND(Locations!A451="Yes",Locations!I451="OK"),Locations!B451,"")</x:f>
      </x:c>
      <x:c r="B571" s="128" t="str">
        <x:f>IF($A571="","",XLOOKUP(Locations!B451,NOCsTbl[NOC ID],NOCsTbl[Display Name],""))</x:f>
      </x:c>
      <x:c r="C571" s="128" t="str">
        <x:f>IF($A571="","",Locations!C451)</x:f>
      </x:c>
      <x:c r="D571" s="128" t="str">
        <x:f>IF($A571="","",Locations!D451)</x:f>
      </x:c>
      <x:c r="E571" s="128" t="str">
        <x:f>IF($A571="","",Locations!F451)</x:f>
      </x:c>
      <x:c r="F571" s="128" t="str">
        <x:f>IF($A571="","",Locations!E451)</x:f>
      </x:c>
      <x:c r="G571" s="128" t="str">
        <x:f>IF($A571="","","LOCATION")</x:f>
      </x:c>
      <x:c r="H571" s="128" t="str">
        <x:f>IF($A571="","","OK")</x:f>
      </x:c>
    </x:row>
    <x:row r="572">
      <x:c r="A572" s="128" t="str">
        <x:f>IF(AND(Locations!A452="Yes",Locations!I452="OK"),Locations!B452,"")</x:f>
      </x:c>
      <x:c r="B572" s="128" t="str">
        <x:f>IF($A572="","",XLOOKUP(Locations!B452,NOCsTbl[NOC ID],NOCsTbl[Display Name],""))</x:f>
      </x:c>
      <x:c r="C572" s="128" t="str">
        <x:f>IF($A572="","",Locations!C452)</x:f>
      </x:c>
      <x:c r="D572" s="128" t="str">
        <x:f>IF($A572="","",Locations!D452)</x:f>
      </x:c>
      <x:c r="E572" s="128" t="str">
        <x:f>IF($A572="","",Locations!F452)</x:f>
      </x:c>
      <x:c r="F572" s="128" t="str">
        <x:f>IF($A572="","",Locations!E452)</x:f>
      </x:c>
      <x:c r="G572" s="128" t="str">
        <x:f>IF($A572="","","LOCATION")</x:f>
      </x:c>
      <x:c r="H572" s="128" t="str">
        <x:f>IF($A572="","","OK")</x:f>
      </x:c>
    </x:row>
    <x:row r="573">
      <x:c r="A573" s="128" t="str">
        <x:f>IF(AND(Locations!A453="Yes",Locations!I453="OK"),Locations!B453,"")</x:f>
      </x:c>
      <x:c r="B573" s="128" t="str">
        <x:f>IF($A573="","",XLOOKUP(Locations!B453,NOCsTbl[NOC ID],NOCsTbl[Display Name],""))</x:f>
      </x:c>
      <x:c r="C573" s="128" t="str">
        <x:f>IF($A573="","",Locations!C453)</x:f>
      </x:c>
      <x:c r="D573" s="128" t="str">
        <x:f>IF($A573="","",Locations!D453)</x:f>
      </x:c>
      <x:c r="E573" s="128" t="str">
        <x:f>IF($A573="","",Locations!F453)</x:f>
      </x:c>
      <x:c r="F573" s="128" t="str">
        <x:f>IF($A573="","",Locations!E453)</x:f>
      </x:c>
      <x:c r="G573" s="128" t="str">
        <x:f>IF($A573="","","LOCATION")</x:f>
      </x:c>
      <x:c r="H573" s="128" t="str">
        <x:f>IF($A573="","","OK")</x:f>
      </x:c>
    </x:row>
    <x:row r="574">
      <x:c r="A574" s="128" t="str">
        <x:f>IF(AND(Locations!A454="Yes",Locations!I454="OK"),Locations!B454,"")</x:f>
      </x:c>
      <x:c r="B574" s="128" t="str">
        <x:f>IF($A574="","",XLOOKUP(Locations!B454,NOCsTbl[NOC ID],NOCsTbl[Display Name],""))</x:f>
      </x:c>
      <x:c r="C574" s="128" t="str">
        <x:f>IF($A574="","",Locations!C454)</x:f>
      </x:c>
      <x:c r="D574" s="128" t="str">
        <x:f>IF($A574="","",Locations!D454)</x:f>
      </x:c>
      <x:c r="E574" s="128" t="str">
        <x:f>IF($A574="","",Locations!F454)</x:f>
      </x:c>
      <x:c r="F574" s="128" t="str">
        <x:f>IF($A574="","",Locations!E454)</x:f>
      </x:c>
      <x:c r="G574" s="128" t="str">
        <x:f>IF($A574="","","LOCATION")</x:f>
      </x:c>
      <x:c r="H574" s="128" t="str">
        <x:f>IF($A574="","","OK")</x:f>
      </x:c>
    </x:row>
    <x:row r="575">
      <x:c r="A575" s="128" t="str">
        <x:f>IF(AND(Locations!A455="Yes",Locations!I455="OK"),Locations!B455,"")</x:f>
      </x:c>
      <x:c r="B575" s="128" t="str">
        <x:f>IF($A575="","",XLOOKUP(Locations!B455,NOCsTbl[NOC ID],NOCsTbl[Display Name],""))</x:f>
      </x:c>
      <x:c r="C575" s="128" t="str">
        <x:f>IF($A575="","",Locations!C455)</x:f>
      </x:c>
      <x:c r="D575" s="128" t="str">
        <x:f>IF($A575="","",Locations!D455)</x:f>
      </x:c>
      <x:c r="E575" s="128" t="str">
        <x:f>IF($A575="","",Locations!F455)</x:f>
      </x:c>
      <x:c r="F575" s="128" t="str">
        <x:f>IF($A575="","",Locations!E455)</x:f>
      </x:c>
      <x:c r="G575" s="128" t="str">
        <x:f>IF($A575="","","LOCATION")</x:f>
      </x:c>
      <x:c r="H575" s="128" t="str">
        <x:f>IF($A575="","","OK")</x:f>
      </x:c>
    </x:row>
    <x:row r="576">
      <x:c r="A576" s="128" t="str">
        <x:f>IF(AND(Locations!A456="Yes",Locations!I456="OK"),Locations!B456,"")</x:f>
      </x:c>
      <x:c r="B576" s="128" t="str">
        <x:f>IF($A576="","",XLOOKUP(Locations!B456,NOCsTbl[NOC ID],NOCsTbl[Display Name],""))</x:f>
      </x:c>
      <x:c r="C576" s="128" t="str">
        <x:f>IF($A576="","",Locations!C456)</x:f>
      </x:c>
      <x:c r="D576" s="128" t="str">
        <x:f>IF($A576="","",Locations!D456)</x:f>
      </x:c>
      <x:c r="E576" s="128" t="str">
        <x:f>IF($A576="","",Locations!F456)</x:f>
      </x:c>
      <x:c r="F576" s="128" t="str">
        <x:f>IF($A576="","",Locations!E456)</x:f>
      </x:c>
      <x:c r="G576" s="128" t="str">
        <x:f>IF($A576="","","LOCATION")</x:f>
      </x:c>
      <x:c r="H576" s="128" t="str">
        <x:f>IF($A576="","","OK")</x:f>
      </x:c>
    </x:row>
    <x:row r="577">
      <x:c r="A577" s="128" t="str">
        <x:f>IF(AND(Locations!A457="Yes",Locations!I457="OK"),Locations!B457,"")</x:f>
      </x:c>
      <x:c r="B577" s="128" t="str">
        <x:f>IF($A577="","",XLOOKUP(Locations!B457,NOCsTbl[NOC ID],NOCsTbl[Display Name],""))</x:f>
      </x:c>
      <x:c r="C577" s="128" t="str">
        <x:f>IF($A577="","",Locations!C457)</x:f>
      </x:c>
      <x:c r="D577" s="128" t="str">
        <x:f>IF($A577="","",Locations!D457)</x:f>
      </x:c>
      <x:c r="E577" s="128" t="str">
        <x:f>IF($A577="","",Locations!F457)</x:f>
      </x:c>
      <x:c r="F577" s="128" t="str">
        <x:f>IF($A577="","",Locations!E457)</x:f>
      </x:c>
      <x:c r="G577" s="128" t="str">
        <x:f>IF($A577="","","LOCATION")</x:f>
      </x:c>
      <x:c r="H577" s="128" t="str">
        <x:f>IF($A577="","","OK")</x:f>
      </x:c>
    </x:row>
    <x:row r="578">
      <x:c r="A578" s="128" t="str">
        <x:f>IF(AND(Locations!A458="Yes",Locations!I458="OK"),Locations!B458,"")</x:f>
      </x:c>
      <x:c r="B578" s="128" t="str">
        <x:f>IF($A578="","",XLOOKUP(Locations!B458,NOCsTbl[NOC ID],NOCsTbl[Display Name],""))</x:f>
      </x:c>
      <x:c r="C578" s="128" t="str">
        <x:f>IF($A578="","",Locations!C458)</x:f>
      </x:c>
      <x:c r="D578" s="128" t="str">
        <x:f>IF($A578="","",Locations!D458)</x:f>
      </x:c>
      <x:c r="E578" s="128" t="str">
        <x:f>IF($A578="","",Locations!F458)</x:f>
      </x:c>
      <x:c r="F578" s="128" t="str">
        <x:f>IF($A578="","",Locations!E458)</x:f>
      </x:c>
      <x:c r="G578" s="128" t="str">
        <x:f>IF($A578="","","LOCATION")</x:f>
      </x:c>
      <x:c r="H578" s="128" t="str">
        <x:f>IF($A578="","","OK")</x:f>
      </x:c>
    </x:row>
    <x:row r="579">
      <x:c r="A579" s="128" t="str">
        <x:f>IF(AND(Locations!A459="Yes",Locations!I459="OK"),Locations!B459,"")</x:f>
      </x:c>
      <x:c r="B579" s="128" t="str">
        <x:f>IF($A579="","",XLOOKUP(Locations!B459,NOCsTbl[NOC ID],NOCsTbl[Display Name],""))</x:f>
      </x:c>
      <x:c r="C579" s="128" t="str">
        <x:f>IF($A579="","",Locations!C459)</x:f>
      </x:c>
      <x:c r="D579" s="128" t="str">
        <x:f>IF($A579="","",Locations!D459)</x:f>
      </x:c>
      <x:c r="E579" s="128" t="str">
        <x:f>IF($A579="","",Locations!F459)</x:f>
      </x:c>
      <x:c r="F579" s="128" t="str">
        <x:f>IF($A579="","",Locations!E459)</x:f>
      </x:c>
      <x:c r="G579" s="128" t="str">
        <x:f>IF($A579="","","LOCATION")</x:f>
      </x:c>
      <x:c r="H579" s="128" t="str">
        <x:f>IF($A579="","","OK")</x:f>
      </x:c>
    </x:row>
    <x:row r="580">
      <x:c r="A580" s="128" t="str">
        <x:f>IF(AND(Locations!A460="Yes",Locations!I460="OK"),Locations!B460,"")</x:f>
      </x:c>
      <x:c r="B580" s="128" t="str">
        <x:f>IF($A580="","",XLOOKUP(Locations!B460,NOCsTbl[NOC ID],NOCsTbl[Display Name],""))</x:f>
      </x:c>
      <x:c r="C580" s="128" t="str">
        <x:f>IF($A580="","",Locations!C460)</x:f>
      </x:c>
      <x:c r="D580" s="128" t="str">
        <x:f>IF($A580="","",Locations!D460)</x:f>
      </x:c>
      <x:c r="E580" s="128" t="str">
        <x:f>IF($A580="","",Locations!F460)</x:f>
      </x:c>
      <x:c r="F580" s="128" t="str">
        <x:f>IF($A580="","",Locations!E460)</x:f>
      </x:c>
      <x:c r="G580" s="128" t="str">
        <x:f>IF($A580="","","LOCATION")</x:f>
      </x:c>
      <x:c r="H580" s="128" t="str">
        <x:f>IF($A580="","","OK")</x:f>
      </x:c>
    </x:row>
    <x:row r="581">
      <x:c r="A581" s="128" t="str">
        <x:f>IF(AND(Locations!A461="Yes",Locations!I461="OK"),Locations!B461,"")</x:f>
      </x:c>
      <x:c r="B581" s="128" t="str">
        <x:f>IF($A581="","",XLOOKUP(Locations!B461,NOCsTbl[NOC ID],NOCsTbl[Display Name],""))</x:f>
      </x:c>
      <x:c r="C581" s="128" t="str">
        <x:f>IF($A581="","",Locations!C461)</x:f>
      </x:c>
      <x:c r="D581" s="128" t="str">
        <x:f>IF($A581="","",Locations!D461)</x:f>
      </x:c>
      <x:c r="E581" s="128" t="str">
        <x:f>IF($A581="","",Locations!F461)</x:f>
      </x:c>
      <x:c r="F581" s="128" t="str">
        <x:f>IF($A581="","",Locations!E461)</x:f>
      </x:c>
      <x:c r="G581" s="128" t="str">
        <x:f>IF($A581="","","LOCATION")</x:f>
      </x:c>
      <x:c r="H581" s="128" t="str">
        <x:f>IF($A581="","","OK")</x:f>
      </x:c>
    </x:row>
    <x:row r="582">
      <x:c r="A582" s="128" t="str">
        <x:f>IF(AND(Locations!A462="Yes",Locations!I462="OK"),Locations!B462,"")</x:f>
      </x:c>
      <x:c r="B582" s="128" t="str">
        <x:f>IF($A582="","",XLOOKUP(Locations!B462,NOCsTbl[NOC ID],NOCsTbl[Display Name],""))</x:f>
      </x:c>
      <x:c r="C582" s="128" t="str">
        <x:f>IF($A582="","",Locations!C462)</x:f>
      </x:c>
      <x:c r="D582" s="128" t="str">
        <x:f>IF($A582="","",Locations!D462)</x:f>
      </x:c>
      <x:c r="E582" s="128" t="str">
        <x:f>IF($A582="","",Locations!F462)</x:f>
      </x:c>
      <x:c r="F582" s="128" t="str">
        <x:f>IF($A582="","",Locations!E462)</x:f>
      </x:c>
      <x:c r="G582" s="128" t="str">
        <x:f>IF($A582="","","LOCATION")</x:f>
      </x:c>
      <x:c r="H582" s="128" t="str">
        <x:f>IF($A582="","","OK")</x:f>
      </x:c>
    </x:row>
    <x:row r="583">
      <x:c r="A583" s="128" t="str">
        <x:f>IF(AND(Locations!A463="Yes",Locations!I463="OK"),Locations!B463,"")</x:f>
      </x:c>
      <x:c r="B583" s="128" t="str">
        <x:f>IF($A583="","",XLOOKUP(Locations!B463,NOCsTbl[NOC ID],NOCsTbl[Display Name],""))</x:f>
      </x:c>
      <x:c r="C583" s="128" t="str">
        <x:f>IF($A583="","",Locations!C463)</x:f>
      </x:c>
      <x:c r="D583" s="128" t="str">
        <x:f>IF($A583="","",Locations!D463)</x:f>
      </x:c>
      <x:c r="E583" s="128" t="str">
        <x:f>IF($A583="","",Locations!F463)</x:f>
      </x:c>
      <x:c r="F583" s="128" t="str">
        <x:f>IF($A583="","",Locations!E463)</x:f>
      </x:c>
      <x:c r="G583" s="128" t="str">
        <x:f>IF($A583="","","LOCATION")</x:f>
      </x:c>
      <x:c r="H583" s="128" t="str">
        <x:f>IF($A583="","","OK")</x:f>
      </x:c>
    </x:row>
    <x:row r="584">
      <x:c r="A584" s="128" t="str">
        <x:f>IF(AND(Locations!A464="Yes",Locations!I464="OK"),Locations!B464,"")</x:f>
      </x:c>
      <x:c r="B584" s="128" t="str">
        <x:f>IF($A584="","",XLOOKUP(Locations!B464,NOCsTbl[NOC ID],NOCsTbl[Display Name],""))</x:f>
      </x:c>
      <x:c r="C584" s="128" t="str">
        <x:f>IF($A584="","",Locations!C464)</x:f>
      </x:c>
      <x:c r="D584" s="128" t="str">
        <x:f>IF($A584="","",Locations!D464)</x:f>
      </x:c>
      <x:c r="E584" s="128" t="str">
        <x:f>IF($A584="","",Locations!F464)</x:f>
      </x:c>
      <x:c r="F584" s="128" t="str">
        <x:f>IF($A584="","",Locations!E464)</x:f>
      </x:c>
      <x:c r="G584" s="128" t="str">
        <x:f>IF($A584="","","LOCATION")</x:f>
      </x:c>
      <x:c r="H584" s="128" t="str">
        <x:f>IF($A584="","","OK")</x:f>
      </x:c>
    </x:row>
    <x:row r="585">
      <x:c r="A585" s="128" t="str">
        <x:f>IF(AND(Locations!A465="Yes",Locations!I465="OK"),Locations!B465,"")</x:f>
      </x:c>
      <x:c r="B585" s="128" t="str">
        <x:f>IF($A585="","",XLOOKUP(Locations!B465,NOCsTbl[NOC ID],NOCsTbl[Display Name],""))</x:f>
      </x:c>
      <x:c r="C585" s="128" t="str">
        <x:f>IF($A585="","",Locations!C465)</x:f>
      </x:c>
      <x:c r="D585" s="128" t="str">
        <x:f>IF($A585="","",Locations!D465)</x:f>
      </x:c>
      <x:c r="E585" s="128" t="str">
        <x:f>IF($A585="","",Locations!F465)</x:f>
      </x:c>
      <x:c r="F585" s="128" t="str">
        <x:f>IF($A585="","",Locations!E465)</x:f>
      </x:c>
      <x:c r="G585" s="128" t="str">
        <x:f>IF($A585="","","LOCATION")</x:f>
      </x:c>
      <x:c r="H585" s="128" t="str">
        <x:f>IF($A585="","","OK")</x:f>
      </x:c>
    </x:row>
    <x:row r="586">
      <x:c r="A586" s="128" t="str">
        <x:f>IF(AND(Locations!A466="Yes",Locations!I466="OK"),Locations!B466,"")</x:f>
      </x:c>
      <x:c r="B586" s="128" t="str">
        <x:f>IF($A586="","",XLOOKUP(Locations!B466,NOCsTbl[NOC ID],NOCsTbl[Display Name],""))</x:f>
      </x:c>
      <x:c r="C586" s="128" t="str">
        <x:f>IF($A586="","",Locations!C466)</x:f>
      </x:c>
      <x:c r="D586" s="128" t="str">
        <x:f>IF($A586="","",Locations!D466)</x:f>
      </x:c>
      <x:c r="E586" s="128" t="str">
        <x:f>IF($A586="","",Locations!F466)</x:f>
      </x:c>
      <x:c r="F586" s="128" t="str">
        <x:f>IF($A586="","",Locations!E466)</x:f>
      </x:c>
      <x:c r="G586" s="128" t="str">
        <x:f>IF($A586="","","LOCATION")</x:f>
      </x:c>
      <x:c r="H586" s="128" t="str">
        <x:f>IF($A586="","","OK")</x:f>
      </x:c>
    </x:row>
    <x:row r="587">
      <x:c r="A587" s="128" t="str">
        <x:f>IF(AND(Locations!A467="Yes",Locations!I467="OK"),Locations!B467,"")</x:f>
      </x:c>
      <x:c r="B587" s="128" t="str">
        <x:f>IF($A587="","",XLOOKUP(Locations!B467,NOCsTbl[NOC ID],NOCsTbl[Display Name],""))</x:f>
      </x:c>
      <x:c r="C587" s="128" t="str">
        <x:f>IF($A587="","",Locations!C467)</x:f>
      </x:c>
      <x:c r="D587" s="128" t="str">
        <x:f>IF($A587="","",Locations!D467)</x:f>
      </x:c>
      <x:c r="E587" s="128" t="str">
        <x:f>IF($A587="","",Locations!F467)</x:f>
      </x:c>
      <x:c r="F587" s="128" t="str">
        <x:f>IF($A587="","",Locations!E467)</x:f>
      </x:c>
      <x:c r="G587" s="128" t="str">
        <x:f>IF($A587="","","LOCATION")</x:f>
      </x:c>
      <x:c r="H587" s="128" t="str">
        <x:f>IF($A587="","","OK")</x:f>
      </x:c>
    </x:row>
    <x:row r="588">
      <x:c r="A588" s="128" t="str">
        <x:f>IF(AND(Locations!A468="Yes",Locations!I468="OK"),Locations!B468,"")</x:f>
      </x:c>
      <x:c r="B588" s="128" t="str">
        <x:f>IF($A588="","",XLOOKUP(Locations!B468,NOCsTbl[NOC ID],NOCsTbl[Display Name],""))</x:f>
      </x:c>
      <x:c r="C588" s="128" t="str">
        <x:f>IF($A588="","",Locations!C468)</x:f>
      </x:c>
      <x:c r="D588" s="128" t="str">
        <x:f>IF($A588="","",Locations!D468)</x:f>
      </x:c>
      <x:c r="E588" s="128" t="str">
        <x:f>IF($A588="","",Locations!F468)</x:f>
      </x:c>
      <x:c r="F588" s="128" t="str">
        <x:f>IF($A588="","",Locations!E468)</x:f>
      </x:c>
      <x:c r="G588" s="128" t="str">
        <x:f>IF($A588="","","LOCATION")</x:f>
      </x:c>
      <x:c r="H588" s="128" t="str">
        <x:f>IF($A588="","","OK")</x:f>
      </x:c>
    </x:row>
    <x:row r="589">
      <x:c r="A589" s="128" t="str">
        <x:f>IF(AND(Locations!A469="Yes",Locations!I469="OK"),Locations!B469,"")</x:f>
      </x:c>
      <x:c r="B589" s="128" t="str">
        <x:f>IF($A589="","",XLOOKUP(Locations!B469,NOCsTbl[NOC ID],NOCsTbl[Display Name],""))</x:f>
      </x:c>
      <x:c r="C589" s="128" t="str">
        <x:f>IF($A589="","",Locations!C469)</x:f>
      </x:c>
      <x:c r="D589" s="128" t="str">
        <x:f>IF($A589="","",Locations!D469)</x:f>
      </x:c>
      <x:c r="E589" s="128" t="str">
        <x:f>IF($A589="","",Locations!F469)</x:f>
      </x:c>
      <x:c r="F589" s="128" t="str">
        <x:f>IF($A589="","",Locations!E469)</x:f>
      </x:c>
      <x:c r="G589" s="128" t="str">
        <x:f>IF($A589="","","LOCATION")</x:f>
      </x:c>
      <x:c r="H589" s="128" t="str">
        <x:f>IF($A589="","","OK")</x:f>
      </x:c>
    </x:row>
    <x:row r="590">
      <x:c r="A590" s="128" t="str">
        <x:f>IF(AND(Locations!A470="Yes",Locations!I470="OK"),Locations!B470,"")</x:f>
      </x:c>
      <x:c r="B590" s="128" t="str">
        <x:f>IF($A590="","",XLOOKUP(Locations!B470,NOCsTbl[NOC ID],NOCsTbl[Display Name],""))</x:f>
      </x:c>
      <x:c r="C590" s="128" t="str">
        <x:f>IF($A590="","",Locations!C470)</x:f>
      </x:c>
      <x:c r="D590" s="128" t="str">
        <x:f>IF($A590="","",Locations!D470)</x:f>
      </x:c>
      <x:c r="E590" s="128" t="str">
        <x:f>IF($A590="","",Locations!F470)</x:f>
      </x:c>
      <x:c r="F590" s="128" t="str">
        <x:f>IF($A590="","",Locations!E470)</x:f>
      </x:c>
      <x:c r="G590" s="128" t="str">
        <x:f>IF($A590="","","LOCATION")</x:f>
      </x:c>
      <x:c r="H590" s="128" t="str">
        <x:f>IF($A590="","","OK")</x:f>
      </x:c>
    </x:row>
    <x:row r="591">
      <x:c r="A591" s="128" t="str">
        <x:f>IF(AND(Locations!A471="Yes",Locations!I471="OK"),Locations!B471,"")</x:f>
      </x:c>
      <x:c r="B591" s="128" t="str">
        <x:f>IF($A591="","",XLOOKUP(Locations!B471,NOCsTbl[NOC ID],NOCsTbl[Display Name],""))</x:f>
      </x:c>
      <x:c r="C591" s="128" t="str">
        <x:f>IF($A591="","",Locations!C471)</x:f>
      </x:c>
      <x:c r="D591" s="128" t="str">
        <x:f>IF($A591="","",Locations!D471)</x:f>
      </x:c>
      <x:c r="E591" s="128" t="str">
        <x:f>IF($A591="","",Locations!F471)</x:f>
      </x:c>
      <x:c r="F591" s="128" t="str">
        <x:f>IF($A591="","",Locations!E471)</x:f>
      </x:c>
      <x:c r="G591" s="128" t="str">
        <x:f>IF($A591="","","LOCATION")</x:f>
      </x:c>
      <x:c r="H591" s="128" t="str">
        <x:f>IF($A591="","","OK")</x:f>
      </x:c>
    </x:row>
    <x:row r="592">
      <x:c r="A592" s="128" t="str">
        <x:f>IF(AND(Locations!A472="Yes",Locations!I472="OK"),Locations!B472,"")</x:f>
      </x:c>
      <x:c r="B592" s="128" t="str">
        <x:f>IF($A592="","",XLOOKUP(Locations!B472,NOCsTbl[NOC ID],NOCsTbl[Display Name],""))</x:f>
      </x:c>
      <x:c r="C592" s="128" t="str">
        <x:f>IF($A592="","",Locations!C472)</x:f>
      </x:c>
      <x:c r="D592" s="128" t="str">
        <x:f>IF($A592="","",Locations!D472)</x:f>
      </x:c>
      <x:c r="E592" s="128" t="str">
        <x:f>IF($A592="","",Locations!F472)</x:f>
      </x:c>
      <x:c r="F592" s="128" t="str">
        <x:f>IF($A592="","",Locations!E472)</x:f>
      </x:c>
      <x:c r="G592" s="128" t="str">
        <x:f>IF($A592="","","LOCATION")</x:f>
      </x:c>
      <x:c r="H592" s="128" t="str">
        <x:f>IF($A592="","","OK")</x:f>
      </x:c>
    </x:row>
    <x:row r="593">
      <x:c r="A593" s="128" t="str">
        <x:f>IF(AND(Locations!A473="Yes",Locations!I473="OK"),Locations!B473,"")</x:f>
      </x:c>
      <x:c r="B593" s="128" t="str">
        <x:f>IF($A593="","",XLOOKUP(Locations!B473,NOCsTbl[NOC ID],NOCsTbl[Display Name],""))</x:f>
      </x:c>
      <x:c r="C593" s="128" t="str">
        <x:f>IF($A593="","",Locations!C473)</x:f>
      </x:c>
      <x:c r="D593" s="128" t="str">
        <x:f>IF($A593="","",Locations!D473)</x:f>
      </x:c>
      <x:c r="E593" s="128" t="str">
        <x:f>IF($A593="","",Locations!F473)</x:f>
      </x:c>
      <x:c r="F593" s="128" t="str">
        <x:f>IF($A593="","",Locations!E473)</x:f>
      </x:c>
      <x:c r="G593" s="128" t="str">
        <x:f>IF($A593="","","LOCATION")</x:f>
      </x:c>
      <x:c r="H593" s="128" t="str">
        <x:f>IF($A593="","","OK")</x:f>
      </x:c>
    </x:row>
    <x:row r="594">
      <x:c r="A594" s="128" t="str">
        <x:f>IF(AND(Locations!A474="Yes",Locations!I474="OK"),Locations!B474,"")</x:f>
      </x:c>
      <x:c r="B594" s="128" t="str">
        <x:f>IF($A594="","",XLOOKUP(Locations!B474,NOCsTbl[NOC ID],NOCsTbl[Display Name],""))</x:f>
      </x:c>
      <x:c r="C594" s="128" t="str">
        <x:f>IF($A594="","",Locations!C474)</x:f>
      </x:c>
      <x:c r="D594" s="128" t="str">
        <x:f>IF($A594="","",Locations!D474)</x:f>
      </x:c>
      <x:c r="E594" s="128" t="str">
        <x:f>IF($A594="","",Locations!F474)</x:f>
      </x:c>
      <x:c r="F594" s="128" t="str">
        <x:f>IF($A594="","",Locations!E474)</x:f>
      </x:c>
      <x:c r="G594" s="128" t="str">
        <x:f>IF($A594="","","LOCATION")</x:f>
      </x:c>
      <x:c r="H594" s="128" t="str">
        <x:f>IF($A594="","","OK")</x:f>
      </x:c>
    </x:row>
    <x:row r="595">
      <x:c r="A595" s="128" t="str">
        <x:f>IF(AND(Locations!A475="Yes",Locations!I475="OK"),Locations!B475,"")</x:f>
      </x:c>
      <x:c r="B595" s="128" t="str">
        <x:f>IF($A595="","",XLOOKUP(Locations!B475,NOCsTbl[NOC ID],NOCsTbl[Display Name],""))</x:f>
      </x:c>
      <x:c r="C595" s="128" t="str">
        <x:f>IF($A595="","",Locations!C475)</x:f>
      </x:c>
      <x:c r="D595" s="128" t="str">
        <x:f>IF($A595="","",Locations!D475)</x:f>
      </x:c>
      <x:c r="E595" s="128" t="str">
        <x:f>IF($A595="","",Locations!F475)</x:f>
      </x:c>
      <x:c r="F595" s="128" t="str">
        <x:f>IF($A595="","",Locations!E475)</x:f>
      </x:c>
      <x:c r="G595" s="128" t="str">
        <x:f>IF($A595="","","LOCATION")</x:f>
      </x:c>
      <x:c r="H595" s="128" t="str">
        <x:f>IF($A595="","","OK")</x:f>
      </x:c>
    </x:row>
    <x:row r="596">
      <x:c r="A596" s="128" t="str">
        <x:f>IF(AND(Locations!A476="Yes",Locations!I476="OK"),Locations!B476,"")</x:f>
      </x:c>
      <x:c r="B596" s="128" t="str">
        <x:f>IF($A596="","",XLOOKUP(Locations!B476,NOCsTbl[NOC ID],NOCsTbl[Display Name],""))</x:f>
      </x:c>
      <x:c r="C596" s="128" t="str">
        <x:f>IF($A596="","",Locations!C476)</x:f>
      </x:c>
      <x:c r="D596" s="128" t="str">
        <x:f>IF($A596="","",Locations!D476)</x:f>
      </x:c>
      <x:c r="E596" s="128" t="str">
        <x:f>IF($A596="","",Locations!F476)</x:f>
      </x:c>
      <x:c r="F596" s="128" t="str">
        <x:f>IF($A596="","",Locations!E476)</x:f>
      </x:c>
      <x:c r="G596" s="128" t="str">
        <x:f>IF($A596="","","LOCATION")</x:f>
      </x:c>
      <x:c r="H596" s="128" t="str">
        <x:f>IF($A596="","","OK")</x:f>
      </x:c>
    </x:row>
    <x:row r="597">
      <x:c r="A597" s="128" t="str">
        <x:f>IF(AND(Locations!A477="Yes",Locations!I477="OK"),Locations!B477,"")</x:f>
      </x:c>
      <x:c r="B597" s="128" t="str">
        <x:f>IF($A597="","",XLOOKUP(Locations!B477,NOCsTbl[NOC ID],NOCsTbl[Display Name],""))</x:f>
      </x:c>
      <x:c r="C597" s="128" t="str">
        <x:f>IF($A597="","",Locations!C477)</x:f>
      </x:c>
      <x:c r="D597" s="128" t="str">
        <x:f>IF($A597="","",Locations!D477)</x:f>
      </x:c>
      <x:c r="E597" s="128" t="str">
        <x:f>IF($A597="","",Locations!F477)</x:f>
      </x:c>
      <x:c r="F597" s="128" t="str">
        <x:f>IF($A597="","",Locations!E477)</x:f>
      </x:c>
      <x:c r="G597" s="128" t="str">
        <x:f>IF($A597="","","LOCATION")</x:f>
      </x:c>
      <x:c r="H597" s="128" t="str">
        <x:f>IF($A597="","","OK")</x:f>
      </x:c>
    </x:row>
    <x:row r="598">
      <x:c r="A598" s="128" t="str">
        <x:f>IF(AND(Locations!A478="Yes",Locations!I478="OK"),Locations!B478,"")</x:f>
      </x:c>
      <x:c r="B598" s="128" t="str">
        <x:f>IF($A598="","",XLOOKUP(Locations!B478,NOCsTbl[NOC ID],NOCsTbl[Display Name],""))</x:f>
      </x:c>
      <x:c r="C598" s="128" t="str">
        <x:f>IF($A598="","",Locations!C478)</x:f>
      </x:c>
      <x:c r="D598" s="128" t="str">
        <x:f>IF($A598="","",Locations!D478)</x:f>
      </x:c>
      <x:c r="E598" s="128" t="str">
        <x:f>IF($A598="","",Locations!F478)</x:f>
      </x:c>
      <x:c r="F598" s="128" t="str">
        <x:f>IF($A598="","",Locations!E478)</x:f>
      </x:c>
      <x:c r="G598" s="128" t="str">
        <x:f>IF($A598="","","LOCATION")</x:f>
      </x:c>
      <x:c r="H598" s="128" t="str">
        <x:f>IF($A598="","","OK")</x:f>
      </x:c>
    </x:row>
    <x:row r="599">
      <x:c r="A599" s="128" t="str">
        <x:f>IF(AND(Locations!A479="Yes",Locations!I479="OK"),Locations!B479,"")</x:f>
      </x:c>
      <x:c r="B599" s="128" t="str">
        <x:f>IF($A599="","",XLOOKUP(Locations!B479,NOCsTbl[NOC ID],NOCsTbl[Display Name],""))</x:f>
      </x:c>
      <x:c r="C599" s="128" t="str">
        <x:f>IF($A599="","",Locations!C479)</x:f>
      </x:c>
      <x:c r="D599" s="128" t="str">
        <x:f>IF($A599="","",Locations!D479)</x:f>
      </x:c>
      <x:c r="E599" s="128" t="str">
        <x:f>IF($A599="","",Locations!F479)</x:f>
      </x:c>
      <x:c r="F599" s="128" t="str">
        <x:f>IF($A599="","",Locations!E479)</x:f>
      </x:c>
      <x:c r="G599" s="128" t="str">
        <x:f>IF($A599="","","LOCATION")</x:f>
      </x:c>
      <x:c r="H599" s="128" t="str">
        <x:f>IF($A599="","","OK")</x:f>
      </x:c>
    </x:row>
    <x:row r="600">
      <x:c r="A600" s="128" t="str">
        <x:f>IF(AND(Locations!A480="Yes",Locations!I480="OK"),Locations!B480,"")</x:f>
      </x:c>
      <x:c r="B600" s="128" t="str">
        <x:f>IF($A600="","",XLOOKUP(Locations!B480,NOCsTbl[NOC ID],NOCsTbl[Display Name],""))</x:f>
      </x:c>
      <x:c r="C600" s="128" t="str">
        <x:f>IF($A600="","",Locations!C480)</x:f>
      </x:c>
      <x:c r="D600" s="128" t="str">
        <x:f>IF($A600="","",Locations!D480)</x:f>
      </x:c>
      <x:c r="E600" s="128" t="str">
        <x:f>IF($A600="","",Locations!F480)</x:f>
      </x:c>
      <x:c r="F600" s="128" t="str">
        <x:f>IF($A600="","",Locations!E480)</x:f>
      </x:c>
      <x:c r="G600" s="128" t="str">
        <x:f>IF($A600="","","LOCATION")</x:f>
      </x:c>
      <x:c r="H600" s="128" t="str">
        <x:f>IF($A600="","","OK")</x:f>
      </x:c>
    </x:row>
    <x:row r="601">
      <x:c r="A601" s="128" t="str">
        <x:f>IF(AND(Locations!A481="Yes",Locations!I481="OK"),Locations!B481,"")</x:f>
      </x:c>
      <x:c r="B601" s="128" t="str">
        <x:f>IF($A601="","",XLOOKUP(Locations!B481,NOCsTbl[NOC ID],NOCsTbl[Display Name],""))</x:f>
      </x:c>
      <x:c r="C601" s="128" t="str">
        <x:f>IF($A601="","",Locations!C481)</x:f>
      </x:c>
      <x:c r="D601" s="128" t="str">
        <x:f>IF($A601="","",Locations!D481)</x:f>
      </x:c>
      <x:c r="E601" s="128" t="str">
        <x:f>IF($A601="","",Locations!F481)</x:f>
      </x:c>
      <x:c r="F601" s="128" t="str">
        <x:f>IF($A601="","",Locations!E481)</x:f>
      </x:c>
      <x:c r="G601" s="128" t="str">
        <x:f>IF($A601="","","LOCATION")</x:f>
      </x:c>
      <x:c r="H601" s="128" t="str">
        <x:f>IF($A601="","","OK")</x:f>
      </x:c>
    </x:row>
    <x:row r="602">
      <x:c r="A602" s="128" t="str">
        <x:f>IF(AND(Locations!A482="Yes",Locations!I482="OK"),Locations!B482,"")</x:f>
      </x:c>
      <x:c r="B602" s="128" t="str">
        <x:f>IF($A602="","",XLOOKUP(Locations!B482,NOCsTbl[NOC ID],NOCsTbl[Display Name],""))</x:f>
      </x:c>
      <x:c r="C602" s="128" t="str">
        <x:f>IF($A602="","",Locations!C482)</x:f>
      </x:c>
      <x:c r="D602" s="128" t="str">
        <x:f>IF($A602="","",Locations!D482)</x:f>
      </x:c>
      <x:c r="E602" s="128" t="str">
        <x:f>IF($A602="","",Locations!F482)</x:f>
      </x:c>
      <x:c r="F602" s="128" t="str">
        <x:f>IF($A602="","",Locations!E482)</x:f>
      </x:c>
      <x:c r="G602" s="128" t="str">
        <x:f>IF($A602="","","LOCATION")</x:f>
      </x:c>
      <x:c r="H602" s="128" t="str">
        <x:f>IF($A602="","","OK")</x:f>
      </x:c>
    </x:row>
    <x:row r="603">
      <x:c r="A603" s="128" t="str">
        <x:f>IF(AND(Locations!A483="Yes",Locations!I483="OK"),Locations!B483,"")</x:f>
      </x:c>
      <x:c r="B603" s="128" t="str">
        <x:f>IF($A603="","",XLOOKUP(Locations!B483,NOCsTbl[NOC ID],NOCsTbl[Display Name],""))</x:f>
      </x:c>
      <x:c r="C603" s="128" t="str">
        <x:f>IF($A603="","",Locations!C483)</x:f>
      </x:c>
      <x:c r="D603" s="128" t="str">
        <x:f>IF($A603="","",Locations!D483)</x:f>
      </x:c>
      <x:c r="E603" s="128" t="str">
        <x:f>IF($A603="","",Locations!F483)</x:f>
      </x:c>
      <x:c r="F603" s="128" t="str">
        <x:f>IF($A603="","",Locations!E483)</x:f>
      </x:c>
      <x:c r="G603" s="128" t="str">
        <x:f>IF($A603="","","LOCATION")</x:f>
      </x:c>
      <x:c r="H603" s="128" t="str">
        <x:f>IF($A603="","","OK")</x:f>
      </x:c>
    </x:row>
    <x:row r="604">
      <x:c r="A604" s="128" t="str">
        <x:f>IF(AND(Locations!A484="Yes",Locations!I484="OK"),Locations!B484,"")</x:f>
      </x:c>
      <x:c r="B604" s="128" t="str">
        <x:f>IF($A604="","",XLOOKUP(Locations!B484,NOCsTbl[NOC ID],NOCsTbl[Display Name],""))</x:f>
      </x:c>
      <x:c r="C604" s="128" t="str">
        <x:f>IF($A604="","",Locations!C484)</x:f>
      </x:c>
      <x:c r="D604" s="128" t="str">
        <x:f>IF($A604="","",Locations!D484)</x:f>
      </x:c>
      <x:c r="E604" s="128" t="str">
        <x:f>IF($A604="","",Locations!F484)</x:f>
      </x:c>
      <x:c r="F604" s="128" t="str">
        <x:f>IF($A604="","",Locations!E484)</x:f>
      </x:c>
      <x:c r="G604" s="128" t="str">
        <x:f>IF($A604="","","LOCATION")</x:f>
      </x:c>
      <x:c r="H604" s="128" t="str">
        <x:f>IF($A604="","","OK")</x:f>
      </x:c>
    </x:row>
    <x:row r="605">
      <x:c r="A605" s="128" t="str">
        <x:f>IF(AND(Locations!A485="Yes",Locations!I485="OK"),Locations!B485,"")</x:f>
      </x:c>
      <x:c r="B605" s="128" t="str">
        <x:f>IF($A605="","",XLOOKUP(Locations!B485,NOCsTbl[NOC ID],NOCsTbl[Display Name],""))</x:f>
      </x:c>
      <x:c r="C605" s="128" t="str">
        <x:f>IF($A605="","",Locations!C485)</x:f>
      </x:c>
      <x:c r="D605" s="128" t="str">
        <x:f>IF($A605="","",Locations!D485)</x:f>
      </x:c>
      <x:c r="E605" s="128" t="str">
        <x:f>IF($A605="","",Locations!F485)</x:f>
      </x:c>
      <x:c r="F605" s="128" t="str">
        <x:f>IF($A605="","",Locations!E485)</x:f>
      </x:c>
      <x:c r="G605" s="128" t="str">
        <x:f>IF($A605="","","LOCATION")</x:f>
      </x:c>
      <x:c r="H605" s="128" t="str">
        <x:f>IF($A605="","","OK")</x:f>
      </x:c>
    </x:row>
    <x:row r="606">
      <x:c r="A606" s="128" t="str">
        <x:f>IF(AND(Locations!A486="Yes",Locations!I486="OK"),Locations!B486,"")</x:f>
      </x:c>
      <x:c r="B606" s="128" t="str">
        <x:f>IF($A606="","",XLOOKUP(Locations!B486,NOCsTbl[NOC ID],NOCsTbl[Display Name],""))</x:f>
      </x:c>
      <x:c r="C606" s="128" t="str">
        <x:f>IF($A606="","",Locations!C486)</x:f>
      </x:c>
      <x:c r="D606" s="128" t="str">
        <x:f>IF($A606="","",Locations!D486)</x:f>
      </x:c>
      <x:c r="E606" s="128" t="str">
        <x:f>IF($A606="","",Locations!F486)</x:f>
      </x:c>
      <x:c r="F606" s="128" t="str">
        <x:f>IF($A606="","",Locations!E486)</x:f>
      </x:c>
      <x:c r="G606" s="128" t="str">
        <x:f>IF($A606="","","LOCATION")</x:f>
      </x:c>
      <x:c r="H606" s="128" t="str">
        <x:f>IF($A606="","","OK")</x:f>
      </x:c>
    </x:row>
    <x:row r="607">
      <x:c r="A607" s="128" t="str">
        <x:f>IF(AND(Locations!A487="Yes",Locations!I487="OK"),Locations!B487,"")</x:f>
      </x:c>
      <x:c r="B607" s="128" t="str">
        <x:f>IF($A607="","",XLOOKUP(Locations!B487,NOCsTbl[NOC ID],NOCsTbl[Display Name],""))</x:f>
      </x:c>
      <x:c r="C607" s="128" t="str">
        <x:f>IF($A607="","",Locations!C487)</x:f>
      </x:c>
      <x:c r="D607" s="128" t="str">
        <x:f>IF($A607="","",Locations!D487)</x:f>
      </x:c>
      <x:c r="E607" s="128" t="str">
        <x:f>IF($A607="","",Locations!F487)</x:f>
      </x:c>
      <x:c r="F607" s="128" t="str">
        <x:f>IF($A607="","",Locations!E487)</x:f>
      </x:c>
      <x:c r="G607" s="128" t="str">
        <x:f>IF($A607="","","LOCATION")</x:f>
      </x:c>
      <x:c r="H607" s="128" t="str">
        <x:f>IF($A607="","","OK")</x:f>
      </x:c>
    </x:row>
    <x:row r="608">
      <x:c r="A608" s="128" t="str">
        <x:f>IF(AND(Locations!A488="Yes",Locations!I488="OK"),Locations!B488,"")</x:f>
      </x:c>
      <x:c r="B608" s="128" t="str">
        <x:f>IF($A608="","",XLOOKUP(Locations!B488,NOCsTbl[NOC ID],NOCsTbl[Display Name],""))</x:f>
      </x:c>
      <x:c r="C608" s="128" t="str">
        <x:f>IF($A608="","",Locations!C488)</x:f>
      </x:c>
      <x:c r="D608" s="128" t="str">
        <x:f>IF($A608="","",Locations!D488)</x:f>
      </x:c>
      <x:c r="E608" s="128" t="str">
        <x:f>IF($A608="","",Locations!F488)</x:f>
      </x:c>
      <x:c r="F608" s="128" t="str">
        <x:f>IF($A608="","",Locations!E488)</x:f>
      </x:c>
      <x:c r="G608" s="128" t="str">
        <x:f>IF($A608="","","LOCATION")</x:f>
      </x:c>
      <x:c r="H608" s="128" t="str">
        <x:f>IF($A608="","","OK")</x:f>
      </x:c>
    </x:row>
    <x:row r="609">
      <x:c r="A609" s="128" t="str">
        <x:f>IF(AND(Locations!A489="Yes",Locations!I489="OK"),Locations!B489,"")</x:f>
      </x:c>
      <x:c r="B609" s="128" t="str">
        <x:f>IF($A609="","",XLOOKUP(Locations!B489,NOCsTbl[NOC ID],NOCsTbl[Display Name],""))</x:f>
      </x:c>
      <x:c r="C609" s="128" t="str">
        <x:f>IF($A609="","",Locations!C489)</x:f>
      </x:c>
      <x:c r="D609" s="128" t="str">
        <x:f>IF($A609="","",Locations!D489)</x:f>
      </x:c>
      <x:c r="E609" s="128" t="str">
        <x:f>IF($A609="","",Locations!F489)</x:f>
      </x:c>
      <x:c r="F609" s="128" t="str">
        <x:f>IF($A609="","",Locations!E489)</x:f>
      </x:c>
      <x:c r="G609" s="128" t="str">
        <x:f>IF($A609="","","LOCATION")</x:f>
      </x:c>
      <x:c r="H609" s="128" t="str">
        <x:f>IF($A609="","","OK")</x:f>
      </x:c>
    </x:row>
    <x:row r="610">
      <x:c r="A610" s="128" t="str">
        <x:f>IF(AND(Locations!A490="Yes",Locations!I490="OK"),Locations!B490,"")</x:f>
      </x:c>
      <x:c r="B610" s="128" t="str">
        <x:f>IF($A610="","",XLOOKUP(Locations!B490,NOCsTbl[NOC ID],NOCsTbl[Display Name],""))</x:f>
      </x:c>
      <x:c r="C610" s="128" t="str">
        <x:f>IF($A610="","",Locations!C490)</x:f>
      </x:c>
      <x:c r="D610" s="128" t="str">
        <x:f>IF($A610="","",Locations!D490)</x:f>
      </x:c>
      <x:c r="E610" s="128" t="str">
        <x:f>IF($A610="","",Locations!F490)</x:f>
      </x:c>
      <x:c r="F610" s="128" t="str">
        <x:f>IF($A610="","",Locations!E490)</x:f>
      </x:c>
      <x:c r="G610" s="128" t="str">
        <x:f>IF($A610="","","LOCATION")</x:f>
      </x:c>
      <x:c r="H610" s="128" t="str">
        <x:f>IF($A610="","","OK")</x:f>
      </x:c>
    </x:row>
    <x:row r="611">
      <x:c r="A611" s="128" t="str">
        <x:f>IF(AND(Locations!A491="Yes",Locations!I491="OK"),Locations!B491,"")</x:f>
      </x:c>
      <x:c r="B611" s="128" t="str">
        <x:f>IF($A611="","",XLOOKUP(Locations!B491,NOCsTbl[NOC ID],NOCsTbl[Display Name],""))</x:f>
      </x:c>
      <x:c r="C611" s="128" t="str">
        <x:f>IF($A611="","",Locations!C491)</x:f>
      </x:c>
      <x:c r="D611" s="128" t="str">
        <x:f>IF($A611="","",Locations!D491)</x:f>
      </x:c>
      <x:c r="E611" s="128" t="str">
        <x:f>IF($A611="","",Locations!F491)</x:f>
      </x:c>
      <x:c r="F611" s="128" t="str">
        <x:f>IF($A611="","",Locations!E491)</x:f>
      </x:c>
      <x:c r="G611" s="128" t="str">
        <x:f>IF($A611="","","LOCATION")</x:f>
      </x:c>
      <x:c r="H611" s="128" t="str">
        <x:f>IF($A611="","","OK")</x:f>
      </x:c>
    </x:row>
    <x:row r="612">
      <x:c r="A612" s="128" t="str">
        <x:f>IF(AND(Locations!A492="Yes",Locations!I492="OK"),Locations!B492,"")</x:f>
      </x:c>
      <x:c r="B612" s="128" t="str">
        <x:f>IF($A612="","",XLOOKUP(Locations!B492,NOCsTbl[NOC ID],NOCsTbl[Display Name],""))</x:f>
      </x:c>
      <x:c r="C612" s="128" t="str">
        <x:f>IF($A612="","",Locations!C492)</x:f>
      </x:c>
      <x:c r="D612" s="128" t="str">
        <x:f>IF($A612="","",Locations!D492)</x:f>
      </x:c>
      <x:c r="E612" s="128" t="str">
        <x:f>IF($A612="","",Locations!F492)</x:f>
      </x:c>
      <x:c r="F612" s="128" t="str">
        <x:f>IF($A612="","",Locations!E492)</x:f>
      </x:c>
      <x:c r="G612" s="128" t="str">
        <x:f>IF($A612="","","LOCATION")</x:f>
      </x:c>
      <x:c r="H612" s="128" t="str">
        <x:f>IF($A612="","","OK")</x:f>
      </x:c>
    </x:row>
    <x:row r="613">
      <x:c r="A613" s="128" t="str">
        <x:f>IF(AND(Locations!A493="Yes",Locations!I493="OK"),Locations!B493,"")</x:f>
      </x:c>
      <x:c r="B613" s="128" t="str">
        <x:f>IF($A613="","",XLOOKUP(Locations!B493,NOCsTbl[NOC ID],NOCsTbl[Display Name],""))</x:f>
      </x:c>
      <x:c r="C613" s="128" t="str">
        <x:f>IF($A613="","",Locations!C493)</x:f>
      </x:c>
      <x:c r="D613" s="128" t="str">
        <x:f>IF($A613="","",Locations!D493)</x:f>
      </x:c>
      <x:c r="E613" s="128" t="str">
        <x:f>IF($A613="","",Locations!F493)</x:f>
      </x:c>
      <x:c r="F613" s="128" t="str">
        <x:f>IF($A613="","",Locations!E493)</x:f>
      </x:c>
      <x:c r="G613" s="128" t="str">
        <x:f>IF($A613="","","LOCATION")</x:f>
      </x:c>
      <x:c r="H613" s="128" t="str">
        <x:f>IF($A613="","","OK")</x:f>
      </x:c>
    </x:row>
    <x:row r="614">
      <x:c r="A614" s="128" t="str">
        <x:f>IF(AND(Locations!A494="Yes",Locations!I494="OK"),Locations!B494,"")</x:f>
      </x:c>
      <x:c r="B614" s="128" t="str">
        <x:f>IF($A614="","",XLOOKUP(Locations!B494,NOCsTbl[NOC ID],NOCsTbl[Display Name],""))</x:f>
      </x:c>
      <x:c r="C614" s="128" t="str">
        <x:f>IF($A614="","",Locations!C494)</x:f>
      </x:c>
      <x:c r="D614" s="128" t="str">
        <x:f>IF($A614="","",Locations!D494)</x:f>
      </x:c>
      <x:c r="E614" s="128" t="str">
        <x:f>IF($A614="","",Locations!F494)</x:f>
      </x:c>
      <x:c r="F614" s="128" t="str">
        <x:f>IF($A614="","",Locations!E494)</x:f>
      </x:c>
      <x:c r="G614" s="128" t="str">
        <x:f>IF($A614="","","LOCATION")</x:f>
      </x:c>
      <x:c r="H614" s="128" t="str">
        <x:f>IF($A614="","","OK")</x:f>
      </x:c>
    </x:row>
    <x:row r="615">
      <x:c r="A615" s="128" t="str">
        <x:f>IF(AND(Locations!A495="Yes",Locations!I495="OK"),Locations!B495,"")</x:f>
      </x:c>
      <x:c r="B615" s="128" t="str">
        <x:f>IF($A615="","",XLOOKUP(Locations!B495,NOCsTbl[NOC ID],NOCsTbl[Display Name],""))</x:f>
      </x:c>
      <x:c r="C615" s="128" t="str">
        <x:f>IF($A615="","",Locations!C495)</x:f>
      </x:c>
      <x:c r="D615" s="128" t="str">
        <x:f>IF($A615="","",Locations!D495)</x:f>
      </x:c>
      <x:c r="E615" s="128" t="str">
        <x:f>IF($A615="","",Locations!F495)</x:f>
      </x:c>
      <x:c r="F615" s="128" t="str">
        <x:f>IF($A615="","",Locations!E495)</x:f>
      </x:c>
      <x:c r="G615" s="128" t="str">
        <x:f>IF($A615="","","LOCATION")</x:f>
      </x:c>
      <x:c r="H615" s="128" t="str">
        <x:f>IF($A615="","","OK")</x:f>
      </x:c>
    </x:row>
    <x:row r="616">
      <x:c r="A616" s="128" t="str">
        <x:f>IF(AND(Locations!A496="Yes",Locations!I496="OK"),Locations!B496,"")</x:f>
      </x:c>
      <x:c r="B616" s="128" t="str">
        <x:f>IF($A616="","",XLOOKUP(Locations!B496,NOCsTbl[NOC ID],NOCsTbl[Display Name],""))</x:f>
      </x:c>
      <x:c r="C616" s="128" t="str">
        <x:f>IF($A616="","",Locations!C496)</x:f>
      </x:c>
      <x:c r="D616" s="128" t="str">
        <x:f>IF($A616="","",Locations!D496)</x:f>
      </x:c>
      <x:c r="E616" s="128" t="str">
        <x:f>IF($A616="","",Locations!F496)</x:f>
      </x:c>
      <x:c r="F616" s="128" t="str">
        <x:f>IF($A616="","",Locations!E496)</x:f>
      </x:c>
      <x:c r="G616" s="128" t="str">
        <x:f>IF($A616="","","LOCATION")</x:f>
      </x:c>
      <x:c r="H616" s="128" t="str">
        <x:f>IF($A616="","","OK")</x:f>
      </x:c>
    </x:row>
    <x:row r="617">
      <x:c r="A617" s="128" t="str">
        <x:f>IF(AND(Locations!A497="Yes",Locations!I497="OK"),Locations!B497,"")</x:f>
      </x:c>
      <x:c r="B617" s="128" t="str">
        <x:f>IF($A617="","",XLOOKUP(Locations!B497,NOCsTbl[NOC ID],NOCsTbl[Display Name],""))</x:f>
      </x:c>
      <x:c r="C617" s="128" t="str">
        <x:f>IF($A617="","",Locations!C497)</x:f>
      </x:c>
      <x:c r="D617" s="128" t="str">
        <x:f>IF($A617="","",Locations!D497)</x:f>
      </x:c>
      <x:c r="E617" s="128" t="str">
        <x:f>IF($A617="","",Locations!F497)</x:f>
      </x:c>
      <x:c r="F617" s="128" t="str">
        <x:f>IF($A617="","",Locations!E497)</x:f>
      </x:c>
      <x:c r="G617" s="128" t="str">
        <x:f>IF($A617="","","LOCATION")</x:f>
      </x:c>
      <x:c r="H617" s="128" t="str">
        <x:f>IF($A617="","","OK")</x:f>
      </x:c>
    </x:row>
    <x:row r="618">
      <x:c r="A618" s="128" t="str">
        <x:f>IF(AND(Locations!A498="Yes",Locations!I498="OK"),Locations!B498,"")</x:f>
      </x:c>
      <x:c r="B618" s="128" t="str">
        <x:f>IF($A618="","",XLOOKUP(Locations!B498,NOCsTbl[NOC ID],NOCsTbl[Display Name],""))</x:f>
      </x:c>
      <x:c r="C618" s="128" t="str">
        <x:f>IF($A618="","",Locations!C498)</x:f>
      </x:c>
      <x:c r="D618" s="128" t="str">
        <x:f>IF($A618="","",Locations!D498)</x:f>
      </x:c>
      <x:c r="E618" s="128" t="str">
        <x:f>IF($A618="","",Locations!F498)</x:f>
      </x:c>
      <x:c r="F618" s="128" t="str">
        <x:f>IF($A618="","",Locations!E498)</x:f>
      </x:c>
      <x:c r="G618" s="128" t="str">
        <x:f>IF($A618="","","LOCATION")</x:f>
      </x:c>
      <x:c r="H618" s="128" t="str">
        <x:f>IF($A618="","","OK")</x:f>
      </x:c>
    </x:row>
    <x:row r="619">
      <x:c r="A619" s="128" t="str">
        <x:f>IF(AND(Locations!A499="Yes",Locations!I499="OK"),Locations!B499,"")</x:f>
      </x:c>
      <x:c r="B619" s="128" t="str">
        <x:f>IF($A619="","",XLOOKUP(Locations!B499,NOCsTbl[NOC ID],NOCsTbl[Display Name],""))</x:f>
      </x:c>
      <x:c r="C619" s="128" t="str">
        <x:f>IF($A619="","",Locations!C499)</x:f>
      </x:c>
      <x:c r="D619" s="128" t="str">
        <x:f>IF($A619="","",Locations!D499)</x:f>
      </x:c>
      <x:c r="E619" s="128" t="str">
        <x:f>IF($A619="","",Locations!F499)</x:f>
      </x:c>
      <x:c r="F619" s="128" t="str">
        <x:f>IF($A619="","",Locations!E499)</x:f>
      </x:c>
      <x:c r="G619" s="128" t="str">
        <x:f>IF($A619="","","LOCATION")</x:f>
      </x:c>
      <x:c r="H619" s="128" t="str">
        <x:f>IF($A619="","","OK")</x:f>
      </x:c>
    </x:row>
    <x:row r="620">
      <x:c r="A620" s="128" t="str">
        <x:f>IF(AND(Locations!A500="Yes",Locations!I500="OK"),Locations!B500,"")</x:f>
      </x:c>
      <x:c r="B620" s="128" t="str">
        <x:f>IF($A620="","",XLOOKUP(Locations!B500,NOCsTbl[NOC ID],NOCsTbl[Display Name],""))</x:f>
      </x:c>
      <x:c r="C620" s="128" t="str">
        <x:f>IF($A620="","",Locations!C500)</x:f>
      </x:c>
      <x:c r="D620" s="128" t="str">
        <x:f>IF($A620="","",Locations!D500)</x:f>
      </x:c>
      <x:c r="E620" s="128" t="str">
        <x:f>IF($A620="","",Locations!F500)</x:f>
      </x:c>
      <x:c r="F620" s="128" t="str">
        <x:f>IF($A620="","",Locations!E500)</x:f>
      </x:c>
      <x:c r="G620" s="128" t="str">
        <x:f>IF($A620="","","LOCATION")</x:f>
      </x:c>
      <x:c r="H620" s="128" t="str">
        <x:f>IF($A620="","","OK")</x:f>
      </x:c>
    </x:row>
    <x:row r="621">
      <x:c r="A621" s="128" t="str">
        <x:f>IF(AND(Locations!A501="Yes",Locations!I501="OK"),Locations!B501,"")</x:f>
      </x:c>
      <x:c r="B621" s="128" t="str">
        <x:f>IF($A621="","",XLOOKUP(Locations!B501,NOCsTbl[NOC ID],NOCsTbl[Display Name],""))</x:f>
      </x:c>
      <x:c r="C621" s="128" t="str">
        <x:f>IF($A621="","",Locations!C501)</x:f>
      </x:c>
      <x:c r="D621" s="128" t="str">
        <x:f>IF($A621="","",Locations!D501)</x:f>
      </x:c>
      <x:c r="E621" s="128" t="str">
        <x:f>IF($A621="","",Locations!F501)</x:f>
      </x:c>
      <x:c r="F621" s="128" t="str">
        <x:f>IF($A621="","",Locations!E501)</x:f>
      </x:c>
      <x:c r="G621" s="128" t="str">
        <x:f>IF($A621="","","LOCATION")</x:f>
      </x:c>
      <x:c r="H621" s="128" t="str">
        <x:f>IF($A621="","","OK")</x:f>
      </x:c>
    </x:row>
    <x:row r="622">
      <x:c r="A622" s="128" t="str">
        <x:f>IF(AND(Locations!A502="Yes",Locations!I502="OK"),Locations!B502,"")</x:f>
      </x:c>
      <x:c r="B622" s="128" t="str">
        <x:f>IF($A622="","",XLOOKUP(Locations!B502,NOCsTbl[NOC ID],NOCsTbl[Display Name],""))</x:f>
      </x:c>
      <x:c r="C622" s="128" t="str">
        <x:f>IF($A622="","",Locations!C502)</x:f>
      </x:c>
      <x:c r="D622" s="128" t="str">
        <x:f>IF($A622="","",Locations!D502)</x:f>
      </x:c>
      <x:c r="E622" s="128" t="str">
        <x:f>IF($A622="","",Locations!F502)</x:f>
      </x:c>
      <x:c r="F622" s="128" t="str">
        <x:f>IF($A622="","",Locations!E502)</x:f>
      </x:c>
      <x:c r="G622" s="128" t="str">
        <x:f>IF($A622="","","LOCATION")</x:f>
      </x:c>
      <x:c r="H622" s="128" t="str">
        <x:f>IF($A622="","","OK")</x:f>
      </x:c>
    </x:row>
    <x:row r="623">
      <x:c r="A623" s="128" t="str">
        <x:f>IF(AND(Locations!A503="Yes",Locations!I503="OK"),Locations!B503,"")</x:f>
      </x:c>
      <x:c r="B623" s="128" t="str">
        <x:f>IF($A623="","",XLOOKUP(Locations!B503,NOCsTbl[NOC ID],NOCsTbl[Display Name],""))</x:f>
      </x:c>
      <x:c r="C623" s="128" t="str">
        <x:f>IF($A623="","",Locations!C503)</x:f>
      </x:c>
      <x:c r="D623" s="128" t="str">
        <x:f>IF($A623="","",Locations!D503)</x:f>
      </x:c>
      <x:c r="E623" s="128" t="str">
        <x:f>IF($A623="","",Locations!F503)</x:f>
      </x:c>
      <x:c r="F623" s="128" t="str">
        <x:f>IF($A623="","",Locations!E503)</x:f>
      </x:c>
      <x:c r="G623" s="128" t="str">
        <x:f>IF($A623="","","LOCATION")</x:f>
      </x:c>
      <x:c r="H623" s="128" t="str">
        <x:f>IF($A623="","","OK")</x:f>
      </x:c>
    </x:row>
    <x:row r="624">
      <x:c r="A624" s="128" t="str">
        <x:f>IF(AND(Locations!A504="Yes",Locations!I504="OK"),Locations!B504,"")</x:f>
      </x:c>
      <x:c r="B624" s="128" t="str">
        <x:f>IF($A624="","",XLOOKUP(Locations!B504,NOCsTbl[NOC ID],NOCsTbl[Display Name],""))</x:f>
      </x:c>
      <x:c r="C624" s="128" t="str">
        <x:f>IF($A624="","",Locations!C504)</x:f>
      </x:c>
      <x:c r="D624" s="128" t="str">
        <x:f>IF($A624="","",Locations!D504)</x:f>
      </x:c>
      <x:c r="E624" s="128" t="str">
        <x:f>IF($A624="","",Locations!F504)</x:f>
      </x:c>
      <x:c r="F624" s="128" t="str">
        <x:f>IF($A624="","",Locations!E504)</x:f>
      </x:c>
      <x:c r="G624" s="128" t="str">
        <x:f>IF($A624="","","LOCATION")</x:f>
      </x:c>
      <x:c r="H624" s="128" t="str">
        <x:f>IF($A624="","","OK")</x:f>
      </x:c>
    </x:row>
    <x:row r="625">
      <x:c r="A625" s="128" t="str">
        <x:f>IF(AND(Locations!A505="Yes",Locations!I505="OK"),Locations!B505,"")</x:f>
      </x:c>
      <x:c r="B625" s="128" t="str">
        <x:f>IF($A625="","",XLOOKUP(Locations!B505,NOCsTbl[NOC ID],NOCsTbl[Display Name],""))</x:f>
      </x:c>
      <x:c r="C625" s="128" t="str">
        <x:f>IF($A625="","",Locations!C505)</x:f>
      </x:c>
      <x:c r="D625" s="128" t="str">
        <x:f>IF($A625="","",Locations!D505)</x:f>
      </x:c>
      <x:c r="E625" s="128" t="str">
        <x:f>IF($A625="","",Locations!F505)</x:f>
      </x:c>
      <x:c r="F625" s="128" t="str">
        <x:f>IF($A625="","",Locations!E505)</x:f>
      </x:c>
      <x:c r="G625" s="128" t="str">
        <x:f>IF($A625="","","LOCATION")</x:f>
      </x:c>
      <x:c r="H625" s="128" t="str">
        <x:f>IF($A625="","","OK")</x:f>
      </x:c>
    </x:row>
    <x:row r="626">
      <x:c r="A626" s="128" t="str">
        <x:f>IF(AND(Locations!A506="Yes",Locations!I506="OK"),Locations!B506,"")</x:f>
      </x:c>
      <x:c r="B626" s="128" t="str">
        <x:f>IF($A626="","",XLOOKUP(Locations!B506,NOCsTbl[NOC ID],NOCsTbl[Display Name],""))</x:f>
      </x:c>
      <x:c r="C626" s="128" t="str">
        <x:f>IF($A626="","",Locations!C506)</x:f>
      </x:c>
      <x:c r="D626" s="128" t="str">
        <x:f>IF($A626="","",Locations!D506)</x:f>
      </x:c>
      <x:c r="E626" s="128" t="str">
        <x:f>IF($A626="","",Locations!F506)</x:f>
      </x:c>
      <x:c r="F626" s="128" t="str">
        <x:f>IF($A626="","",Locations!E506)</x:f>
      </x:c>
      <x:c r="G626" s="128" t="str">
        <x:f>IF($A626="","","LOCATION")</x:f>
      </x:c>
      <x:c r="H626" s="128" t="str">
        <x:f>IF($A626="","","OK")</x:f>
      </x:c>
    </x:row>
    <x:row r="627">
      <x:c r="A627" s="128" t="str">
        <x:f>IF(AND(Locations!A507="Yes",Locations!I507="OK"),Locations!B507,"")</x:f>
      </x:c>
      <x:c r="B627" s="128" t="str">
        <x:f>IF($A627="","",XLOOKUP(Locations!B507,NOCsTbl[NOC ID],NOCsTbl[Display Name],""))</x:f>
      </x:c>
      <x:c r="C627" s="128" t="str">
        <x:f>IF($A627="","",Locations!C507)</x:f>
      </x:c>
      <x:c r="D627" s="128" t="str">
        <x:f>IF($A627="","",Locations!D507)</x:f>
      </x:c>
      <x:c r="E627" s="128" t="str">
        <x:f>IF($A627="","",Locations!F507)</x:f>
      </x:c>
      <x:c r="F627" s="128" t="str">
        <x:f>IF($A627="","",Locations!E507)</x:f>
      </x:c>
      <x:c r="G627" s="128" t="str">
        <x:f>IF($A627="","","LOCATION")</x:f>
      </x:c>
      <x:c r="H627" s="128" t="str">
        <x:f>IF($A627="","","OK")</x:f>
      </x:c>
    </x:row>
    <x:row r="628">
      <x:c r="A628" s="128" t="str">
        <x:f>IF(AND(Locations!A508="Yes",Locations!I508="OK"),Locations!B508,"")</x:f>
      </x:c>
      <x:c r="B628" s="128" t="str">
        <x:f>IF($A628="","",XLOOKUP(Locations!B508,NOCsTbl[NOC ID],NOCsTbl[Display Name],""))</x:f>
      </x:c>
      <x:c r="C628" s="128" t="str">
        <x:f>IF($A628="","",Locations!C508)</x:f>
      </x:c>
      <x:c r="D628" s="128" t="str">
        <x:f>IF($A628="","",Locations!D508)</x:f>
      </x:c>
      <x:c r="E628" s="128" t="str">
        <x:f>IF($A628="","",Locations!F508)</x:f>
      </x:c>
      <x:c r="F628" s="128" t="str">
        <x:f>IF($A628="","",Locations!E508)</x:f>
      </x:c>
      <x:c r="G628" s="128" t="str">
        <x:f>IF($A628="","","LOCATION")</x:f>
      </x:c>
      <x:c r="H628" s="128" t="str">
        <x:f>IF($A628="","","OK")</x:f>
      </x:c>
    </x:row>
    <x:row r="629">
      <x:c r="A629" s="128" t="str">
        <x:f>IF(AND(Locations!A509="Yes",Locations!I509="OK"),Locations!B509,"")</x:f>
      </x:c>
      <x:c r="B629" s="128" t="str">
        <x:f>IF($A629="","",XLOOKUP(Locations!B509,NOCsTbl[NOC ID],NOCsTbl[Display Name],""))</x:f>
      </x:c>
      <x:c r="C629" s="128" t="str">
        <x:f>IF($A629="","",Locations!C509)</x:f>
      </x:c>
      <x:c r="D629" s="128" t="str">
        <x:f>IF($A629="","",Locations!D509)</x:f>
      </x:c>
      <x:c r="E629" s="128" t="str">
        <x:f>IF($A629="","",Locations!F509)</x:f>
      </x:c>
      <x:c r="F629" s="128" t="str">
        <x:f>IF($A629="","",Locations!E509)</x:f>
      </x:c>
      <x:c r="G629" s="128" t="str">
        <x:f>IF($A629="","","LOCATION")</x:f>
      </x:c>
      <x:c r="H629" s="128" t="str">
        <x:f>IF($A629="","","OK")</x:f>
      </x:c>
    </x:row>
    <x:row r="630">
      <x:c r="A630" s="128" t="str">
        <x:f>IF(AND(Locations!A510="Yes",Locations!I510="OK"),Locations!B510,"")</x:f>
      </x:c>
      <x:c r="B630" s="128" t="str">
        <x:f>IF($A630="","",XLOOKUP(Locations!B510,NOCsTbl[NOC ID],NOCsTbl[Display Name],""))</x:f>
      </x:c>
      <x:c r="C630" s="128" t="str">
        <x:f>IF($A630="","",Locations!C510)</x:f>
      </x:c>
      <x:c r="D630" s="128" t="str">
        <x:f>IF($A630="","",Locations!D510)</x:f>
      </x:c>
      <x:c r="E630" s="128" t="str">
        <x:f>IF($A630="","",Locations!F510)</x:f>
      </x:c>
      <x:c r="F630" s="128" t="str">
        <x:f>IF($A630="","",Locations!E510)</x:f>
      </x:c>
      <x:c r="G630" s="128" t="str">
        <x:f>IF($A630="","","LOCATION")</x:f>
      </x:c>
      <x:c r="H630" s="128" t="str">
        <x:f>IF($A630="","","OK")</x:f>
      </x:c>
    </x:row>
    <x:row r="631">
      <x:c r="A631" s="128" t="str">
        <x:f>IF(AND(Locations!A511="Yes",Locations!I511="OK"),Locations!B511,"")</x:f>
      </x:c>
      <x:c r="B631" s="128" t="str">
        <x:f>IF($A631="","",XLOOKUP(Locations!B511,NOCsTbl[NOC ID],NOCsTbl[Display Name],""))</x:f>
      </x:c>
      <x:c r="C631" s="128" t="str">
        <x:f>IF($A631="","",Locations!C511)</x:f>
      </x:c>
      <x:c r="D631" s="128" t="str">
        <x:f>IF($A631="","",Locations!D511)</x:f>
      </x:c>
      <x:c r="E631" s="128" t="str">
        <x:f>IF($A631="","",Locations!F511)</x:f>
      </x:c>
      <x:c r="F631" s="128" t="str">
        <x:f>IF($A631="","",Locations!E511)</x:f>
      </x:c>
      <x:c r="G631" s="128" t="str">
        <x:f>IF($A631="","","LOCATION")</x:f>
      </x:c>
      <x:c r="H631" s="128" t="str">
        <x:f>IF($A631="","","OK")</x:f>
      </x:c>
    </x:row>
    <x:row r="632">
      <x:c r="A632" s="128" t="str">
        <x:f>IF(AND(Locations!A512="Yes",Locations!I512="OK"),Locations!B512,"")</x:f>
      </x:c>
      <x:c r="B632" s="128" t="str">
        <x:f>IF($A632="","",XLOOKUP(Locations!B512,NOCsTbl[NOC ID],NOCsTbl[Display Name],""))</x:f>
      </x:c>
      <x:c r="C632" s="128" t="str">
        <x:f>IF($A632="","",Locations!C512)</x:f>
      </x:c>
      <x:c r="D632" s="128" t="str">
        <x:f>IF($A632="","",Locations!D512)</x:f>
      </x:c>
      <x:c r="E632" s="128" t="str">
        <x:f>IF($A632="","",Locations!F512)</x:f>
      </x:c>
      <x:c r="F632" s="128" t="str">
        <x:f>IF($A632="","",Locations!E512)</x:f>
      </x:c>
      <x:c r="G632" s="128" t="str">
        <x:f>IF($A632="","","LOCATION")</x:f>
      </x:c>
      <x:c r="H632" s="128" t="str">
        <x:f>IF($A632="","","OK")</x:f>
      </x:c>
    </x:row>
    <x:row r="633">
      <x:c r="A633" s="128" t="str">
        <x:f>IF(AND(Locations!A513="Yes",Locations!I513="OK"),Locations!B513,"")</x:f>
      </x:c>
      <x:c r="B633" s="128" t="str">
        <x:f>IF($A633="","",XLOOKUP(Locations!B513,NOCsTbl[NOC ID],NOCsTbl[Display Name],""))</x:f>
      </x:c>
      <x:c r="C633" s="128" t="str">
        <x:f>IF($A633="","",Locations!C513)</x:f>
      </x:c>
      <x:c r="D633" s="128" t="str">
        <x:f>IF($A633="","",Locations!D513)</x:f>
      </x:c>
      <x:c r="E633" s="128" t="str">
        <x:f>IF($A633="","",Locations!F513)</x:f>
      </x:c>
      <x:c r="F633" s="128" t="str">
        <x:f>IF($A633="","",Locations!E513)</x:f>
      </x:c>
      <x:c r="G633" s="128" t="str">
        <x:f>IF($A633="","","LOCATION")</x:f>
      </x:c>
      <x:c r="H633" s="128" t="str">
        <x:f>IF($A633="","","OK")</x:f>
      </x:c>
    </x:row>
    <x:row r="634">
      <x:c r="A634" s="128" t="str">
        <x:f>IF(AND(Locations!A514="Yes",Locations!I514="OK"),Locations!B514,"")</x:f>
      </x:c>
      <x:c r="B634" s="128" t="str">
        <x:f>IF($A634="","",XLOOKUP(Locations!B514,NOCsTbl[NOC ID],NOCsTbl[Display Name],""))</x:f>
      </x:c>
      <x:c r="C634" s="128" t="str">
        <x:f>IF($A634="","",Locations!C514)</x:f>
      </x:c>
      <x:c r="D634" s="128" t="str">
        <x:f>IF($A634="","",Locations!D514)</x:f>
      </x:c>
      <x:c r="E634" s="128" t="str">
        <x:f>IF($A634="","",Locations!F514)</x:f>
      </x:c>
      <x:c r="F634" s="128" t="str">
        <x:f>IF($A634="","",Locations!E514)</x:f>
      </x:c>
      <x:c r="G634" s="128" t="str">
        <x:f>IF($A634="","","LOCATION")</x:f>
      </x:c>
      <x:c r="H634" s="128" t="str">
        <x:f>IF($A634="","","OK")</x:f>
      </x:c>
    </x:row>
    <x:row r="635">
      <x:c r="A635" s="128" t="str">
        <x:f>IF(AND(Locations!A515="Yes",Locations!I515="OK"),Locations!B515,"")</x:f>
      </x:c>
      <x:c r="B635" s="128" t="str">
        <x:f>IF($A635="","",XLOOKUP(Locations!B515,NOCsTbl[NOC ID],NOCsTbl[Display Name],""))</x:f>
      </x:c>
      <x:c r="C635" s="128" t="str">
        <x:f>IF($A635="","",Locations!C515)</x:f>
      </x:c>
      <x:c r="D635" s="128" t="str">
        <x:f>IF($A635="","",Locations!D515)</x:f>
      </x:c>
      <x:c r="E635" s="128" t="str">
        <x:f>IF($A635="","",Locations!F515)</x:f>
      </x:c>
      <x:c r="F635" s="128" t="str">
        <x:f>IF($A635="","",Locations!E515)</x:f>
      </x:c>
      <x:c r="G635" s="128" t="str">
        <x:f>IF($A635="","","LOCATION")</x:f>
      </x:c>
      <x:c r="H635" s="128" t="str">
        <x:f>IF($A635="","","OK")</x:f>
      </x:c>
    </x:row>
    <x:row r="636">
      <x:c r="A636" s="128" t="str">
        <x:f>IF(AND(Locations!A516="Yes",Locations!I516="OK"),Locations!B516,"")</x:f>
      </x:c>
      <x:c r="B636" s="128" t="str">
        <x:f>IF($A636="","",XLOOKUP(Locations!B516,NOCsTbl[NOC ID],NOCsTbl[Display Name],""))</x:f>
      </x:c>
      <x:c r="C636" s="128" t="str">
        <x:f>IF($A636="","",Locations!C516)</x:f>
      </x:c>
      <x:c r="D636" s="128" t="str">
        <x:f>IF($A636="","",Locations!D516)</x:f>
      </x:c>
      <x:c r="E636" s="128" t="str">
        <x:f>IF($A636="","",Locations!F516)</x:f>
      </x:c>
      <x:c r="F636" s="128" t="str">
        <x:f>IF($A636="","",Locations!E516)</x:f>
      </x:c>
      <x:c r="G636" s="128" t="str">
        <x:f>IF($A636="","","LOCATION")</x:f>
      </x:c>
      <x:c r="H636" s="128" t="str">
        <x:f>IF($A636="","","OK")</x:f>
      </x:c>
    </x:row>
    <x:row r="637">
      <x:c r="A637" s="128" t="str">
        <x:f>IF(AND(Locations!A517="Yes",Locations!I517="OK"),Locations!B517,"")</x:f>
      </x:c>
      <x:c r="B637" s="128" t="str">
        <x:f>IF($A637="","",XLOOKUP(Locations!B517,NOCsTbl[NOC ID],NOCsTbl[Display Name],""))</x:f>
      </x:c>
      <x:c r="C637" s="128" t="str">
        <x:f>IF($A637="","",Locations!C517)</x:f>
      </x:c>
      <x:c r="D637" s="128" t="str">
        <x:f>IF($A637="","",Locations!D517)</x:f>
      </x:c>
      <x:c r="E637" s="128" t="str">
        <x:f>IF($A637="","",Locations!F517)</x:f>
      </x:c>
      <x:c r="F637" s="128" t="str">
        <x:f>IF($A637="","",Locations!E517)</x:f>
      </x:c>
      <x:c r="G637" s="128" t="str">
        <x:f>IF($A637="","","LOCATION")</x:f>
      </x:c>
      <x:c r="H637" s="128" t="str">
        <x:f>IF($A637="","","OK")</x:f>
      </x:c>
    </x:row>
    <x:row r="638">
      <x:c r="A638" s="128" t="str">
        <x:f>IF(AND(Locations!A518="Yes",Locations!I518="OK"),Locations!B518,"")</x:f>
      </x:c>
      <x:c r="B638" s="128" t="str">
        <x:f>IF($A638="","",XLOOKUP(Locations!B518,NOCsTbl[NOC ID],NOCsTbl[Display Name],""))</x:f>
      </x:c>
      <x:c r="C638" s="128" t="str">
        <x:f>IF($A638="","",Locations!C518)</x:f>
      </x:c>
      <x:c r="D638" s="128" t="str">
        <x:f>IF($A638="","",Locations!D518)</x:f>
      </x:c>
      <x:c r="E638" s="128" t="str">
        <x:f>IF($A638="","",Locations!F518)</x:f>
      </x:c>
      <x:c r="F638" s="128" t="str">
        <x:f>IF($A638="","",Locations!E518)</x:f>
      </x:c>
      <x:c r="G638" s="128" t="str">
        <x:f>IF($A638="","","LOCATION")</x:f>
      </x:c>
      <x:c r="H638" s="128" t="str">
        <x:f>IF($A638="","","OK")</x:f>
      </x:c>
    </x:row>
    <x:row r="639">
      <x:c r="A639" s="128" t="str">
        <x:f>IF(AND(Locations!A519="Yes",Locations!I519="OK"),Locations!B519,"")</x:f>
      </x:c>
      <x:c r="B639" s="128" t="str">
        <x:f>IF($A639="","",XLOOKUP(Locations!B519,NOCsTbl[NOC ID],NOCsTbl[Display Name],""))</x:f>
      </x:c>
      <x:c r="C639" s="128" t="str">
        <x:f>IF($A639="","",Locations!C519)</x:f>
      </x:c>
      <x:c r="D639" s="128" t="str">
        <x:f>IF($A639="","",Locations!D519)</x:f>
      </x:c>
      <x:c r="E639" s="128" t="str">
        <x:f>IF($A639="","",Locations!F519)</x:f>
      </x:c>
      <x:c r="F639" s="128" t="str">
        <x:f>IF($A639="","",Locations!E519)</x:f>
      </x:c>
      <x:c r="G639" s="128" t="str">
        <x:f>IF($A639="","","LOCATION")</x:f>
      </x:c>
      <x:c r="H639" s="128" t="str">
        <x:f>IF($A639="","","OK")</x:f>
      </x:c>
    </x:row>
    <x:row r="640">
      <x:c r="A640" s="128" t="str">
        <x:f>IF(AND(Locations!A520="Yes",Locations!I520="OK"),Locations!B520,"")</x:f>
      </x:c>
      <x:c r="B640" s="128" t="str">
        <x:f>IF($A640="","",XLOOKUP(Locations!B520,NOCsTbl[NOC ID],NOCsTbl[Display Name],""))</x:f>
      </x:c>
      <x:c r="C640" s="128" t="str">
        <x:f>IF($A640="","",Locations!C520)</x:f>
      </x:c>
      <x:c r="D640" s="128" t="str">
        <x:f>IF($A640="","",Locations!D520)</x:f>
      </x:c>
      <x:c r="E640" s="128" t="str">
        <x:f>IF($A640="","",Locations!F520)</x:f>
      </x:c>
      <x:c r="F640" s="128" t="str">
        <x:f>IF($A640="","",Locations!E520)</x:f>
      </x:c>
      <x:c r="G640" s="128" t="str">
        <x:f>IF($A640="","","LOCATION")</x:f>
      </x:c>
      <x:c r="H640" s="128" t="str">
        <x:f>IF($A640="","","OK")</x:f>
      </x:c>
    </x:row>
    <x:row r="641">
      <x:c r="A641" s="128" t="str">
        <x:f>IF(AND(Locations!A521="Yes",Locations!I521="OK"),Locations!B521,"")</x:f>
      </x:c>
      <x:c r="B641" s="128" t="str">
        <x:f>IF($A641="","",XLOOKUP(Locations!B521,NOCsTbl[NOC ID],NOCsTbl[Display Name],""))</x:f>
      </x:c>
      <x:c r="C641" s="128" t="str">
        <x:f>IF($A641="","",Locations!C521)</x:f>
      </x:c>
      <x:c r="D641" s="128" t="str">
        <x:f>IF($A641="","",Locations!D521)</x:f>
      </x:c>
      <x:c r="E641" s="128" t="str">
        <x:f>IF($A641="","",Locations!F521)</x:f>
      </x:c>
      <x:c r="F641" s="128" t="str">
        <x:f>IF($A641="","",Locations!E521)</x:f>
      </x:c>
      <x:c r="G641" s="128" t="str">
        <x:f>IF($A641="","","LOCATION")</x:f>
      </x:c>
      <x:c r="H641" s="128" t="str">
        <x:f>IF($A641="","","OK")</x:f>
      </x:c>
    </x:row>
    <x:row r="642">
      <x:c r="A642" s="128" t="str">
        <x:f>IF(AND(Locations!A522="Yes",Locations!I522="OK"),Locations!B522,"")</x:f>
      </x:c>
      <x:c r="B642" s="128" t="str">
        <x:f>IF($A642="","",XLOOKUP(Locations!B522,NOCsTbl[NOC ID],NOCsTbl[Display Name],""))</x:f>
      </x:c>
      <x:c r="C642" s="128" t="str">
        <x:f>IF($A642="","",Locations!C522)</x:f>
      </x:c>
      <x:c r="D642" s="128" t="str">
        <x:f>IF($A642="","",Locations!D522)</x:f>
      </x:c>
      <x:c r="E642" s="128" t="str">
        <x:f>IF($A642="","",Locations!F522)</x:f>
      </x:c>
      <x:c r="F642" s="128" t="str">
        <x:f>IF($A642="","",Locations!E522)</x:f>
      </x:c>
      <x:c r="G642" s="128" t="str">
        <x:f>IF($A642="","","LOCATION")</x:f>
      </x:c>
      <x:c r="H642" s="128" t="str">
        <x:f>IF($A642="","","OK")</x:f>
      </x:c>
    </x:row>
    <x:row r="643">
      <x:c r="A643" s="128" t="str">
        <x:f>IF(AND(Locations!A523="Yes",Locations!I523="OK"),Locations!B523,"")</x:f>
      </x:c>
      <x:c r="B643" s="128" t="str">
        <x:f>IF($A643="","",XLOOKUP(Locations!B523,NOCsTbl[NOC ID],NOCsTbl[Display Name],""))</x:f>
      </x:c>
      <x:c r="C643" s="128" t="str">
        <x:f>IF($A643="","",Locations!C523)</x:f>
      </x:c>
      <x:c r="D643" s="128" t="str">
        <x:f>IF($A643="","",Locations!D523)</x:f>
      </x:c>
      <x:c r="E643" s="128" t="str">
        <x:f>IF($A643="","",Locations!F523)</x:f>
      </x:c>
      <x:c r="F643" s="128" t="str">
        <x:f>IF($A643="","",Locations!E523)</x:f>
      </x:c>
      <x:c r="G643" s="128" t="str">
        <x:f>IF($A643="","","LOCATION")</x:f>
      </x:c>
      <x:c r="H643" s="128" t="str">
        <x:f>IF($A643="","","OK")</x:f>
      </x:c>
    </x:row>
    <x:row r="644">
      <x:c r="A644" s="128" t="str">
        <x:f>IF(AND(Locations!A524="Yes",Locations!I524="OK"),Locations!B524,"")</x:f>
      </x:c>
      <x:c r="B644" s="128" t="str">
        <x:f>IF($A644="","",XLOOKUP(Locations!B524,NOCsTbl[NOC ID],NOCsTbl[Display Name],""))</x:f>
      </x:c>
      <x:c r="C644" s="128" t="str">
        <x:f>IF($A644="","",Locations!C524)</x:f>
      </x:c>
      <x:c r="D644" s="128" t="str">
        <x:f>IF($A644="","",Locations!D524)</x:f>
      </x:c>
      <x:c r="E644" s="128" t="str">
        <x:f>IF($A644="","",Locations!F524)</x:f>
      </x:c>
      <x:c r="F644" s="128" t="str">
        <x:f>IF($A644="","",Locations!E524)</x:f>
      </x:c>
      <x:c r="G644" s="128" t="str">
        <x:f>IF($A644="","","LOCATION")</x:f>
      </x:c>
      <x:c r="H644" s="128" t="str">
        <x:f>IF($A644="","","OK")</x:f>
      </x:c>
    </x:row>
    <x:row r="645">
      <x:c r="A645" s="128" t="str">
        <x:f>IF(AND(Locations!A525="Yes",Locations!I525="OK"),Locations!B525,"")</x:f>
      </x:c>
      <x:c r="B645" s="128" t="str">
        <x:f>IF($A645="","",XLOOKUP(Locations!B525,NOCsTbl[NOC ID],NOCsTbl[Display Name],""))</x:f>
      </x:c>
      <x:c r="C645" s="128" t="str">
        <x:f>IF($A645="","",Locations!C525)</x:f>
      </x:c>
      <x:c r="D645" s="128" t="str">
        <x:f>IF($A645="","",Locations!D525)</x:f>
      </x:c>
      <x:c r="E645" s="128" t="str">
        <x:f>IF($A645="","",Locations!F525)</x:f>
      </x:c>
      <x:c r="F645" s="128" t="str">
        <x:f>IF($A645="","",Locations!E525)</x:f>
      </x:c>
      <x:c r="G645" s="128" t="str">
        <x:f>IF($A645="","","LOCATION")</x:f>
      </x:c>
      <x:c r="H645" s="128" t="str">
        <x:f>IF($A645="","","OK")</x:f>
      </x:c>
    </x:row>
    <x:row r="646">
      <x:c r="A646" s="128" t="str">
        <x:f>IF(AND(Locations!A526="Yes",Locations!I526="OK"),Locations!B526,"")</x:f>
      </x:c>
      <x:c r="B646" s="128" t="str">
        <x:f>IF($A646="","",XLOOKUP(Locations!B526,NOCsTbl[NOC ID],NOCsTbl[Display Name],""))</x:f>
      </x:c>
      <x:c r="C646" s="128" t="str">
        <x:f>IF($A646="","",Locations!C526)</x:f>
      </x:c>
      <x:c r="D646" s="128" t="str">
        <x:f>IF($A646="","",Locations!D526)</x:f>
      </x:c>
      <x:c r="E646" s="128" t="str">
        <x:f>IF($A646="","",Locations!F526)</x:f>
      </x:c>
      <x:c r="F646" s="128" t="str">
        <x:f>IF($A646="","",Locations!E526)</x:f>
      </x:c>
      <x:c r="G646" s="128" t="str">
        <x:f>IF($A646="","","LOCATION")</x:f>
      </x:c>
      <x:c r="H646" s="128" t="str">
        <x:f>IF($A646="","","OK")</x:f>
      </x:c>
    </x:row>
    <x:row r="647">
      <x:c r="A647" s="128" t="str">
        <x:f>IF(AND(Locations!A527="Yes",Locations!I527="OK"),Locations!B527,"")</x:f>
      </x:c>
      <x:c r="B647" s="128" t="str">
        <x:f>IF($A647="","",XLOOKUP(Locations!B527,NOCsTbl[NOC ID],NOCsTbl[Display Name],""))</x:f>
      </x:c>
      <x:c r="C647" s="128" t="str">
        <x:f>IF($A647="","",Locations!C527)</x:f>
      </x:c>
      <x:c r="D647" s="128" t="str">
        <x:f>IF($A647="","",Locations!D527)</x:f>
      </x:c>
      <x:c r="E647" s="128" t="str">
        <x:f>IF($A647="","",Locations!F527)</x:f>
      </x:c>
      <x:c r="F647" s="128" t="str">
        <x:f>IF($A647="","",Locations!E527)</x:f>
      </x:c>
      <x:c r="G647" s="128" t="str">
        <x:f>IF($A647="","","LOCATION")</x:f>
      </x:c>
      <x:c r="H647" s="128" t="str">
        <x:f>IF($A647="","","OK")</x:f>
      </x:c>
    </x:row>
    <x:row r="648">
      <x:c r="A648" s="128" t="str">
        <x:f>IF(AND(Locations!A528="Yes",Locations!I528="OK"),Locations!B528,"")</x:f>
      </x:c>
      <x:c r="B648" s="128" t="str">
        <x:f>IF($A648="","",XLOOKUP(Locations!B528,NOCsTbl[NOC ID],NOCsTbl[Display Name],""))</x:f>
      </x:c>
      <x:c r="C648" s="128" t="str">
        <x:f>IF($A648="","",Locations!C528)</x:f>
      </x:c>
      <x:c r="D648" s="128" t="str">
        <x:f>IF($A648="","",Locations!D528)</x:f>
      </x:c>
      <x:c r="E648" s="128" t="str">
        <x:f>IF($A648="","",Locations!F528)</x:f>
      </x:c>
      <x:c r="F648" s="128" t="str">
        <x:f>IF($A648="","",Locations!E528)</x:f>
      </x:c>
      <x:c r="G648" s="128" t="str">
        <x:f>IF($A648="","","LOCATION")</x:f>
      </x:c>
      <x:c r="H648" s="128" t="str">
        <x:f>IF($A648="","","OK")</x:f>
      </x:c>
    </x:row>
    <x:row r="649">
      <x:c r="A649" s="128" t="str">
        <x:f>IF(AND(Locations!A529="Yes",Locations!I529="OK"),Locations!B529,"")</x:f>
      </x:c>
      <x:c r="B649" s="128" t="str">
        <x:f>IF($A649="","",XLOOKUP(Locations!B529,NOCsTbl[NOC ID],NOCsTbl[Display Name],""))</x:f>
      </x:c>
      <x:c r="C649" s="128" t="str">
        <x:f>IF($A649="","",Locations!C529)</x:f>
      </x:c>
      <x:c r="D649" s="128" t="str">
        <x:f>IF($A649="","",Locations!D529)</x:f>
      </x:c>
      <x:c r="E649" s="128" t="str">
        <x:f>IF($A649="","",Locations!F529)</x:f>
      </x:c>
      <x:c r="F649" s="128" t="str">
        <x:f>IF($A649="","",Locations!E529)</x:f>
      </x:c>
      <x:c r="G649" s="128" t="str">
        <x:f>IF($A649="","","LOCATION")</x:f>
      </x:c>
      <x:c r="H649" s="128" t="str">
        <x:f>IF($A649="","","OK")</x:f>
      </x:c>
    </x:row>
    <x:row r="650">
      <x:c r="A650" s="128" t="str">
        <x:f>IF(AND(Locations!A530="Yes",Locations!I530="OK"),Locations!B530,"")</x:f>
      </x:c>
      <x:c r="B650" s="128" t="str">
        <x:f>IF($A650="","",XLOOKUP(Locations!B530,NOCsTbl[NOC ID],NOCsTbl[Display Name],""))</x:f>
      </x:c>
      <x:c r="C650" s="128" t="str">
        <x:f>IF($A650="","",Locations!C530)</x:f>
      </x:c>
      <x:c r="D650" s="128" t="str">
        <x:f>IF($A650="","",Locations!D530)</x:f>
      </x:c>
      <x:c r="E650" s="128" t="str">
        <x:f>IF($A650="","",Locations!F530)</x:f>
      </x:c>
      <x:c r="F650" s="128" t="str">
        <x:f>IF($A650="","",Locations!E530)</x:f>
      </x:c>
      <x:c r="G650" s="128" t="str">
        <x:f>IF($A650="","","LOCATION")</x:f>
      </x:c>
      <x:c r="H650" s="128" t="str">
        <x:f>IF($A650="","","OK")</x:f>
      </x:c>
    </x:row>
    <x:row r="651">
      <x:c r="A651" s="128" t="str">
        <x:f>IF(AND(Locations!A531="Yes",Locations!I531="OK"),Locations!B531,"")</x:f>
      </x:c>
      <x:c r="B651" s="128" t="str">
        <x:f>IF($A651="","",XLOOKUP(Locations!B531,NOCsTbl[NOC ID],NOCsTbl[Display Name],""))</x:f>
      </x:c>
      <x:c r="C651" s="128" t="str">
        <x:f>IF($A651="","",Locations!C531)</x:f>
      </x:c>
      <x:c r="D651" s="128" t="str">
        <x:f>IF($A651="","",Locations!D531)</x:f>
      </x:c>
      <x:c r="E651" s="128" t="str">
        <x:f>IF($A651="","",Locations!F531)</x:f>
      </x:c>
      <x:c r="F651" s="128" t="str">
        <x:f>IF($A651="","",Locations!E531)</x:f>
      </x:c>
      <x:c r="G651" s="128" t="str">
        <x:f>IF($A651="","","LOCATION")</x:f>
      </x:c>
      <x:c r="H651" s="128" t="str">
        <x:f>IF($A651="","","OK")</x:f>
      </x:c>
    </x:row>
    <x:row r="652">
      <x:c r="A652" s="128" t="str">
        <x:f>IF(AND(Locations!A532="Yes",Locations!I532="OK"),Locations!B532,"")</x:f>
      </x:c>
      <x:c r="B652" s="128" t="str">
        <x:f>IF($A652="","",XLOOKUP(Locations!B532,NOCsTbl[NOC ID],NOCsTbl[Display Name],""))</x:f>
      </x:c>
      <x:c r="C652" s="128" t="str">
        <x:f>IF($A652="","",Locations!C532)</x:f>
      </x:c>
      <x:c r="D652" s="128" t="str">
        <x:f>IF($A652="","",Locations!D532)</x:f>
      </x:c>
      <x:c r="E652" s="128" t="str">
        <x:f>IF($A652="","",Locations!F532)</x:f>
      </x:c>
      <x:c r="F652" s="128" t="str">
        <x:f>IF($A652="","",Locations!E532)</x:f>
      </x:c>
      <x:c r="G652" s="128" t="str">
        <x:f>IF($A652="","","LOCATION")</x:f>
      </x:c>
      <x:c r="H652" s="128" t="str">
        <x:f>IF($A652="","","OK")</x:f>
      </x:c>
    </x:row>
    <x:row r="653">
      <x:c r="A653" s="128" t="str">
        <x:f>IF(AND(Locations!A533="Yes",Locations!I533="OK"),Locations!B533,"")</x:f>
      </x:c>
      <x:c r="B653" s="128" t="str">
        <x:f>IF($A653="","",XLOOKUP(Locations!B533,NOCsTbl[NOC ID],NOCsTbl[Display Name],""))</x:f>
      </x:c>
      <x:c r="C653" s="128" t="str">
        <x:f>IF($A653="","",Locations!C533)</x:f>
      </x:c>
      <x:c r="D653" s="128" t="str">
        <x:f>IF($A653="","",Locations!D533)</x:f>
      </x:c>
      <x:c r="E653" s="128" t="str">
        <x:f>IF($A653="","",Locations!F533)</x:f>
      </x:c>
      <x:c r="F653" s="128" t="str">
        <x:f>IF($A653="","",Locations!E533)</x:f>
      </x:c>
      <x:c r="G653" s="128" t="str">
        <x:f>IF($A653="","","LOCATION")</x:f>
      </x:c>
      <x:c r="H653" s="128" t="str">
        <x:f>IF($A653="","","OK")</x:f>
      </x:c>
    </x:row>
    <x:row r="654">
      <x:c r="A654" s="128" t="str">
        <x:f>IF(AND(Locations!A534="Yes",Locations!I534="OK"),Locations!B534,"")</x:f>
      </x:c>
      <x:c r="B654" s="128" t="str">
        <x:f>IF($A654="","",XLOOKUP(Locations!B534,NOCsTbl[NOC ID],NOCsTbl[Display Name],""))</x:f>
      </x:c>
      <x:c r="C654" s="128" t="str">
        <x:f>IF($A654="","",Locations!C534)</x:f>
      </x:c>
      <x:c r="D654" s="128" t="str">
        <x:f>IF($A654="","",Locations!D534)</x:f>
      </x:c>
      <x:c r="E654" s="128" t="str">
        <x:f>IF($A654="","",Locations!F534)</x:f>
      </x:c>
      <x:c r="F654" s="128" t="str">
        <x:f>IF($A654="","",Locations!E534)</x:f>
      </x:c>
      <x:c r="G654" s="128" t="str">
        <x:f>IF($A654="","","LOCATION")</x:f>
      </x:c>
      <x:c r="H654" s="128" t="str">
        <x:f>IF($A654="","","OK")</x:f>
      </x:c>
    </x:row>
    <x:row r="655">
      <x:c r="A655" s="128" t="str">
        <x:f>IF(AND(Locations!A535="Yes",Locations!I535="OK"),Locations!B535,"")</x:f>
      </x:c>
      <x:c r="B655" s="128" t="str">
        <x:f>IF($A655="","",XLOOKUP(Locations!B535,NOCsTbl[NOC ID],NOCsTbl[Display Name],""))</x:f>
      </x:c>
      <x:c r="C655" s="128" t="str">
        <x:f>IF($A655="","",Locations!C535)</x:f>
      </x:c>
      <x:c r="D655" s="128" t="str">
        <x:f>IF($A655="","",Locations!D535)</x:f>
      </x:c>
      <x:c r="E655" s="128" t="str">
        <x:f>IF($A655="","",Locations!F535)</x:f>
      </x:c>
      <x:c r="F655" s="128" t="str">
        <x:f>IF($A655="","",Locations!E535)</x:f>
      </x:c>
      <x:c r="G655" s="128" t="str">
        <x:f>IF($A655="","","LOCATION")</x:f>
      </x:c>
      <x:c r="H655" s="128" t="str">
        <x:f>IF($A655="","","OK")</x:f>
      </x:c>
    </x:row>
    <x:row r="656">
      <x:c r="A656" s="128" t="str">
        <x:f>IF(AND(Locations!A536="Yes",Locations!I536="OK"),Locations!B536,"")</x:f>
      </x:c>
      <x:c r="B656" s="128" t="str">
        <x:f>IF($A656="","",XLOOKUP(Locations!B536,NOCsTbl[NOC ID],NOCsTbl[Display Name],""))</x:f>
      </x:c>
      <x:c r="C656" s="128" t="str">
        <x:f>IF($A656="","",Locations!C536)</x:f>
      </x:c>
      <x:c r="D656" s="128" t="str">
        <x:f>IF($A656="","",Locations!D536)</x:f>
      </x:c>
      <x:c r="E656" s="128" t="str">
        <x:f>IF($A656="","",Locations!F536)</x:f>
      </x:c>
      <x:c r="F656" s="128" t="str">
        <x:f>IF($A656="","",Locations!E536)</x:f>
      </x:c>
      <x:c r="G656" s="128" t="str">
        <x:f>IF($A656="","","LOCATION")</x:f>
      </x:c>
      <x:c r="H656" s="128" t="str">
        <x:f>IF($A656="","","OK")</x:f>
      </x:c>
    </x:row>
    <x:row r="657">
      <x:c r="A657" s="128" t="str">
        <x:f>IF(AND(Locations!A537="Yes",Locations!I537="OK"),Locations!B537,"")</x:f>
      </x:c>
      <x:c r="B657" s="128" t="str">
        <x:f>IF($A657="","",XLOOKUP(Locations!B537,NOCsTbl[NOC ID],NOCsTbl[Display Name],""))</x:f>
      </x:c>
      <x:c r="C657" s="128" t="str">
        <x:f>IF($A657="","",Locations!C537)</x:f>
      </x:c>
      <x:c r="D657" s="128" t="str">
        <x:f>IF($A657="","",Locations!D537)</x:f>
      </x:c>
      <x:c r="E657" s="128" t="str">
        <x:f>IF($A657="","",Locations!F537)</x:f>
      </x:c>
      <x:c r="F657" s="128" t="str">
        <x:f>IF($A657="","",Locations!E537)</x:f>
      </x:c>
      <x:c r="G657" s="128" t="str">
        <x:f>IF($A657="","","LOCATION")</x:f>
      </x:c>
      <x:c r="H657" s="128" t="str">
        <x:f>IF($A657="","","OK")</x:f>
      </x:c>
    </x:row>
    <x:row r="658">
      <x:c r="A658" s="128" t="str">
        <x:f>IF(AND(Locations!A538="Yes",Locations!I538="OK"),Locations!B538,"")</x:f>
      </x:c>
      <x:c r="B658" s="128" t="str">
        <x:f>IF($A658="","",XLOOKUP(Locations!B538,NOCsTbl[NOC ID],NOCsTbl[Display Name],""))</x:f>
      </x:c>
      <x:c r="C658" s="128" t="str">
        <x:f>IF($A658="","",Locations!C538)</x:f>
      </x:c>
      <x:c r="D658" s="128" t="str">
        <x:f>IF($A658="","",Locations!D538)</x:f>
      </x:c>
      <x:c r="E658" s="128" t="str">
        <x:f>IF($A658="","",Locations!F538)</x:f>
      </x:c>
      <x:c r="F658" s="128" t="str">
        <x:f>IF($A658="","",Locations!E538)</x:f>
      </x:c>
      <x:c r="G658" s="128" t="str">
        <x:f>IF($A658="","","LOCATION")</x:f>
      </x:c>
      <x:c r="H658" s="128" t="str">
        <x:f>IF($A658="","","OK")</x:f>
      </x:c>
    </x:row>
    <x:row r="659">
      <x:c r="A659" s="128" t="str">
        <x:f>IF(AND(Locations!A539="Yes",Locations!I539="OK"),Locations!B539,"")</x:f>
      </x:c>
      <x:c r="B659" s="128" t="str">
        <x:f>IF($A659="","",XLOOKUP(Locations!B539,NOCsTbl[NOC ID],NOCsTbl[Display Name],""))</x:f>
      </x:c>
      <x:c r="C659" s="128" t="str">
        <x:f>IF($A659="","",Locations!C539)</x:f>
      </x:c>
      <x:c r="D659" s="128" t="str">
        <x:f>IF($A659="","",Locations!D539)</x:f>
      </x:c>
      <x:c r="E659" s="128" t="str">
        <x:f>IF($A659="","",Locations!F539)</x:f>
      </x:c>
      <x:c r="F659" s="128" t="str">
        <x:f>IF($A659="","",Locations!E539)</x:f>
      </x:c>
      <x:c r="G659" s="128" t="str">
        <x:f>IF($A659="","","LOCATION")</x:f>
      </x:c>
      <x:c r="H659" s="128" t="str">
        <x:f>IF($A659="","","OK")</x:f>
      </x:c>
    </x:row>
    <x:row r="660">
      <x:c r="A660" s="128" t="str">
        <x:f>IF(AND(Locations!A540="Yes",Locations!I540="OK"),Locations!B540,"")</x:f>
      </x:c>
      <x:c r="B660" s="128" t="str">
        <x:f>IF($A660="","",XLOOKUP(Locations!B540,NOCsTbl[NOC ID],NOCsTbl[Display Name],""))</x:f>
      </x:c>
      <x:c r="C660" s="128" t="str">
        <x:f>IF($A660="","",Locations!C540)</x:f>
      </x:c>
      <x:c r="D660" s="128" t="str">
        <x:f>IF($A660="","",Locations!D540)</x:f>
      </x:c>
      <x:c r="E660" s="128" t="str">
        <x:f>IF($A660="","",Locations!F540)</x:f>
      </x:c>
      <x:c r="F660" s="128" t="str">
        <x:f>IF($A660="","",Locations!E540)</x:f>
      </x:c>
      <x:c r="G660" s="128" t="str">
        <x:f>IF($A660="","","LOCATION")</x:f>
      </x:c>
      <x:c r="H660" s="128" t="str">
        <x:f>IF($A660="","","OK")</x:f>
      </x:c>
    </x:row>
    <x:row r="661">
      <x:c r="A661" s="128" t="str">
        <x:f>IF(AND(Locations!A541="Yes",Locations!I541="OK"),Locations!B541,"")</x:f>
      </x:c>
      <x:c r="B661" s="128" t="str">
        <x:f>IF($A661="","",XLOOKUP(Locations!B541,NOCsTbl[NOC ID],NOCsTbl[Display Name],""))</x:f>
      </x:c>
      <x:c r="C661" s="128" t="str">
        <x:f>IF($A661="","",Locations!C541)</x:f>
      </x:c>
      <x:c r="D661" s="128" t="str">
        <x:f>IF($A661="","",Locations!D541)</x:f>
      </x:c>
      <x:c r="E661" s="128" t="str">
        <x:f>IF($A661="","",Locations!F541)</x:f>
      </x:c>
      <x:c r="F661" s="128" t="str">
        <x:f>IF($A661="","",Locations!E541)</x:f>
      </x:c>
      <x:c r="G661" s="128" t="str">
        <x:f>IF($A661="","","LOCATION")</x:f>
      </x:c>
      <x:c r="H661" s="128" t="str">
        <x:f>IF($A661="","","OK")</x:f>
      </x:c>
    </x:row>
    <x:row r="662">
      <x:c r="A662" s="128" t="str">
        <x:f>IF(AND(Locations!A542="Yes",Locations!I542="OK"),Locations!B542,"")</x:f>
      </x:c>
      <x:c r="B662" s="128" t="str">
        <x:f>IF($A662="","",XLOOKUP(Locations!B542,NOCsTbl[NOC ID],NOCsTbl[Display Name],""))</x:f>
      </x:c>
      <x:c r="C662" s="128" t="str">
        <x:f>IF($A662="","",Locations!C542)</x:f>
      </x:c>
      <x:c r="D662" s="128" t="str">
        <x:f>IF($A662="","",Locations!D542)</x:f>
      </x:c>
      <x:c r="E662" s="128" t="str">
        <x:f>IF($A662="","",Locations!F542)</x:f>
      </x:c>
      <x:c r="F662" s="128" t="str">
        <x:f>IF($A662="","",Locations!E542)</x:f>
      </x:c>
      <x:c r="G662" s="128" t="str">
        <x:f>IF($A662="","","LOCATION")</x:f>
      </x:c>
      <x:c r="H662" s="128" t="str">
        <x:f>IF($A662="","","OK")</x:f>
      </x:c>
    </x:row>
    <x:row r="663">
      <x:c r="A663" s="128" t="str">
        <x:f>IF(AND(Locations!A543="Yes",Locations!I543="OK"),Locations!B543,"")</x:f>
      </x:c>
      <x:c r="B663" s="128" t="str">
        <x:f>IF($A663="","",XLOOKUP(Locations!B543,NOCsTbl[NOC ID],NOCsTbl[Display Name],""))</x:f>
      </x:c>
      <x:c r="C663" s="128" t="str">
        <x:f>IF($A663="","",Locations!C543)</x:f>
      </x:c>
      <x:c r="D663" s="128" t="str">
        <x:f>IF($A663="","",Locations!D543)</x:f>
      </x:c>
      <x:c r="E663" s="128" t="str">
        <x:f>IF($A663="","",Locations!F543)</x:f>
      </x:c>
      <x:c r="F663" s="128" t="str">
        <x:f>IF($A663="","",Locations!E543)</x:f>
      </x:c>
      <x:c r="G663" s="128" t="str">
        <x:f>IF($A663="","","LOCATION")</x:f>
      </x:c>
      <x:c r="H663" s="128" t="str">
        <x:f>IF($A663="","","OK")</x:f>
      </x:c>
    </x:row>
    <x:row r="664">
      <x:c r="A664" s="128" t="str">
        <x:f>IF(AND(Locations!A544="Yes",Locations!I544="OK"),Locations!B544,"")</x:f>
      </x:c>
      <x:c r="B664" s="128" t="str">
        <x:f>IF($A664="","",XLOOKUP(Locations!B544,NOCsTbl[NOC ID],NOCsTbl[Display Name],""))</x:f>
      </x:c>
      <x:c r="C664" s="128" t="str">
        <x:f>IF($A664="","",Locations!C544)</x:f>
      </x:c>
      <x:c r="D664" s="128" t="str">
        <x:f>IF($A664="","",Locations!D544)</x:f>
      </x:c>
      <x:c r="E664" s="128" t="str">
        <x:f>IF($A664="","",Locations!F544)</x:f>
      </x:c>
      <x:c r="F664" s="128" t="str">
        <x:f>IF($A664="","",Locations!E544)</x:f>
      </x:c>
      <x:c r="G664" s="128" t="str">
        <x:f>IF($A664="","","LOCATION")</x:f>
      </x:c>
      <x:c r="H664" s="128" t="str">
        <x:f>IF($A664="","","OK")</x:f>
      </x:c>
    </x:row>
    <x:row r="665">
      <x:c r="A665" s="128" t="str">
        <x:f>IF(AND(Locations!A545="Yes",Locations!I545="OK"),Locations!B545,"")</x:f>
      </x:c>
      <x:c r="B665" s="128" t="str">
        <x:f>IF($A665="","",XLOOKUP(Locations!B545,NOCsTbl[NOC ID],NOCsTbl[Display Name],""))</x:f>
      </x:c>
      <x:c r="C665" s="128" t="str">
        <x:f>IF($A665="","",Locations!C545)</x:f>
      </x:c>
      <x:c r="D665" s="128" t="str">
        <x:f>IF($A665="","",Locations!D545)</x:f>
      </x:c>
      <x:c r="E665" s="128" t="str">
        <x:f>IF($A665="","",Locations!F545)</x:f>
      </x:c>
      <x:c r="F665" s="128" t="str">
        <x:f>IF($A665="","",Locations!E545)</x:f>
      </x:c>
      <x:c r="G665" s="128" t="str">
        <x:f>IF($A665="","","LOCATION")</x:f>
      </x:c>
      <x:c r="H665" s="128" t="str">
        <x:f>IF($A665="","","OK")</x:f>
      </x:c>
    </x:row>
    <x:row r="666">
      <x:c r="A666" s="128" t="str">
        <x:f>IF(AND(Locations!A546="Yes",Locations!I546="OK"),Locations!B546,"")</x:f>
      </x:c>
      <x:c r="B666" s="128" t="str">
        <x:f>IF($A666="","",XLOOKUP(Locations!B546,NOCsTbl[NOC ID],NOCsTbl[Display Name],""))</x:f>
      </x:c>
      <x:c r="C666" s="128" t="str">
        <x:f>IF($A666="","",Locations!C546)</x:f>
      </x:c>
      <x:c r="D666" s="128" t="str">
        <x:f>IF($A666="","",Locations!D546)</x:f>
      </x:c>
      <x:c r="E666" s="128" t="str">
        <x:f>IF($A666="","",Locations!F546)</x:f>
      </x:c>
      <x:c r="F666" s="128" t="str">
        <x:f>IF($A666="","",Locations!E546)</x:f>
      </x:c>
      <x:c r="G666" s="128" t="str">
        <x:f>IF($A666="","","LOCATION")</x:f>
      </x:c>
      <x:c r="H666" s="128" t="str">
        <x:f>IF($A666="","","OK")</x:f>
      </x:c>
    </x:row>
    <x:row r="667">
      <x:c r="A667" s="128" t="str">
        <x:f>IF(AND(Locations!A547="Yes",Locations!I547="OK"),Locations!B547,"")</x:f>
      </x:c>
      <x:c r="B667" s="128" t="str">
        <x:f>IF($A667="","",XLOOKUP(Locations!B547,NOCsTbl[NOC ID],NOCsTbl[Display Name],""))</x:f>
      </x:c>
      <x:c r="C667" s="128" t="str">
        <x:f>IF($A667="","",Locations!C547)</x:f>
      </x:c>
      <x:c r="D667" s="128" t="str">
        <x:f>IF($A667="","",Locations!D547)</x:f>
      </x:c>
      <x:c r="E667" s="128" t="str">
        <x:f>IF($A667="","",Locations!F547)</x:f>
      </x:c>
      <x:c r="F667" s="128" t="str">
        <x:f>IF($A667="","",Locations!E547)</x:f>
      </x:c>
      <x:c r="G667" s="128" t="str">
        <x:f>IF($A667="","","LOCATION")</x:f>
      </x:c>
      <x:c r="H667" s="128" t="str">
        <x:f>IF($A667="","","OK")</x:f>
      </x:c>
    </x:row>
    <x:row r="668">
      <x:c r="A668" s="128" t="str">
        <x:f>IF(AND(Locations!A548="Yes",Locations!I548="OK"),Locations!B548,"")</x:f>
      </x:c>
      <x:c r="B668" s="128" t="str">
        <x:f>IF($A668="","",XLOOKUP(Locations!B548,NOCsTbl[NOC ID],NOCsTbl[Display Name],""))</x:f>
      </x:c>
      <x:c r="C668" s="128" t="str">
        <x:f>IF($A668="","",Locations!C548)</x:f>
      </x:c>
      <x:c r="D668" s="128" t="str">
        <x:f>IF($A668="","",Locations!D548)</x:f>
      </x:c>
      <x:c r="E668" s="128" t="str">
        <x:f>IF($A668="","",Locations!F548)</x:f>
      </x:c>
      <x:c r="F668" s="128" t="str">
        <x:f>IF($A668="","",Locations!E548)</x:f>
      </x:c>
      <x:c r="G668" s="128" t="str">
        <x:f>IF($A668="","","LOCATION")</x:f>
      </x:c>
      <x:c r="H668" s="128" t="str">
        <x:f>IF($A668="","","OK")</x:f>
      </x:c>
    </x:row>
    <x:row r="669">
      <x:c r="A669" s="128" t="str">
        <x:f>IF(AND(Locations!A549="Yes",Locations!I549="OK"),Locations!B549,"")</x:f>
      </x:c>
      <x:c r="B669" s="128" t="str">
        <x:f>IF($A669="","",XLOOKUP(Locations!B549,NOCsTbl[NOC ID],NOCsTbl[Display Name],""))</x:f>
      </x:c>
      <x:c r="C669" s="128" t="str">
        <x:f>IF($A669="","",Locations!C549)</x:f>
      </x:c>
      <x:c r="D669" s="128" t="str">
        <x:f>IF($A669="","",Locations!D549)</x:f>
      </x:c>
      <x:c r="E669" s="128" t="str">
        <x:f>IF($A669="","",Locations!F549)</x:f>
      </x:c>
      <x:c r="F669" s="128" t="str">
        <x:f>IF($A669="","",Locations!E549)</x:f>
      </x:c>
      <x:c r="G669" s="128" t="str">
        <x:f>IF($A669="","","LOCATION")</x:f>
      </x:c>
      <x:c r="H669" s="128" t="str">
        <x:f>IF($A669="","","OK")</x:f>
      </x:c>
    </x:row>
    <x:row r="670">
      <x:c r="A670" s="128" t="str">
        <x:f>IF(AND(Locations!A550="Yes",Locations!I550="OK"),Locations!B550,"")</x:f>
      </x:c>
      <x:c r="B670" s="128" t="str">
        <x:f>IF($A670="","",XLOOKUP(Locations!B550,NOCsTbl[NOC ID],NOCsTbl[Display Name],""))</x:f>
      </x:c>
      <x:c r="C670" s="128" t="str">
        <x:f>IF($A670="","",Locations!C550)</x:f>
      </x:c>
      <x:c r="D670" s="128" t="str">
        <x:f>IF($A670="","",Locations!D550)</x:f>
      </x:c>
      <x:c r="E670" s="128" t="str">
        <x:f>IF($A670="","",Locations!F550)</x:f>
      </x:c>
      <x:c r="F670" s="128" t="str">
        <x:f>IF($A670="","",Locations!E550)</x:f>
      </x:c>
      <x:c r="G670" s="128" t="str">
        <x:f>IF($A670="","","LOCATION")</x:f>
      </x:c>
      <x:c r="H670" s="128" t="str">
        <x:f>IF($A670="","","OK")</x:f>
      </x:c>
    </x:row>
    <x:row r="671">
      <x:c r="A671" s="128" t="str">
        <x:f>IF(AND(Locations!A551="Yes",Locations!I551="OK"),Locations!B551,"")</x:f>
      </x:c>
      <x:c r="B671" s="128" t="str">
        <x:f>IF($A671="","",XLOOKUP(Locations!B551,NOCsTbl[NOC ID],NOCsTbl[Display Name],""))</x:f>
      </x:c>
      <x:c r="C671" s="128" t="str">
        <x:f>IF($A671="","",Locations!C551)</x:f>
      </x:c>
      <x:c r="D671" s="128" t="str">
        <x:f>IF($A671="","",Locations!D551)</x:f>
      </x:c>
      <x:c r="E671" s="128" t="str">
        <x:f>IF($A671="","",Locations!F551)</x:f>
      </x:c>
      <x:c r="F671" s="128" t="str">
        <x:f>IF($A671="","",Locations!E551)</x:f>
      </x:c>
      <x:c r="G671" s="128" t="str">
        <x:f>IF($A671="","","LOCATION")</x:f>
      </x:c>
      <x:c r="H671" s="128" t="str">
        <x:f>IF($A671="","","OK")</x:f>
      </x:c>
    </x:row>
    <x:row r="672">
      <x:c r="A672" s="128" t="str">
        <x:f>IF(AND(Locations!A552="Yes",Locations!I552="OK"),Locations!B552,"")</x:f>
      </x:c>
      <x:c r="B672" s="128" t="str">
        <x:f>IF($A672="","",XLOOKUP(Locations!B552,NOCsTbl[NOC ID],NOCsTbl[Display Name],""))</x:f>
      </x:c>
      <x:c r="C672" s="128" t="str">
        <x:f>IF($A672="","",Locations!C552)</x:f>
      </x:c>
      <x:c r="D672" s="128" t="str">
        <x:f>IF($A672="","",Locations!D552)</x:f>
      </x:c>
      <x:c r="E672" s="128" t="str">
        <x:f>IF($A672="","",Locations!F552)</x:f>
      </x:c>
      <x:c r="F672" s="128" t="str">
        <x:f>IF($A672="","",Locations!E552)</x:f>
      </x:c>
      <x:c r="G672" s="128" t="str">
        <x:f>IF($A672="","","LOCATION")</x:f>
      </x:c>
      <x:c r="H672" s="128" t="str">
        <x:f>IF($A672="","","OK")</x:f>
      </x:c>
    </x:row>
    <x:row r="673">
      <x:c r="A673" s="128" t="str">
        <x:f>IF(AND(Locations!A553="Yes",Locations!I553="OK"),Locations!B553,"")</x:f>
      </x:c>
      <x:c r="B673" s="128" t="str">
        <x:f>IF($A673="","",XLOOKUP(Locations!B553,NOCsTbl[NOC ID],NOCsTbl[Display Name],""))</x:f>
      </x:c>
      <x:c r="C673" s="128" t="str">
        <x:f>IF($A673="","",Locations!C553)</x:f>
      </x:c>
      <x:c r="D673" s="128" t="str">
        <x:f>IF($A673="","",Locations!D553)</x:f>
      </x:c>
      <x:c r="E673" s="128" t="str">
        <x:f>IF($A673="","",Locations!F553)</x:f>
      </x:c>
      <x:c r="F673" s="128" t="str">
        <x:f>IF($A673="","",Locations!E553)</x:f>
      </x:c>
      <x:c r="G673" s="128" t="str">
        <x:f>IF($A673="","","LOCATION")</x:f>
      </x:c>
      <x:c r="H673" s="128" t="str">
        <x:f>IF($A673="","","OK")</x:f>
      </x:c>
    </x:row>
    <x:row r="674">
      <x:c r="A674" s="128" t="str">
        <x:f>IF(AND(Locations!A554="Yes",Locations!I554="OK"),Locations!B554,"")</x:f>
      </x:c>
      <x:c r="B674" s="128" t="str">
        <x:f>IF($A674="","",XLOOKUP(Locations!B554,NOCsTbl[NOC ID],NOCsTbl[Display Name],""))</x:f>
      </x:c>
      <x:c r="C674" s="128" t="str">
        <x:f>IF($A674="","",Locations!C554)</x:f>
      </x:c>
      <x:c r="D674" s="128" t="str">
        <x:f>IF($A674="","",Locations!D554)</x:f>
      </x:c>
      <x:c r="E674" s="128" t="str">
        <x:f>IF($A674="","",Locations!F554)</x:f>
      </x:c>
      <x:c r="F674" s="128" t="str">
        <x:f>IF($A674="","",Locations!E554)</x:f>
      </x:c>
      <x:c r="G674" s="128" t="str">
        <x:f>IF($A674="","","LOCATION")</x:f>
      </x:c>
      <x:c r="H674" s="128" t="str">
        <x:f>IF($A674="","","OK")</x:f>
      </x:c>
    </x:row>
    <x:row r="675">
      <x:c r="A675" s="128" t="str">
        <x:f>IF(AND(Locations!A555="Yes",Locations!I555="OK"),Locations!B555,"")</x:f>
      </x:c>
      <x:c r="B675" s="128" t="str">
        <x:f>IF($A675="","",XLOOKUP(Locations!B555,NOCsTbl[NOC ID],NOCsTbl[Display Name],""))</x:f>
      </x:c>
      <x:c r="C675" s="128" t="str">
        <x:f>IF($A675="","",Locations!C555)</x:f>
      </x:c>
      <x:c r="D675" s="128" t="str">
        <x:f>IF($A675="","",Locations!D555)</x:f>
      </x:c>
      <x:c r="E675" s="128" t="str">
        <x:f>IF($A675="","",Locations!F555)</x:f>
      </x:c>
      <x:c r="F675" s="128" t="str">
        <x:f>IF($A675="","",Locations!E555)</x:f>
      </x:c>
      <x:c r="G675" s="128" t="str">
        <x:f>IF($A675="","","LOCATION")</x:f>
      </x:c>
      <x:c r="H675" s="128" t="str">
        <x:f>IF($A675="","","OK")</x:f>
      </x:c>
    </x:row>
    <x:row r="676">
      <x:c r="A676" s="128" t="str">
        <x:f>IF(AND(Locations!A556="Yes",Locations!I556="OK"),Locations!B556,"")</x:f>
      </x:c>
      <x:c r="B676" s="128" t="str">
        <x:f>IF($A676="","",XLOOKUP(Locations!B556,NOCsTbl[NOC ID],NOCsTbl[Display Name],""))</x:f>
      </x:c>
      <x:c r="C676" s="128" t="str">
        <x:f>IF($A676="","",Locations!C556)</x:f>
      </x:c>
      <x:c r="D676" s="128" t="str">
        <x:f>IF($A676="","",Locations!D556)</x:f>
      </x:c>
      <x:c r="E676" s="128" t="str">
        <x:f>IF($A676="","",Locations!F556)</x:f>
      </x:c>
      <x:c r="F676" s="128" t="str">
        <x:f>IF($A676="","",Locations!E556)</x:f>
      </x:c>
      <x:c r="G676" s="128" t="str">
        <x:f>IF($A676="","","LOCATION")</x:f>
      </x:c>
      <x:c r="H676" s="128" t="str">
        <x:f>IF($A676="","","OK")</x:f>
      </x:c>
    </x:row>
    <x:row r="677">
      <x:c r="A677" s="128" t="str">
        <x:f>IF(AND(Locations!A557="Yes",Locations!I557="OK"),Locations!B557,"")</x:f>
      </x:c>
      <x:c r="B677" s="128" t="str">
        <x:f>IF($A677="","",XLOOKUP(Locations!B557,NOCsTbl[NOC ID],NOCsTbl[Display Name],""))</x:f>
      </x:c>
      <x:c r="C677" s="128" t="str">
        <x:f>IF($A677="","",Locations!C557)</x:f>
      </x:c>
      <x:c r="D677" s="128" t="str">
        <x:f>IF($A677="","",Locations!D557)</x:f>
      </x:c>
      <x:c r="E677" s="128" t="str">
        <x:f>IF($A677="","",Locations!F557)</x:f>
      </x:c>
      <x:c r="F677" s="128" t="str">
        <x:f>IF($A677="","",Locations!E557)</x:f>
      </x:c>
      <x:c r="G677" s="128" t="str">
        <x:f>IF($A677="","","LOCATION")</x:f>
      </x:c>
      <x:c r="H677" s="128" t="str">
        <x:f>IF($A677="","","OK")</x:f>
      </x:c>
    </x:row>
    <x:row r="678">
      <x:c r="A678" s="128" t="str">
        <x:f>IF(AND(Locations!A558="Yes",Locations!I558="OK"),Locations!B558,"")</x:f>
      </x:c>
      <x:c r="B678" s="128" t="str">
        <x:f>IF($A678="","",XLOOKUP(Locations!B558,NOCsTbl[NOC ID],NOCsTbl[Display Name],""))</x:f>
      </x:c>
      <x:c r="C678" s="128" t="str">
        <x:f>IF($A678="","",Locations!C558)</x:f>
      </x:c>
      <x:c r="D678" s="128" t="str">
        <x:f>IF($A678="","",Locations!D558)</x:f>
      </x:c>
      <x:c r="E678" s="128" t="str">
        <x:f>IF($A678="","",Locations!F558)</x:f>
      </x:c>
      <x:c r="F678" s="128" t="str">
        <x:f>IF($A678="","",Locations!E558)</x:f>
      </x:c>
      <x:c r="G678" s="128" t="str">
        <x:f>IF($A678="","","LOCATION")</x:f>
      </x:c>
      <x:c r="H678" s="128" t="str">
        <x:f>IF($A678="","","OK")</x:f>
      </x:c>
    </x:row>
    <x:row r="679">
      <x:c r="A679" s="128" t="str">
        <x:f>IF(AND(Locations!A559="Yes",Locations!I559="OK"),Locations!B559,"")</x:f>
      </x:c>
      <x:c r="B679" s="128" t="str">
        <x:f>IF($A679="","",XLOOKUP(Locations!B559,NOCsTbl[NOC ID],NOCsTbl[Display Name],""))</x:f>
      </x:c>
      <x:c r="C679" s="128" t="str">
        <x:f>IF($A679="","",Locations!C559)</x:f>
      </x:c>
      <x:c r="D679" s="128" t="str">
        <x:f>IF($A679="","",Locations!D559)</x:f>
      </x:c>
      <x:c r="E679" s="128" t="str">
        <x:f>IF($A679="","",Locations!F559)</x:f>
      </x:c>
      <x:c r="F679" s="128" t="str">
        <x:f>IF($A679="","",Locations!E559)</x:f>
      </x:c>
      <x:c r="G679" s="128" t="str">
        <x:f>IF($A679="","","LOCATION")</x:f>
      </x:c>
      <x:c r="H679" s="128" t="str">
        <x:f>IF($A679="","","OK")</x:f>
      </x:c>
    </x:row>
    <x:row r="680">
      <x:c r="A680" s="128" t="str">
        <x:f>IF(AND(Locations!A560="Yes",Locations!I560="OK"),Locations!B560,"")</x:f>
      </x:c>
      <x:c r="B680" s="128" t="str">
        <x:f>IF($A680="","",XLOOKUP(Locations!B560,NOCsTbl[NOC ID],NOCsTbl[Display Name],""))</x:f>
      </x:c>
      <x:c r="C680" s="128" t="str">
        <x:f>IF($A680="","",Locations!C560)</x:f>
      </x:c>
      <x:c r="D680" s="128" t="str">
        <x:f>IF($A680="","",Locations!D560)</x:f>
      </x:c>
      <x:c r="E680" s="128" t="str">
        <x:f>IF($A680="","",Locations!F560)</x:f>
      </x:c>
      <x:c r="F680" s="128" t="str">
        <x:f>IF($A680="","",Locations!E560)</x:f>
      </x:c>
      <x:c r="G680" s="128" t="str">
        <x:f>IF($A680="","","LOCATION")</x:f>
      </x:c>
      <x:c r="H680" s="128" t="str">
        <x:f>IF($A680="","","OK")</x:f>
      </x:c>
    </x:row>
    <x:row r="681">
      <x:c r="A681" s="128" t="str">
        <x:f>IF(AND(Locations!A561="Yes",Locations!I561="OK"),Locations!B561,"")</x:f>
      </x:c>
      <x:c r="B681" s="128" t="str">
        <x:f>IF($A681="","",XLOOKUP(Locations!B561,NOCsTbl[NOC ID],NOCsTbl[Display Name],""))</x:f>
      </x:c>
      <x:c r="C681" s="128" t="str">
        <x:f>IF($A681="","",Locations!C561)</x:f>
      </x:c>
      <x:c r="D681" s="128" t="str">
        <x:f>IF($A681="","",Locations!D561)</x:f>
      </x:c>
      <x:c r="E681" s="128" t="str">
        <x:f>IF($A681="","",Locations!F561)</x:f>
      </x:c>
      <x:c r="F681" s="128" t="str">
        <x:f>IF($A681="","",Locations!E561)</x:f>
      </x:c>
      <x:c r="G681" s="128" t="str">
        <x:f>IF($A681="","","LOCATION")</x:f>
      </x:c>
      <x:c r="H681" s="128" t="str">
        <x:f>IF($A681="","","OK")</x:f>
      </x:c>
    </x:row>
    <x:row r="682">
      <x:c r="A682" s="128" t="str">
        <x:f>IF(AND(Locations!A562="Yes",Locations!I562="OK"),Locations!B562,"")</x:f>
      </x:c>
      <x:c r="B682" s="128" t="str">
        <x:f>IF($A682="","",XLOOKUP(Locations!B562,NOCsTbl[NOC ID],NOCsTbl[Display Name],""))</x:f>
      </x:c>
      <x:c r="C682" s="128" t="str">
        <x:f>IF($A682="","",Locations!C562)</x:f>
      </x:c>
      <x:c r="D682" s="128" t="str">
        <x:f>IF($A682="","",Locations!D562)</x:f>
      </x:c>
      <x:c r="E682" s="128" t="str">
        <x:f>IF($A682="","",Locations!F562)</x:f>
      </x:c>
      <x:c r="F682" s="128" t="str">
        <x:f>IF($A682="","",Locations!E562)</x:f>
      </x:c>
      <x:c r="G682" s="128" t="str">
        <x:f>IF($A682="","","LOCATION")</x:f>
      </x:c>
      <x:c r="H682" s="128" t="str">
        <x:f>IF($A682="","","OK")</x:f>
      </x:c>
    </x:row>
    <x:row r="683">
      <x:c r="A683" s="128" t="str">
        <x:f>IF(AND(Locations!A563="Yes",Locations!I563="OK"),Locations!B563,"")</x:f>
      </x:c>
      <x:c r="B683" s="128" t="str">
        <x:f>IF($A683="","",XLOOKUP(Locations!B563,NOCsTbl[NOC ID],NOCsTbl[Display Name],""))</x:f>
      </x:c>
      <x:c r="C683" s="128" t="str">
        <x:f>IF($A683="","",Locations!C563)</x:f>
      </x:c>
      <x:c r="D683" s="128" t="str">
        <x:f>IF($A683="","",Locations!D563)</x:f>
      </x:c>
      <x:c r="E683" s="128" t="str">
        <x:f>IF($A683="","",Locations!F563)</x:f>
      </x:c>
      <x:c r="F683" s="128" t="str">
        <x:f>IF($A683="","",Locations!E563)</x:f>
      </x:c>
      <x:c r="G683" s="128" t="str">
        <x:f>IF($A683="","","LOCATION")</x:f>
      </x:c>
      <x:c r="H683" s="128" t="str">
        <x:f>IF($A683="","","OK")</x:f>
      </x:c>
    </x:row>
    <x:row r="684">
      <x:c r="A684" s="128" t="str">
        <x:f>IF(AND(Locations!A564="Yes",Locations!I564="OK"),Locations!B564,"")</x:f>
      </x:c>
      <x:c r="B684" s="128" t="str">
        <x:f>IF($A684="","",XLOOKUP(Locations!B564,NOCsTbl[NOC ID],NOCsTbl[Display Name],""))</x:f>
      </x:c>
      <x:c r="C684" s="128" t="str">
        <x:f>IF($A684="","",Locations!C564)</x:f>
      </x:c>
      <x:c r="D684" s="128" t="str">
        <x:f>IF($A684="","",Locations!D564)</x:f>
      </x:c>
      <x:c r="E684" s="128" t="str">
        <x:f>IF($A684="","",Locations!F564)</x:f>
      </x:c>
      <x:c r="F684" s="128" t="str">
        <x:f>IF($A684="","",Locations!E564)</x:f>
      </x:c>
      <x:c r="G684" s="128" t="str">
        <x:f>IF($A684="","","LOCATION")</x:f>
      </x:c>
      <x:c r="H684" s="128" t="str">
        <x:f>IF($A684="","","OK")</x:f>
      </x:c>
    </x:row>
    <x:row r="685">
      <x:c r="A685" s="128" t="str">
        <x:f>IF(AND(Locations!A565="Yes",Locations!I565="OK"),Locations!B565,"")</x:f>
      </x:c>
      <x:c r="B685" s="128" t="str">
        <x:f>IF($A685="","",XLOOKUP(Locations!B565,NOCsTbl[NOC ID],NOCsTbl[Display Name],""))</x:f>
      </x:c>
      <x:c r="C685" s="128" t="str">
        <x:f>IF($A685="","",Locations!C565)</x:f>
      </x:c>
      <x:c r="D685" s="128" t="str">
        <x:f>IF($A685="","",Locations!D565)</x:f>
      </x:c>
      <x:c r="E685" s="128" t="str">
        <x:f>IF($A685="","",Locations!F565)</x:f>
      </x:c>
      <x:c r="F685" s="128" t="str">
        <x:f>IF($A685="","",Locations!E565)</x:f>
      </x:c>
      <x:c r="G685" s="128" t="str">
        <x:f>IF($A685="","","LOCATION")</x:f>
      </x:c>
      <x:c r="H685" s="128" t="str">
        <x:f>IF($A685="","","OK")</x:f>
      </x:c>
    </x:row>
    <x:row r="686">
      <x:c r="A686" s="128" t="str">
        <x:f>IF(AND(Locations!A566="Yes",Locations!I566="OK"),Locations!B566,"")</x:f>
      </x:c>
      <x:c r="B686" s="128" t="str">
        <x:f>IF($A686="","",XLOOKUP(Locations!B566,NOCsTbl[NOC ID],NOCsTbl[Display Name],""))</x:f>
      </x:c>
      <x:c r="C686" s="128" t="str">
        <x:f>IF($A686="","",Locations!C566)</x:f>
      </x:c>
      <x:c r="D686" s="128" t="str">
        <x:f>IF($A686="","",Locations!D566)</x:f>
      </x:c>
      <x:c r="E686" s="128" t="str">
        <x:f>IF($A686="","",Locations!F566)</x:f>
      </x:c>
      <x:c r="F686" s="128" t="str">
        <x:f>IF($A686="","",Locations!E566)</x:f>
      </x:c>
      <x:c r="G686" s="128" t="str">
        <x:f>IF($A686="","","LOCATION")</x:f>
      </x:c>
      <x:c r="H686" s="128" t="str">
        <x:f>IF($A686="","","OK")</x:f>
      </x:c>
    </x:row>
    <x:row r="687">
      <x:c r="A687" s="128" t="str">
        <x:f>IF(AND(Locations!A567="Yes",Locations!I567="OK"),Locations!B567,"")</x:f>
      </x:c>
      <x:c r="B687" s="128" t="str">
        <x:f>IF($A687="","",XLOOKUP(Locations!B567,NOCsTbl[NOC ID],NOCsTbl[Display Name],""))</x:f>
      </x:c>
      <x:c r="C687" s="128" t="str">
        <x:f>IF($A687="","",Locations!C567)</x:f>
      </x:c>
      <x:c r="D687" s="128" t="str">
        <x:f>IF($A687="","",Locations!D567)</x:f>
      </x:c>
      <x:c r="E687" s="128" t="str">
        <x:f>IF($A687="","",Locations!F567)</x:f>
      </x:c>
      <x:c r="F687" s="128" t="str">
        <x:f>IF($A687="","",Locations!E567)</x:f>
      </x:c>
      <x:c r="G687" s="128" t="str">
        <x:f>IF($A687="","","LOCATION")</x:f>
      </x:c>
      <x:c r="H687" s="128" t="str">
        <x:f>IF($A687="","","OK")</x:f>
      </x:c>
    </x:row>
    <x:row r="688">
      <x:c r="A688" s="128" t="str">
        <x:f>IF(AND(Locations!A568="Yes",Locations!I568="OK"),Locations!B568,"")</x:f>
      </x:c>
      <x:c r="B688" s="128" t="str">
        <x:f>IF($A688="","",XLOOKUP(Locations!B568,NOCsTbl[NOC ID],NOCsTbl[Display Name],""))</x:f>
      </x:c>
      <x:c r="C688" s="128" t="str">
        <x:f>IF($A688="","",Locations!C568)</x:f>
      </x:c>
      <x:c r="D688" s="128" t="str">
        <x:f>IF($A688="","",Locations!D568)</x:f>
      </x:c>
      <x:c r="E688" s="128" t="str">
        <x:f>IF($A688="","",Locations!F568)</x:f>
      </x:c>
      <x:c r="F688" s="128" t="str">
        <x:f>IF($A688="","",Locations!E568)</x:f>
      </x:c>
      <x:c r="G688" s="128" t="str">
        <x:f>IF($A688="","","LOCATION")</x:f>
      </x:c>
      <x:c r="H688" s="128" t="str">
        <x:f>IF($A688="","","OK")</x:f>
      </x:c>
    </x:row>
    <x:row r="689">
      <x:c r="A689" s="128" t="str">
        <x:f>IF(AND(Locations!A569="Yes",Locations!I569="OK"),Locations!B569,"")</x:f>
      </x:c>
      <x:c r="B689" s="128" t="str">
        <x:f>IF($A689="","",XLOOKUP(Locations!B569,NOCsTbl[NOC ID],NOCsTbl[Display Name],""))</x:f>
      </x:c>
      <x:c r="C689" s="128" t="str">
        <x:f>IF($A689="","",Locations!C569)</x:f>
      </x:c>
      <x:c r="D689" s="128" t="str">
        <x:f>IF($A689="","",Locations!D569)</x:f>
      </x:c>
      <x:c r="E689" s="128" t="str">
        <x:f>IF($A689="","",Locations!F569)</x:f>
      </x:c>
      <x:c r="F689" s="128" t="str">
        <x:f>IF($A689="","",Locations!E569)</x:f>
      </x:c>
      <x:c r="G689" s="128" t="str">
        <x:f>IF($A689="","","LOCATION")</x:f>
      </x:c>
      <x:c r="H689" s="128" t="str">
        <x:f>IF($A689="","","OK")</x:f>
      </x:c>
    </x:row>
    <x:row r="690">
      <x:c r="A690" s="128" t="str">
        <x:f>IF(AND(Locations!A570="Yes",Locations!I570="OK"),Locations!B570,"")</x:f>
      </x:c>
      <x:c r="B690" s="128" t="str">
        <x:f>IF($A690="","",XLOOKUP(Locations!B570,NOCsTbl[NOC ID],NOCsTbl[Display Name],""))</x:f>
      </x:c>
      <x:c r="C690" s="128" t="str">
        <x:f>IF($A690="","",Locations!C570)</x:f>
      </x:c>
      <x:c r="D690" s="128" t="str">
        <x:f>IF($A690="","",Locations!D570)</x:f>
      </x:c>
      <x:c r="E690" s="128" t="str">
        <x:f>IF($A690="","",Locations!F570)</x:f>
      </x:c>
      <x:c r="F690" s="128" t="str">
        <x:f>IF($A690="","",Locations!E570)</x:f>
      </x:c>
      <x:c r="G690" s="128" t="str">
        <x:f>IF($A690="","","LOCATION")</x:f>
      </x:c>
      <x:c r="H690" s="128" t="str">
        <x:f>IF($A690="","","OK")</x:f>
      </x:c>
    </x:row>
    <x:row r="691">
      <x:c r="A691" s="128" t="str">
        <x:f>IF(AND(Locations!A571="Yes",Locations!I571="OK"),Locations!B571,"")</x:f>
      </x:c>
      <x:c r="B691" s="128" t="str">
        <x:f>IF($A691="","",XLOOKUP(Locations!B571,NOCsTbl[NOC ID],NOCsTbl[Display Name],""))</x:f>
      </x:c>
      <x:c r="C691" s="128" t="str">
        <x:f>IF($A691="","",Locations!C571)</x:f>
      </x:c>
      <x:c r="D691" s="128" t="str">
        <x:f>IF($A691="","",Locations!D571)</x:f>
      </x:c>
      <x:c r="E691" s="128" t="str">
        <x:f>IF($A691="","",Locations!F571)</x:f>
      </x:c>
      <x:c r="F691" s="128" t="str">
        <x:f>IF($A691="","",Locations!E571)</x:f>
      </x:c>
      <x:c r="G691" s="128" t="str">
        <x:f>IF($A691="","","LOCATION")</x:f>
      </x:c>
      <x:c r="H691" s="128" t="str">
        <x:f>IF($A691="","","OK")</x:f>
      </x:c>
    </x:row>
    <x:row r="692">
      <x:c r="A692" s="128" t="str">
        <x:f>IF(AND(Locations!A572="Yes",Locations!I572="OK"),Locations!B572,"")</x:f>
      </x:c>
      <x:c r="B692" s="128" t="str">
        <x:f>IF($A692="","",XLOOKUP(Locations!B572,NOCsTbl[NOC ID],NOCsTbl[Display Name],""))</x:f>
      </x:c>
      <x:c r="C692" s="128" t="str">
        <x:f>IF($A692="","",Locations!C572)</x:f>
      </x:c>
      <x:c r="D692" s="128" t="str">
        <x:f>IF($A692="","",Locations!D572)</x:f>
      </x:c>
      <x:c r="E692" s="128" t="str">
        <x:f>IF($A692="","",Locations!F572)</x:f>
      </x:c>
      <x:c r="F692" s="128" t="str">
        <x:f>IF($A692="","",Locations!E572)</x:f>
      </x:c>
      <x:c r="G692" s="128" t="str">
        <x:f>IF($A692="","","LOCATION")</x:f>
      </x:c>
      <x:c r="H692" s="128" t="str">
        <x:f>IF($A692="","","OK")</x:f>
      </x:c>
    </x:row>
    <x:row r="693">
      <x:c r="A693" s="128" t="str">
        <x:f>IF(AND(Locations!A573="Yes",Locations!I573="OK"),Locations!B573,"")</x:f>
      </x:c>
      <x:c r="B693" s="128" t="str">
        <x:f>IF($A693="","",XLOOKUP(Locations!B573,NOCsTbl[NOC ID],NOCsTbl[Display Name],""))</x:f>
      </x:c>
      <x:c r="C693" s="128" t="str">
        <x:f>IF($A693="","",Locations!C573)</x:f>
      </x:c>
      <x:c r="D693" s="128" t="str">
        <x:f>IF($A693="","",Locations!D573)</x:f>
      </x:c>
      <x:c r="E693" s="128" t="str">
        <x:f>IF($A693="","",Locations!F573)</x:f>
      </x:c>
      <x:c r="F693" s="128" t="str">
        <x:f>IF($A693="","",Locations!E573)</x:f>
      </x:c>
      <x:c r="G693" s="128" t="str">
        <x:f>IF($A693="","","LOCATION")</x:f>
      </x:c>
      <x:c r="H693" s="128" t="str">
        <x:f>IF($A693="","","OK")</x:f>
      </x:c>
    </x:row>
    <x:row r="694">
      <x:c r="A694" s="128" t="str">
        <x:f>IF(AND(Locations!A574="Yes",Locations!I574="OK"),Locations!B574,"")</x:f>
      </x:c>
      <x:c r="B694" s="128" t="str">
        <x:f>IF($A694="","",XLOOKUP(Locations!B574,NOCsTbl[NOC ID],NOCsTbl[Display Name],""))</x:f>
      </x:c>
      <x:c r="C694" s="128" t="str">
        <x:f>IF($A694="","",Locations!C574)</x:f>
      </x:c>
      <x:c r="D694" s="128" t="str">
        <x:f>IF($A694="","",Locations!D574)</x:f>
      </x:c>
      <x:c r="E694" s="128" t="str">
        <x:f>IF($A694="","",Locations!F574)</x:f>
      </x:c>
      <x:c r="F694" s="128" t="str">
        <x:f>IF($A694="","",Locations!E574)</x:f>
      </x:c>
      <x:c r="G694" s="128" t="str">
        <x:f>IF($A694="","","LOCATION")</x:f>
      </x:c>
      <x:c r="H694" s="128" t="str">
        <x:f>IF($A694="","","OK")</x:f>
      </x:c>
    </x:row>
    <x:row r="695">
      <x:c r="A695" s="128" t="str">
        <x:f>IF(AND(Locations!A575="Yes",Locations!I575="OK"),Locations!B575,"")</x:f>
      </x:c>
      <x:c r="B695" s="128" t="str">
        <x:f>IF($A695="","",XLOOKUP(Locations!B575,NOCsTbl[NOC ID],NOCsTbl[Display Name],""))</x:f>
      </x:c>
      <x:c r="C695" s="128" t="str">
        <x:f>IF($A695="","",Locations!C575)</x:f>
      </x:c>
      <x:c r="D695" s="128" t="str">
        <x:f>IF($A695="","",Locations!D575)</x:f>
      </x:c>
      <x:c r="E695" s="128" t="str">
        <x:f>IF($A695="","",Locations!F575)</x:f>
      </x:c>
      <x:c r="F695" s="128" t="str">
        <x:f>IF($A695="","",Locations!E575)</x:f>
      </x:c>
      <x:c r="G695" s="128" t="str">
        <x:f>IF($A695="","","LOCATION")</x:f>
      </x:c>
      <x:c r="H695" s="128" t="str">
        <x:f>IF($A695="","","OK")</x:f>
      </x:c>
    </x:row>
    <x:row r="696">
      <x:c r="A696" s="128" t="str">
        <x:f>IF(AND(Locations!A576="Yes",Locations!I576="OK"),Locations!B576,"")</x:f>
      </x:c>
      <x:c r="B696" s="128" t="str">
        <x:f>IF($A696="","",XLOOKUP(Locations!B576,NOCsTbl[NOC ID],NOCsTbl[Display Name],""))</x:f>
      </x:c>
      <x:c r="C696" s="128" t="str">
        <x:f>IF($A696="","",Locations!C576)</x:f>
      </x:c>
      <x:c r="D696" s="128" t="str">
        <x:f>IF($A696="","",Locations!D576)</x:f>
      </x:c>
      <x:c r="E696" s="128" t="str">
        <x:f>IF($A696="","",Locations!F576)</x:f>
      </x:c>
      <x:c r="F696" s="128" t="str">
        <x:f>IF($A696="","",Locations!E576)</x:f>
      </x:c>
      <x:c r="G696" s="128" t="str">
        <x:f>IF($A696="","","LOCATION")</x:f>
      </x:c>
      <x:c r="H696" s="128" t="str">
        <x:f>IF($A696="","","OK")</x:f>
      </x:c>
    </x:row>
    <x:row r="697">
      <x:c r="A697" s="128" t="str">
        <x:f>IF(AND(Locations!A577="Yes",Locations!I577="OK"),Locations!B577,"")</x:f>
      </x:c>
      <x:c r="B697" s="128" t="str">
        <x:f>IF($A697="","",XLOOKUP(Locations!B577,NOCsTbl[NOC ID],NOCsTbl[Display Name],""))</x:f>
      </x:c>
      <x:c r="C697" s="128" t="str">
        <x:f>IF($A697="","",Locations!C577)</x:f>
      </x:c>
      <x:c r="D697" s="128" t="str">
        <x:f>IF($A697="","",Locations!D577)</x:f>
      </x:c>
      <x:c r="E697" s="128" t="str">
        <x:f>IF($A697="","",Locations!F577)</x:f>
      </x:c>
      <x:c r="F697" s="128" t="str">
        <x:f>IF($A697="","",Locations!E577)</x:f>
      </x:c>
      <x:c r="G697" s="128" t="str">
        <x:f>IF($A697="","","LOCATION")</x:f>
      </x:c>
      <x:c r="H697" s="128" t="str">
        <x:f>IF($A697="","","OK")</x:f>
      </x:c>
    </x:row>
    <x:row r="698">
      <x:c r="A698" s="128" t="str">
        <x:f>IF(AND(Locations!A578="Yes",Locations!I578="OK"),Locations!B578,"")</x:f>
      </x:c>
      <x:c r="B698" s="128" t="str">
        <x:f>IF($A698="","",XLOOKUP(Locations!B578,NOCsTbl[NOC ID],NOCsTbl[Display Name],""))</x:f>
      </x:c>
      <x:c r="C698" s="128" t="str">
        <x:f>IF($A698="","",Locations!C578)</x:f>
      </x:c>
      <x:c r="D698" s="128" t="str">
        <x:f>IF($A698="","",Locations!D578)</x:f>
      </x:c>
      <x:c r="E698" s="128" t="str">
        <x:f>IF($A698="","",Locations!F578)</x:f>
      </x:c>
      <x:c r="F698" s="128" t="str">
        <x:f>IF($A698="","",Locations!E578)</x:f>
      </x:c>
      <x:c r="G698" s="128" t="str">
        <x:f>IF($A698="","","LOCATION")</x:f>
      </x:c>
      <x:c r="H698" s="128" t="str">
        <x:f>IF($A698="","","OK")</x:f>
      </x:c>
    </x:row>
    <x:row r="699">
      <x:c r="A699" s="128" t="str">
        <x:f>IF(AND(Locations!A579="Yes",Locations!I579="OK"),Locations!B579,"")</x:f>
      </x:c>
      <x:c r="B699" s="128" t="str">
        <x:f>IF($A699="","",XLOOKUP(Locations!B579,NOCsTbl[NOC ID],NOCsTbl[Display Name],""))</x:f>
      </x:c>
      <x:c r="C699" s="128" t="str">
        <x:f>IF($A699="","",Locations!C579)</x:f>
      </x:c>
      <x:c r="D699" s="128" t="str">
        <x:f>IF($A699="","",Locations!D579)</x:f>
      </x:c>
      <x:c r="E699" s="128" t="str">
        <x:f>IF($A699="","",Locations!F579)</x:f>
      </x:c>
      <x:c r="F699" s="128" t="str">
        <x:f>IF($A699="","",Locations!E579)</x:f>
      </x:c>
      <x:c r="G699" s="128" t="str">
        <x:f>IF($A699="","","LOCATION")</x:f>
      </x:c>
      <x:c r="H699" s="128" t="str">
        <x:f>IF($A699="","","OK")</x:f>
      </x:c>
    </x:row>
    <x:row r="700">
      <x:c r="A700" s="128" t="str">
        <x:f>IF(AND(Locations!A580="Yes",Locations!I580="OK"),Locations!B580,"")</x:f>
      </x:c>
      <x:c r="B700" s="128" t="str">
        <x:f>IF($A700="","",XLOOKUP(Locations!B580,NOCsTbl[NOC ID],NOCsTbl[Display Name],""))</x:f>
      </x:c>
      <x:c r="C700" s="128" t="str">
        <x:f>IF($A700="","",Locations!C580)</x:f>
      </x:c>
      <x:c r="D700" s="128" t="str">
        <x:f>IF($A700="","",Locations!D580)</x:f>
      </x:c>
      <x:c r="E700" s="128" t="str">
        <x:f>IF($A700="","",Locations!F580)</x:f>
      </x:c>
      <x:c r="F700" s="128" t="str">
        <x:f>IF($A700="","",Locations!E580)</x:f>
      </x:c>
      <x:c r="G700" s="128" t="str">
        <x:f>IF($A700="","","LOCATION")</x:f>
      </x:c>
      <x:c r="H700" s="128" t="str">
        <x:f>IF($A700="","","OK")</x:f>
      </x:c>
    </x:row>
    <x:row r="701">
      <x:c r="A701" s="128" t="str">
        <x:f>IF(AND(Locations!A581="Yes",Locations!I581="OK"),Locations!B581,"")</x:f>
      </x:c>
      <x:c r="B701" s="128" t="str">
        <x:f>IF($A701="","",XLOOKUP(Locations!B581,NOCsTbl[NOC ID],NOCsTbl[Display Name],""))</x:f>
      </x:c>
      <x:c r="C701" s="128" t="str">
        <x:f>IF($A701="","",Locations!C581)</x:f>
      </x:c>
      <x:c r="D701" s="128" t="str">
        <x:f>IF($A701="","",Locations!D581)</x:f>
      </x:c>
      <x:c r="E701" s="128" t="str">
        <x:f>IF($A701="","",Locations!F581)</x:f>
      </x:c>
      <x:c r="F701" s="128" t="str">
        <x:f>IF($A701="","",Locations!E581)</x:f>
      </x:c>
      <x:c r="G701" s="128" t="str">
        <x:f>IF($A701="","","LOCATION")</x:f>
      </x:c>
      <x:c r="H701" s="128" t="str">
        <x:f>IF($A701="","","OK")</x:f>
      </x:c>
    </x:row>
    <x:row r="702">
      <x:c r="A702" s="128" t="str">
        <x:f>IF(AND(Locations!A582="Yes",Locations!I582="OK"),Locations!B582,"")</x:f>
      </x:c>
      <x:c r="B702" s="128" t="str">
        <x:f>IF($A702="","",XLOOKUP(Locations!B582,NOCsTbl[NOC ID],NOCsTbl[Display Name],""))</x:f>
      </x:c>
      <x:c r="C702" s="128" t="str">
        <x:f>IF($A702="","",Locations!C582)</x:f>
      </x:c>
      <x:c r="D702" s="128" t="str">
        <x:f>IF($A702="","",Locations!D582)</x:f>
      </x:c>
      <x:c r="E702" s="128" t="str">
        <x:f>IF($A702="","",Locations!F582)</x:f>
      </x:c>
      <x:c r="F702" s="128" t="str">
        <x:f>IF($A702="","",Locations!E582)</x:f>
      </x:c>
      <x:c r="G702" s="128" t="str">
        <x:f>IF($A702="","","LOCATION")</x:f>
      </x:c>
      <x:c r="H702" s="128" t="str">
        <x:f>IF($A702="","","OK")</x:f>
      </x:c>
    </x:row>
    <x:row r="703">
      <x:c r="A703" s="128" t="str">
        <x:f>IF(AND(Locations!A583="Yes",Locations!I583="OK"),Locations!B583,"")</x:f>
      </x:c>
      <x:c r="B703" s="128" t="str">
        <x:f>IF($A703="","",XLOOKUP(Locations!B583,NOCsTbl[NOC ID],NOCsTbl[Display Name],""))</x:f>
      </x:c>
      <x:c r="C703" s="128" t="str">
        <x:f>IF($A703="","",Locations!C583)</x:f>
      </x:c>
      <x:c r="D703" s="128" t="str">
        <x:f>IF($A703="","",Locations!D583)</x:f>
      </x:c>
      <x:c r="E703" s="128" t="str">
        <x:f>IF($A703="","",Locations!F583)</x:f>
      </x:c>
      <x:c r="F703" s="128" t="str">
        <x:f>IF($A703="","",Locations!E583)</x:f>
      </x:c>
      <x:c r="G703" s="128" t="str">
        <x:f>IF($A703="","","LOCATION")</x:f>
      </x:c>
      <x:c r="H703" s="128" t="str">
        <x:f>IF($A703="","","OK")</x:f>
      </x:c>
    </x:row>
    <x:row r="704">
      <x:c r="A704" s="128" t="str">
        <x:f>IF(AND(Locations!A584="Yes",Locations!I584="OK"),Locations!B584,"")</x:f>
      </x:c>
      <x:c r="B704" s="128" t="str">
        <x:f>IF($A704="","",XLOOKUP(Locations!B584,NOCsTbl[NOC ID],NOCsTbl[Display Name],""))</x:f>
      </x:c>
      <x:c r="C704" s="128" t="str">
        <x:f>IF($A704="","",Locations!C584)</x:f>
      </x:c>
      <x:c r="D704" s="128" t="str">
        <x:f>IF($A704="","",Locations!D584)</x:f>
      </x:c>
      <x:c r="E704" s="128" t="str">
        <x:f>IF($A704="","",Locations!F584)</x:f>
      </x:c>
      <x:c r="F704" s="128" t="str">
        <x:f>IF($A704="","",Locations!E584)</x:f>
      </x:c>
      <x:c r="G704" s="128" t="str">
        <x:f>IF($A704="","","LOCATION")</x:f>
      </x:c>
      <x:c r="H704" s="128" t="str">
        <x:f>IF($A704="","","OK")</x:f>
      </x:c>
    </x:row>
    <x:row r="705">
      <x:c r="A705" s="128" t="str">
        <x:f>IF(AND(Locations!A585="Yes",Locations!I585="OK"),Locations!B585,"")</x:f>
      </x:c>
      <x:c r="B705" s="128" t="str">
        <x:f>IF($A705="","",XLOOKUP(Locations!B585,NOCsTbl[NOC ID],NOCsTbl[Display Name],""))</x:f>
      </x:c>
      <x:c r="C705" s="128" t="str">
        <x:f>IF($A705="","",Locations!C585)</x:f>
      </x:c>
      <x:c r="D705" s="128" t="str">
        <x:f>IF($A705="","",Locations!D585)</x:f>
      </x:c>
      <x:c r="E705" s="128" t="str">
        <x:f>IF($A705="","",Locations!F585)</x:f>
      </x:c>
      <x:c r="F705" s="128" t="str">
        <x:f>IF($A705="","",Locations!E585)</x:f>
      </x:c>
      <x:c r="G705" s="128" t="str">
        <x:f>IF($A705="","","LOCATION")</x:f>
      </x:c>
      <x:c r="H705" s="128" t="str">
        <x:f>IF($A705="","","OK")</x:f>
      </x:c>
    </x:row>
    <x:row r="706">
      <x:c r="A706" s="128" t="str">
        <x:f>IF(AND(Locations!A586="Yes",Locations!I586="OK"),Locations!B586,"")</x:f>
      </x:c>
      <x:c r="B706" s="128" t="str">
        <x:f>IF($A706="","",XLOOKUP(Locations!B586,NOCsTbl[NOC ID],NOCsTbl[Display Name],""))</x:f>
      </x:c>
      <x:c r="C706" s="128" t="str">
        <x:f>IF($A706="","",Locations!C586)</x:f>
      </x:c>
      <x:c r="D706" s="128" t="str">
        <x:f>IF($A706="","",Locations!D586)</x:f>
      </x:c>
      <x:c r="E706" s="128" t="str">
        <x:f>IF($A706="","",Locations!F586)</x:f>
      </x:c>
      <x:c r="F706" s="128" t="str">
        <x:f>IF($A706="","",Locations!E586)</x:f>
      </x:c>
      <x:c r="G706" s="128" t="str">
        <x:f>IF($A706="","","LOCATION")</x:f>
      </x:c>
      <x:c r="H706" s="128" t="str">
        <x:f>IF($A706="","","OK")</x:f>
      </x:c>
    </x:row>
    <x:row r="707">
      <x:c r="A707" s="128" t="str">
        <x:f>IF(AND(Locations!A587="Yes",Locations!I587="OK"),Locations!B587,"")</x:f>
      </x:c>
      <x:c r="B707" s="128" t="str">
        <x:f>IF($A707="","",XLOOKUP(Locations!B587,NOCsTbl[NOC ID],NOCsTbl[Display Name],""))</x:f>
      </x:c>
      <x:c r="C707" s="128" t="str">
        <x:f>IF($A707="","",Locations!C587)</x:f>
      </x:c>
      <x:c r="D707" s="128" t="str">
        <x:f>IF($A707="","",Locations!D587)</x:f>
      </x:c>
      <x:c r="E707" s="128" t="str">
        <x:f>IF($A707="","",Locations!F587)</x:f>
      </x:c>
      <x:c r="F707" s="128" t="str">
        <x:f>IF($A707="","",Locations!E587)</x:f>
      </x:c>
      <x:c r="G707" s="128" t="str">
        <x:f>IF($A707="","","LOCATION")</x:f>
      </x:c>
      <x:c r="H707" s="128" t="str">
        <x:f>IF($A707="","","OK")</x:f>
      </x:c>
    </x:row>
    <x:row r="708">
      <x:c r="A708" s="128" t="str">
        <x:f>IF(AND(Locations!A588="Yes",Locations!I588="OK"),Locations!B588,"")</x:f>
      </x:c>
      <x:c r="B708" s="128" t="str">
        <x:f>IF($A708="","",XLOOKUP(Locations!B588,NOCsTbl[NOC ID],NOCsTbl[Display Name],""))</x:f>
      </x:c>
      <x:c r="C708" s="128" t="str">
        <x:f>IF($A708="","",Locations!C588)</x:f>
      </x:c>
      <x:c r="D708" s="128" t="str">
        <x:f>IF($A708="","",Locations!D588)</x:f>
      </x:c>
      <x:c r="E708" s="128" t="str">
        <x:f>IF($A708="","",Locations!F588)</x:f>
      </x:c>
      <x:c r="F708" s="128" t="str">
        <x:f>IF($A708="","",Locations!E588)</x:f>
      </x:c>
      <x:c r="G708" s="128" t="str">
        <x:f>IF($A708="","","LOCATION")</x:f>
      </x:c>
      <x:c r="H708" s="128" t="str">
        <x:f>IF($A708="","","OK")</x:f>
      </x:c>
    </x:row>
    <x:row r="709">
      <x:c r="A709" s="128" t="str">
        <x:f>IF(AND(Locations!A589="Yes",Locations!I589="OK"),Locations!B589,"")</x:f>
      </x:c>
      <x:c r="B709" s="128" t="str">
        <x:f>IF($A709="","",XLOOKUP(Locations!B589,NOCsTbl[NOC ID],NOCsTbl[Display Name],""))</x:f>
      </x:c>
      <x:c r="C709" s="128" t="str">
        <x:f>IF($A709="","",Locations!C589)</x:f>
      </x:c>
      <x:c r="D709" s="128" t="str">
        <x:f>IF($A709="","",Locations!D589)</x:f>
      </x:c>
      <x:c r="E709" s="128" t="str">
        <x:f>IF($A709="","",Locations!F589)</x:f>
      </x:c>
      <x:c r="F709" s="128" t="str">
        <x:f>IF($A709="","",Locations!E589)</x:f>
      </x:c>
      <x:c r="G709" s="128" t="str">
        <x:f>IF($A709="","","LOCATION")</x:f>
      </x:c>
      <x:c r="H709" s="128" t="str">
        <x:f>IF($A709="","","OK")</x:f>
      </x:c>
    </x:row>
    <x:row r="710">
      <x:c r="A710" s="128" t="str">
        <x:f>IF(AND(Locations!A590="Yes",Locations!I590="OK"),Locations!B590,"")</x:f>
      </x:c>
      <x:c r="B710" s="128" t="str">
        <x:f>IF($A710="","",XLOOKUP(Locations!B590,NOCsTbl[NOC ID],NOCsTbl[Display Name],""))</x:f>
      </x:c>
      <x:c r="C710" s="128" t="str">
        <x:f>IF($A710="","",Locations!C590)</x:f>
      </x:c>
      <x:c r="D710" s="128" t="str">
        <x:f>IF($A710="","",Locations!D590)</x:f>
      </x:c>
      <x:c r="E710" s="128" t="str">
        <x:f>IF($A710="","",Locations!F590)</x:f>
      </x:c>
      <x:c r="F710" s="128" t="str">
        <x:f>IF($A710="","",Locations!E590)</x:f>
      </x:c>
      <x:c r="G710" s="128" t="str">
        <x:f>IF($A710="","","LOCATION")</x:f>
      </x:c>
      <x:c r="H710" s="128" t="str">
        <x:f>IF($A710="","","OK")</x:f>
      </x:c>
    </x:row>
    <x:row r="711">
      <x:c r="A711" s="128" t="str">
        <x:f>IF(AND(Locations!A591="Yes",Locations!I591="OK"),Locations!B591,"")</x:f>
      </x:c>
      <x:c r="B711" s="128" t="str">
        <x:f>IF($A711="","",XLOOKUP(Locations!B591,NOCsTbl[NOC ID],NOCsTbl[Display Name],""))</x:f>
      </x:c>
      <x:c r="C711" s="128" t="str">
        <x:f>IF($A711="","",Locations!C591)</x:f>
      </x:c>
      <x:c r="D711" s="128" t="str">
        <x:f>IF($A711="","",Locations!D591)</x:f>
      </x:c>
      <x:c r="E711" s="128" t="str">
        <x:f>IF($A711="","",Locations!F591)</x:f>
      </x:c>
      <x:c r="F711" s="128" t="str">
        <x:f>IF($A711="","",Locations!E591)</x:f>
      </x:c>
      <x:c r="G711" s="128" t="str">
        <x:f>IF($A711="","","LOCATION")</x:f>
      </x:c>
      <x:c r="H711" s="128" t="str">
        <x:f>IF($A711="","","OK")</x:f>
      </x:c>
    </x:row>
    <x:row r="712">
      <x:c r="A712" s="128" t="str">
        <x:f>IF(AND(Locations!A592="Yes",Locations!I592="OK"),Locations!B592,"")</x:f>
      </x:c>
      <x:c r="B712" s="128" t="str">
        <x:f>IF($A712="","",XLOOKUP(Locations!B592,NOCsTbl[NOC ID],NOCsTbl[Display Name],""))</x:f>
      </x:c>
      <x:c r="C712" s="128" t="str">
        <x:f>IF($A712="","",Locations!C592)</x:f>
      </x:c>
      <x:c r="D712" s="128" t="str">
        <x:f>IF($A712="","",Locations!D592)</x:f>
      </x:c>
      <x:c r="E712" s="128" t="str">
        <x:f>IF($A712="","",Locations!F592)</x:f>
      </x:c>
      <x:c r="F712" s="128" t="str">
        <x:f>IF($A712="","",Locations!E592)</x:f>
      </x:c>
      <x:c r="G712" s="128" t="str">
        <x:f>IF($A712="","","LOCATION")</x:f>
      </x:c>
      <x:c r="H712" s="128" t="str">
        <x:f>IF($A712="","","OK")</x:f>
      </x:c>
    </x:row>
    <x:row r="713">
      <x:c r="A713" s="128" t="str">
        <x:f>IF(AND(Locations!A593="Yes",Locations!I593="OK"),Locations!B593,"")</x:f>
      </x:c>
      <x:c r="B713" s="128" t="str">
        <x:f>IF($A713="","",XLOOKUP(Locations!B593,NOCsTbl[NOC ID],NOCsTbl[Display Name],""))</x:f>
      </x:c>
      <x:c r="C713" s="128" t="str">
        <x:f>IF($A713="","",Locations!C593)</x:f>
      </x:c>
      <x:c r="D713" s="128" t="str">
        <x:f>IF($A713="","",Locations!D593)</x:f>
      </x:c>
      <x:c r="E713" s="128" t="str">
        <x:f>IF($A713="","",Locations!F593)</x:f>
      </x:c>
      <x:c r="F713" s="128" t="str">
        <x:f>IF($A713="","",Locations!E593)</x:f>
      </x:c>
      <x:c r="G713" s="128" t="str">
        <x:f>IF($A713="","","LOCATION")</x:f>
      </x:c>
      <x:c r="H713" s="128" t="str">
        <x:f>IF($A713="","","OK")</x:f>
      </x:c>
    </x:row>
    <x:row r="714">
      <x:c r="A714" s="128" t="str">
        <x:f>IF(AND(Locations!A594="Yes",Locations!I594="OK"),Locations!B594,"")</x:f>
      </x:c>
      <x:c r="B714" s="128" t="str">
        <x:f>IF($A714="","",XLOOKUP(Locations!B594,NOCsTbl[NOC ID],NOCsTbl[Display Name],""))</x:f>
      </x:c>
      <x:c r="C714" s="128" t="str">
        <x:f>IF($A714="","",Locations!C594)</x:f>
      </x:c>
      <x:c r="D714" s="128" t="str">
        <x:f>IF($A714="","",Locations!D594)</x:f>
      </x:c>
      <x:c r="E714" s="128" t="str">
        <x:f>IF($A714="","",Locations!F594)</x:f>
      </x:c>
      <x:c r="F714" s="128" t="str">
        <x:f>IF($A714="","",Locations!E594)</x:f>
      </x:c>
      <x:c r="G714" s="128" t="str">
        <x:f>IF($A714="","","LOCATION")</x:f>
      </x:c>
      <x:c r="H714" s="128" t="str">
        <x:f>IF($A714="","","OK")</x:f>
      </x:c>
    </x:row>
    <x:row r="715">
      <x:c r="A715" s="128" t="str">
        <x:f>IF(AND(Locations!A595="Yes",Locations!I595="OK"),Locations!B595,"")</x:f>
      </x:c>
      <x:c r="B715" s="128" t="str">
        <x:f>IF($A715="","",XLOOKUP(Locations!B595,NOCsTbl[NOC ID],NOCsTbl[Display Name],""))</x:f>
      </x:c>
      <x:c r="C715" s="128" t="str">
        <x:f>IF($A715="","",Locations!C595)</x:f>
      </x:c>
      <x:c r="D715" s="128" t="str">
        <x:f>IF($A715="","",Locations!D595)</x:f>
      </x:c>
      <x:c r="E715" s="128" t="str">
        <x:f>IF($A715="","",Locations!F595)</x:f>
      </x:c>
      <x:c r="F715" s="128" t="str">
        <x:f>IF($A715="","",Locations!E595)</x:f>
      </x:c>
      <x:c r="G715" s="128" t="str">
        <x:f>IF($A715="","","LOCATION")</x:f>
      </x:c>
      <x:c r="H715" s="128" t="str">
        <x:f>IF($A715="","","OK")</x:f>
      </x:c>
    </x:row>
    <x:row r="716">
      <x:c r="A716" s="128" t="str">
        <x:f>IF(AND(Locations!A596="Yes",Locations!I596="OK"),Locations!B596,"")</x:f>
      </x:c>
      <x:c r="B716" s="128" t="str">
        <x:f>IF($A716="","",XLOOKUP(Locations!B596,NOCsTbl[NOC ID],NOCsTbl[Display Name],""))</x:f>
      </x:c>
      <x:c r="C716" s="128" t="str">
        <x:f>IF($A716="","",Locations!C596)</x:f>
      </x:c>
      <x:c r="D716" s="128" t="str">
        <x:f>IF($A716="","",Locations!D596)</x:f>
      </x:c>
      <x:c r="E716" s="128" t="str">
        <x:f>IF($A716="","",Locations!F596)</x:f>
      </x:c>
      <x:c r="F716" s="128" t="str">
        <x:f>IF($A716="","",Locations!E596)</x:f>
      </x:c>
      <x:c r="G716" s="128" t="str">
        <x:f>IF($A716="","","LOCATION")</x:f>
      </x:c>
      <x:c r="H716" s="128" t="str">
        <x:f>IF($A716="","","OK")</x:f>
      </x:c>
    </x:row>
    <x:row r="717">
      <x:c r="A717" s="128" t="str">
        <x:f>IF(AND(Locations!A597="Yes",Locations!I597="OK"),Locations!B597,"")</x:f>
      </x:c>
      <x:c r="B717" s="128" t="str">
        <x:f>IF($A717="","",XLOOKUP(Locations!B597,NOCsTbl[NOC ID],NOCsTbl[Display Name],""))</x:f>
      </x:c>
      <x:c r="C717" s="128" t="str">
        <x:f>IF($A717="","",Locations!C597)</x:f>
      </x:c>
      <x:c r="D717" s="128" t="str">
        <x:f>IF($A717="","",Locations!D597)</x:f>
      </x:c>
      <x:c r="E717" s="128" t="str">
        <x:f>IF($A717="","",Locations!F597)</x:f>
      </x:c>
      <x:c r="F717" s="128" t="str">
        <x:f>IF($A717="","",Locations!E597)</x:f>
      </x:c>
      <x:c r="G717" s="128" t="str">
        <x:f>IF($A717="","","LOCATION")</x:f>
      </x:c>
      <x:c r="H717" s="128" t="str">
        <x:f>IF($A717="","","OK")</x:f>
      </x:c>
    </x:row>
    <x:row r="718">
      <x:c r="A718" s="128" t="str">
        <x:f>IF(AND(Locations!A598="Yes",Locations!I598="OK"),Locations!B598,"")</x:f>
      </x:c>
      <x:c r="B718" s="128" t="str">
        <x:f>IF($A718="","",XLOOKUP(Locations!B598,NOCsTbl[NOC ID],NOCsTbl[Display Name],""))</x:f>
      </x:c>
      <x:c r="C718" s="128" t="str">
        <x:f>IF($A718="","",Locations!C598)</x:f>
      </x:c>
      <x:c r="D718" s="128" t="str">
        <x:f>IF($A718="","",Locations!D598)</x:f>
      </x:c>
      <x:c r="E718" s="128" t="str">
        <x:f>IF($A718="","",Locations!F598)</x:f>
      </x:c>
      <x:c r="F718" s="128" t="str">
        <x:f>IF($A718="","",Locations!E598)</x:f>
      </x:c>
      <x:c r="G718" s="128" t="str">
        <x:f>IF($A718="","","LOCATION")</x:f>
      </x:c>
      <x:c r="H718" s="128" t="str">
        <x:f>IF($A718="","","OK")</x:f>
      </x:c>
    </x:row>
    <x:row r="719">
      <x:c r="A719" s="128" t="str">
        <x:f>IF(AND(Locations!A599="Yes",Locations!I599="OK"),Locations!B599,"")</x:f>
      </x:c>
      <x:c r="B719" s="128" t="str">
        <x:f>IF($A719="","",XLOOKUP(Locations!B599,NOCsTbl[NOC ID],NOCsTbl[Display Name],""))</x:f>
      </x:c>
      <x:c r="C719" s="128" t="str">
        <x:f>IF($A719="","",Locations!C599)</x:f>
      </x:c>
      <x:c r="D719" s="128" t="str">
        <x:f>IF($A719="","",Locations!D599)</x:f>
      </x:c>
      <x:c r="E719" s="128" t="str">
        <x:f>IF($A719="","",Locations!F599)</x:f>
      </x:c>
      <x:c r="F719" s="128" t="str">
        <x:f>IF($A719="","",Locations!E599)</x:f>
      </x:c>
      <x:c r="G719" s="128" t="str">
        <x:f>IF($A719="","","LOCATION")</x:f>
      </x:c>
      <x:c r="H719" s="128" t="str">
        <x:f>IF($A719="","","OK")</x:f>
      </x:c>
    </x:row>
    <x:row r="720">
      <x:c r="A720" s="128" t="str">
        <x:f>IF(AND(Locations!A600="Yes",Locations!I600="OK"),Locations!B600,"")</x:f>
      </x:c>
      <x:c r="B720" s="128" t="str">
        <x:f>IF($A720="","",XLOOKUP(Locations!B600,NOCsTbl[NOC ID],NOCsTbl[Display Name],""))</x:f>
      </x:c>
      <x:c r="C720" s="128" t="str">
        <x:f>IF($A720="","",Locations!C600)</x:f>
      </x:c>
      <x:c r="D720" s="128" t="str">
        <x:f>IF($A720="","",Locations!D600)</x:f>
      </x:c>
      <x:c r="E720" s="128" t="str">
        <x:f>IF($A720="","",Locations!F600)</x:f>
      </x:c>
      <x:c r="F720" s="128" t="str">
        <x:f>IF($A720="","",Locations!E600)</x:f>
      </x:c>
      <x:c r="G720" s="128" t="str">
        <x:f>IF($A720="","","LOCATION")</x:f>
      </x:c>
      <x:c r="H720" s="128" t="str">
        <x:f>IF($A720="","","OK")</x:f>
      </x:c>
    </x:row>
    <x:row r="721">
      <x:c r="A721" s="128" t="str">
        <x:f>IF(AND(Locations!A601="Yes",Locations!I601="OK"),Locations!B601,"")</x:f>
      </x:c>
      <x:c r="B721" s="128" t="str">
        <x:f>IF($A721="","",XLOOKUP(Locations!B601,NOCsTbl[NOC ID],NOCsTbl[Display Name],""))</x:f>
      </x:c>
      <x:c r="C721" s="128" t="str">
        <x:f>IF($A721="","",Locations!C601)</x:f>
      </x:c>
      <x:c r="D721" s="128" t="str">
        <x:f>IF($A721="","",Locations!D601)</x:f>
      </x:c>
      <x:c r="E721" s="128" t="str">
        <x:f>IF($A721="","",Locations!F601)</x:f>
      </x:c>
      <x:c r="F721" s="128" t="str">
        <x:f>IF($A721="","",Locations!E601)</x:f>
      </x:c>
      <x:c r="G721" s="128" t="str">
        <x:f>IF($A721="","","LOCATION")</x:f>
      </x:c>
      <x:c r="H721" s="128" t="str">
        <x:f>IF($A721="","","OK")</x:f>
      </x:c>
    </x:row>
    <x:row r="722">
      <x:c r="A722" s="128" t="str">
        <x:f>IF(AND(Locations!A602="Yes",Locations!I602="OK"),Locations!B602,"")</x:f>
      </x:c>
      <x:c r="B722" s="128" t="str">
        <x:f>IF($A722="","",XLOOKUP(Locations!B602,NOCsTbl[NOC ID],NOCsTbl[Display Name],""))</x:f>
      </x:c>
      <x:c r="C722" s="128" t="str">
        <x:f>IF($A722="","",Locations!C602)</x:f>
      </x:c>
      <x:c r="D722" s="128" t="str">
        <x:f>IF($A722="","",Locations!D602)</x:f>
      </x:c>
      <x:c r="E722" s="128" t="str">
        <x:f>IF($A722="","",Locations!F602)</x:f>
      </x:c>
      <x:c r="F722" s="128" t="str">
        <x:f>IF($A722="","",Locations!E602)</x:f>
      </x:c>
      <x:c r="G722" s="128" t="str">
        <x:f>IF($A722="","","LOCATION")</x:f>
      </x:c>
      <x:c r="H722" s="128" t="str">
        <x:f>IF($A722="","","OK")</x:f>
      </x:c>
    </x:row>
    <x:row r="723">
      <x:c r="A723" s="128" t="str">
        <x:f>IF(AND(Locations!A603="Yes",Locations!I603="OK"),Locations!B603,"")</x:f>
      </x:c>
      <x:c r="B723" s="128" t="str">
        <x:f>IF($A723="","",XLOOKUP(Locations!B603,NOCsTbl[NOC ID],NOCsTbl[Display Name],""))</x:f>
      </x:c>
      <x:c r="C723" s="128" t="str">
        <x:f>IF($A723="","",Locations!C603)</x:f>
      </x:c>
      <x:c r="D723" s="128" t="str">
        <x:f>IF($A723="","",Locations!D603)</x:f>
      </x:c>
      <x:c r="E723" s="128" t="str">
        <x:f>IF($A723="","",Locations!F603)</x:f>
      </x:c>
      <x:c r="F723" s="128" t="str">
        <x:f>IF($A723="","",Locations!E603)</x:f>
      </x:c>
      <x:c r="G723" s="128" t="str">
        <x:f>IF($A723="","","LOCATION")</x:f>
      </x:c>
      <x:c r="H723" s="128" t="str">
        <x:f>IF($A723="","","OK")</x:f>
      </x:c>
    </x:row>
    <x:row r="724">
      <x:c r="A724" s="129" t="str">
        <x:f>IF(AND(Locations!A604="Yes",Locations!I604="OK"),Locations!B604,"")</x:f>
      </x:c>
      <x:c r="B724" s="129" t="str">
        <x:f>IF($A724="","",XLOOKUP(Locations!B604,NOCsTbl[NOC ID],NOCsTbl[Display Name],""))</x:f>
      </x:c>
      <x:c r="C724" s="129" t="str">
        <x:f>IF($A724="","",Locations!C604)</x:f>
      </x:c>
      <x:c r="D724" s="129" t="str">
        <x:f>IF($A724="","",Locations!D604)</x:f>
      </x:c>
      <x:c r="E724" s="129" t="str">
        <x:f>IF($A724="","",Locations!F604)</x:f>
      </x:c>
      <x:c r="F724" s="129" t="str">
        <x:f>IF($A724="","",Locations!E604)</x:f>
      </x:c>
      <x:c r="G724" s="129" t="str">
        <x:f>IF($A724="","","LOCATION")</x:f>
      </x:c>
      <x:c r="H724" s="129" t="str">
        <x:f>IF($A724="","","OK")</x:f>
      </x:c>
    </x:row>
  </x:sheetData>
  <x:mergeCells>
    <x:mergeCell ref="A1:H1"/>
    <x:mergeCell ref="A2:H2"/>
  </x:mergeCells>
  <x:pageMargins left="0.7" right="0.7" top="0.75" bottom="0.75" header="0.3" footer="0.3"/>
</x:worksheet>
</file>